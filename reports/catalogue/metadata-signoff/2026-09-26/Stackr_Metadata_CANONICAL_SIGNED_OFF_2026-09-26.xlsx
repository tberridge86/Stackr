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5c9ab65a514a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is Batch" sheetId="1" r:id="Ra77dd6ea89e14b3a"/>
    <x:sheet xmlns:r="http://schemas.openxmlformats.org/officeDocument/2006/relationships" name="All Additions" sheetId="2" r:id="Readb6ba5d798413d"/>
    <x:sheet xmlns:r="http://schemas.openxmlformats.org/officeDocument/2006/relationships" name="Remaining Gaps" sheetId="3" r:id="Ree19499c2fd14841"/>
    <x:sheet xmlns:r="http://schemas.openxmlformats.org/officeDocument/2006/relationships" name="Sources" sheetId="4" r:id="R904545d4ed104bb0"/>
    <x:sheet xmlns:r="http://schemas.openxmlformats.org/officeDocument/2006/relationships" name="Updated Reference" sheetId="5" r:id="Rd9b0d2a9a85d436e"/>
    <x:sheet xmlns:r="http://schemas.openxmlformats.org/officeDocument/2006/relationships" name="Summary" sheetId="6" r:id="R316b38a05a5b4eb6"/>
    <x:sheet xmlns:r="http://schemas.openxmlformats.org/officeDocument/2006/relationships" name="Canonical Code Update" sheetId="7" r:id="R4139a1ecd1b54bed"/>
    <x:sheet xmlns:r="http://schemas.openxmlformats.org/officeDocument/2006/relationships" name="Chinese Code Fill" sheetId="8" r:id="R70be14a14d9a4f01"/>
    <x:sheet xmlns:r="http://schemas.openxmlformats.org/officeDocument/2006/relationships" name="Final Code Review" sheetId="9" r:id="Ra05b6b6bf1664ea2"/>
    <x:sheet xmlns:r="http://schemas.openxmlformats.org/officeDocument/2006/relationships" name="Gap 45 Review" sheetId="10" r:id="Rc63bab1e7d70422d"/>
    <x:sheet xmlns:r="http://schemas.openxmlformats.org/officeDocument/2006/relationships" name="Reference Count Fill" sheetId="11" r:id="Ra7d4e0733d334b43"/>
    <x:sheet xmlns:r="http://schemas.openxmlformats.org/officeDocument/2006/relationships" name="Numbered Total Fill" sheetId="12" r:id="Ra9e688c4374e4a5d"/>
    <x:sheet xmlns:r="http://schemas.openxmlformats.org/officeDocument/2006/relationships" name="Final QA" sheetId="13" r:id="R668750923d9140f7"/>
    <x:sheet xmlns:r="http://schemas.openxmlformats.org/officeDocument/2006/relationships" name="Metadata Sign-Off" sheetId="14" r:id="R7e643a0bec574d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5">
    <x:font>
      <x:sz val="11"/>
      <x:name val="Carlito"/>
    </x:font>
    <x:font>
      <x:b/>
      <x:sz val="18"/>
      <x:color rgb="FFFFFFFF"/>
      <x:name val="Carlito"/>
    </x:font>
    <x:font>
      <x:sz val="11"/>
      <x:color rgb="FF61576B"/>
      <x:name val="Carlito"/>
    </x:font>
    <x:font>
      <x:b/>
      <x:sz val="11"/>
      <x:color rgb="FFFFFFFF"/>
      <x:name val="Carlito"/>
    </x:font>
    <x:font>
      <x:sz val="10"/>
      <x:color rgb="FF292534"/>
      <x:name val="Carlito"/>
    </x:font>
    <x:font>
      <x:b/>
      <x:sz val="21"/>
      <x:color rgb="FFFFFFFF"/>
      <x:name val="Carlito"/>
    </x:font>
    <x:font>
      <x:sz val="11"/>
      <x:color rgb="FF563A6D"/>
      <x:name val="Carlito"/>
    </x:font>
    <x:font>
      <x:b/>
      <x:sz val="11"/>
      <x:color rgb="FF563A6D"/>
      <x:name val="Carlito"/>
    </x:font>
    <x:font>
      <x:b/>
      <x:sz val="28"/>
      <x:color rgb="FF563A6D"/>
      <x:name val="Carlito"/>
    </x:font>
    <x:font>
      <x:sz val="11"/>
      <x:color rgb="FF665028"/>
      <x:name val="Carlito"/>
    </x:font>
    <x:font>
      <x:sz val="11"/>
      <x:color rgb="FF292534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7"/>
      <x:color rgb="FFFFFFFF"/>
      <x:name val="Carlito"/>
    </x:font>
    <x:font>
      <x:b/>
      <x:sz val="11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563A6D"/>
      </x:patternFill>
    </x:fill>
    <x:fill>
      <x:patternFill patternType="solid">
        <x:fgColor rgb="FFF0EAF6"/>
      </x:patternFill>
    </x:fill>
    <x:fill>
      <x:patternFill patternType="solid">
        <x:fgColor rgb="FFFFF5DF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203864"/>
      </x:patternFill>
    </x:fill>
    <x:fill>
      <x:patternFill patternType="solid">
        <x:fgColor rgb="FF4472C4"/>
      </x:patternFill>
    </x:fill>
    <x:fill>
      <x:patternFill patternType="solid">
        <x:fgColor rgb="FFD9EAD3"/>
      </x:patternFill>
    </x:fill>
    <x:fill>
      <x:patternFill patternType="solid">
        <x:fgColor rgb="FFEAF2F8"/>
      </x:patternFill>
    </x:fill>
  </x:fills>
  <x:borders count="2">
    <x:border/>
    <x:border/>
  </x:borders>
  <x:cellStyleXfs count="1">
    <x:xf numFmtId="0" fontId="0" fillId="0" borderId="0"/>
  </x:cellStyleXfs>
  <x:cellXfs count="10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0" fillId="3" borderId="1" xfId="0" applyNumberFormat="1" applyFont="1" applyFill="1" applyBorder="1"/>
    <x:xf numFmtId="0" fontId="6" fillId="3" borderId="1" xfId="0" applyNumberFormat="1" applyFont="1" applyFill="1" applyBorder="1"/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horizontal="left"/>
    </x:xf>
    <x:xf numFmtId="0" fontId="7" fillId="3" borderId="0" xfId="0" applyNumberFormat="1" applyFont="1" applyFill="1" applyBorder="1" applyAlignment="1">
      <x:alignment horizontal="left"/>
    </x:xf>
    <x:xf numFmtId="0" fontId="8" fillId="3" borderId="1" xfId="0" applyNumberFormat="1" applyFont="1" applyFill="1" applyBorder="1" applyAlignment="1">
      <x:alignment horizontal="left"/>
    </x:xf>
    <x:xf numFmtId="0" fontId="7" fillId="3" borderId="1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horizontal="center"/>
    </x:xf>
    <x:xf numFmtId="0" fontId="3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3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horizontal="center"/>
    </x:xf>
    <x:xf numFmtId="0" fontId="3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0" xfId="0" applyNumberFormat="1" applyFont="1" applyFill="1" applyBorder="1" applyAlignment="1">
      <x:alignment horizontal="center"/>
    </x:xf>
    <x:xf numFmtId="0" fontId="11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horizontal="center"/>
    </x:xf>
    <x:xf numFmtId="0" fontId="3" fillId="13" borderId="0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 applyAlignment="1">
      <x:alignment wrapText="1"/>
    </x:xf>
    <x:xf numFmtId="0" fontId="12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3" fillId="15" borderId="0" xfId="0" applyNumberFormat="1" applyFont="1" applyFill="1" applyBorder="1"/>
    <x:xf numFmtId="0" fontId="13" fillId="15" borderId="0" xfId="0" applyNumberFormat="1" applyFont="1" applyFill="1" applyBorder="1" applyAlignment="1">
      <x:alignment horizontal="center"/>
    </x:xf>
    <x:xf numFmtId="0" fontId="13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horizontal="center"/>
    </x:xf>
    <x:xf numFmtId="0" fontId="0" fillId="17" borderId="0" xfId="0" applyNumberFormat="1" applyFont="1" applyFill="1" applyBorder="1"/>
    <x:xf numFmtId="0" fontId="14" fillId="17" borderId="0" xfId="0" applyNumberFormat="1" applyFont="1" applyFill="1" applyBorder="1"/>
    <x:xf numFmtId="0" fontId="0" fillId="18" borderId="0" xfId="0" applyNumberFormat="1" applyFont="1" applyFill="1" applyBorder="1"/>
    <x:xf numFmtId="0" fontId="14" fillId="18" borderId="0" xfId="0" applyNumberFormat="1" applyFont="1" applyFill="1" applyBorder="1"/>
    <x:xf numFmtId="0" fontId="14" fillId="1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2f161378b145ca" /><Relationship Type="http://schemas.openxmlformats.org/officeDocument/2006/relationships/theme" Target="/xl/theme/theme1.xml" Id="Rb62e00cb888c4a26" /><Relationship Type="http://schemas.openxmlformats.org/officeDocument/2006/relationships/sharedStrings" Target="/xl/sharedStrings.xml" Id="R9453f42c86eb4ab6" /><Relationship Type="http://schemas.openxmlformats.org/officeDocument/2006/relationships/worksheet" Target="/xl/worksheets/sheet1.xml" Id="Ra77dd6ea89e14b3a" /><Relationship Type="http://schemas.openxmlformats.org/officeDocument/2006/relationships/worksheet" Target="/xl/worksheets/sheet2.xml" Id="Readb6ba5d798413d" /><Relationship Type="http://schemas.openxmlformats.org/officeDocument/2006/relationships/worksheet" Target="/xl/worksheets/sheet3.xml" Id="Ree19499c2fd14841" /><Relationship Type="http://schemas.openxmlformats.org/officeDocument/2006/relationships/worksheet" Target="/xl/worksheets/sheet4.xml" Id="R904545d4ed104bb0" /><Relationship Type="http://schemas.openxmlformats.org/officeDocument/2006/relationships/worksheet" Target="/xl/worksheets/sheet5.xml" Id="Rd9b0d2a9a85d436e" /><Relationship Type="http://schemas.openxmlformats.org/officeDocument/2006/relationships/worksheet" Target="/xl/worksheets/sheet6.xml" Id="R316b38a05a5b4eb6" /><Relationship Type="http://schemas.openxmlformats.org/officeDocument/2006/relationships/worksheet" Target="/xl/worksheets/sheet7.xml" Id="R4139a1ecd1b54bed" /><Relationship Type="http://schemas.openxmlformats.org/officeDocument/2006/relationships/worksheet" Target="/xl/worksheets/sheet8.xml" Id="R70be14a14d9a4f01" /><Relationship Type="http://schemas.openxmlformats.org/officeDocument/2006/relationships/worksheet" Target="/xl/worksheets/sheet9.xml" Id="Ra05b6b6bf1664ea2" /><Relationship Type="http://schemas.openxmlformats.org/officeDocument/2006/relationships/worksheet" Target="/xl/worksheets/sheet10.xml" Id="Rc63bab1e7d70422d" /><Relationship Type="http://schemas.openxmlformats.org/officeDocument/2006/relationships/worksheet" Target="/xl/worksheets/sheet11.xml" Id="Ra7d4e0733d334b43" /><Relationship Type="http://schemas.openxmlformats.org/officeDocument/2006/relationships/worksheet" Target="/xl/worksheets/sheet12.xml" Id="Ra9e688c4374e4a5d" /><Relationship Type="http://schemas.openxmlformats.org/officeDocument/2006/relationships/worksheet" Target="/xl/worksheets/sheet13.xml" Id="R668750923d9140f7" /><Relationship Type="http://schemas.openxmlformats.org/officeDocument/2006/relationships/worksheet" Target="/xl/worksheets/sheet14.xml" Id="R7e643a0bec574d3f" /></Relationships>
</file>

<file path=xl/tables/table1.xml><?xml version="1.0" encoding="utf-8"?>
<x:table xmlns:x="http://schemas.openxmlformats.org/spreadsheetml/2006/main" id="1" name="ThisBatchTable" displayName="ThisBatchTable" ref="A4:L61" headerRowCount="1" totalsRowCount="0" totalsRowShown="0">
  <x:tableColumns count="12">
    <x:tableColumn id="1" name="Change ID"/>
    <x:tableColumn id="2" name="Research batch"/>
    <x:tableColumn id="3" name="Language"/>
    <x:tableColumn id="4" name="Set / product"/>
    <x:tableColumn id="5" name="Field"/>
    <x:tableColumn id="6" name="Proposed value"/>
    <x:tableColumn id="7" name="Evidence type"/>
    <x:tableColumn id="8" name="Source URL"/>
    <x:tableColumn id="9" name="Scope / counting basis"/>
    <x:tableColumn id="10" name="Evidence note"/>
    <x:tableColumn id="11" name="Reference ID"/>
    <x:tableColumn id="12" name="JSON fiel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lAdditionsTable" displayName="AllAdditionsTable" ref="A4:L141" headerRowCount="1" totalsRowCount="0" totalsRowShown="0">
  <x:tableColumns count="12">
    <x:tableColumn id="1" name="Change ID"/>
    <x:tableColumn id="2" name="Research batch"/>
    <x:tableColumn id="3" name="Language"/>
    <x:tableColumn id="4" name="Set / product"/>
    <x:tableColumn id="5" name="Field"/>
    <x:tableColumn id="6" name="Proposed value"/>
    <x:tableColumn id="7" name="Evidence type"/>
    <x:tableColumn id="8" name="Source URL"/>
    <x:tableColumn id="9" name="Scope / counting basis"/>
    <x:tableColumn id="10" name="Evidence note"/>
    <x:tableColumn id="11" name="Reference ID"/>
    <x:tableColumn id="12" name="JSON fiel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mainingGapsTable" displayName="RemainingGapsTable" ref="A4:H24" headerRowCount="1" totalsRowCount="0" totalsRowShown="0">
  <x:tableColumns count="8">
    <x:tableColumn id="1" name="Language"/>
    <x:tableColumn id="2" name="Field"/>
    <x:tableColumn id="3" name="Reference entries"/>
    <x:tableColumn id="4" name="Original blanks"/>
    <x:tableColumn id="5" name="After first batch"/>
    <x:tableColumn id="6" name="After round 2"/>
    <x:tableColumn id="7" name="Filled this batch"/>
    <x:tableColumn id="8" name="Filled across both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Table" displayName="SourcesTable" ref="A4:F41" headerRowCount="1" totalsRowCount="0" totalsRowShown="0">
  <x:tableColumns count="6">
    <x:tableColumn id="1" name="Source ID"/>
    <x:tableColumn id="2" name="Source type"/>
    <x:tableColumn id="3" name="Title"/>
    <x:tableColumn id="4" name="URL"/>
    <x:tableColumn id="5" name="Research date"/>
    <x:tableColumn id="6" name="Scope and limitatio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UpdatedReferenceTable" displayName="UpdatedReferenceTable" ref="A4:U646" headerRowCount="1" totalsRowCount="0" totalsRowShown="0">
  <x:tableColumns count="21">
    <x:tableColumn id="1" name="Reference ID"/>
    <x:tableColumn id="2" name="Language"/>
    <x:tableColumn id="3" name="English / display name"/>
    <x:tableColumn id="4" name="Native name"/>
    <x:tableColumn id="5" name="Era"/>
    <x:tableColumn id="6" name="Entity type"/>
    <x:tableColumn id="7" name="Catalogue code"/>
    <x:tableColumn id="8" name="Code basis"/>
    <x:tableColumn id="9" name="Release date / period"/>
    <x:tableColumn id="10" name="Date precision"/>
    <x:tableColumn id="11" name="Market"/>
    <x:tableColumn id="12" name="Base cards"/>
    <x:tableColumn id="13" name="Extra cards"/>
    <x:tableColumn id="14" name="Subset cards"/>
    <x:tableColumn id="15" name="Reference count"/>
    <x:tableColumn id="16" name="Numbered total"/>
    <x:tableColumn id="17" name="Last number"/>
    <x:tableColumn id="18" name="Physical product quantity"/>
    <x:tableColumn id="19" name="Remaining gap fields"/>
    <x:tableColumn id="20" name="New field evidence URLs"/>
    <x:tableColumn id="21" name="Production read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bdae7319834f5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62dac958684f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960af6f516348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43ea034bb0243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964b43a07c94af8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3" hidden="0" customWidth="1"/>
    <x:col min="3" max="3" width="12" hidden="0" customWidth="1"/>
    <x:col min="4" max="4" width="38" hidden="0" customWidth="1"/>
    <x:col min="5" max="5" width="27" hidden="0" customWidth="1"/>
    <x:col min="6" max="6" width="40" hidden="0" customWidth="1"/>
    <x:col min="7" max="7" width="23" hidden="0" customWidth="1"/>
    <x:col min="8" max="8" width="52" hidden="0" customWidth="1"/>
    <x:col min="9" max="9" width="52" hidden="0" customWidth="1"/>
    <x:col min="10" max="10" width="65" hidden="0" customWidth="1"/>
    <x:col min="11" max="11" width="25" hidden="0" customWidth="1"/>
    <x:col min="12" max="12" width="25" hidden="0" customWidth="1"/>
  </x:cols>
  <x:sheetData>
    <x:row r="1" ht="35" customHeight="1">
      <x:c r="A1" s="3" t="str">
        <x:v>ROUND 2  /  NEW ADDITIONS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7" t="str">
        <x:v>57 previously blank fields. Review individual fields; product quantities are not unique-card counts.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2" customHeight="1">
      <x:c r="A4" s="11" t="str">
        <x:v>Change ID</x:v>
      </x:c>
      <x:c r="B4" s="11" t="str">
        <x:v>Research batch</x:v>
      </x:c>
      <x:c r="C4" s="11" t="str">
        <x:v>Language</x:v>
      </x:c>
      <x:c r="D4" s="11" t="str">
        <x:v>Set / product</x:v>
      </x:c>
      <x:c r="E4" s="11" t="str">
        <x:v>Field</x:v>
      </x:c>
      <x:c r="F4" s="11" t="str">
        <x:v>Proposed value</x:v>
      </x:c>
      <x:c r="G4" s="11" t="str">
        <x:v>Evidence type</x:v>
      </x:c>
      <x:c r="H4" s="11" t="str">
        <x:v>Source URL</x:v>
      </x:c>
      <x:c r="I4" s="11" t="str">
        <x:v>Scope / counting basis</x:v>
      </x:c>
      <x:c r="J4" s="11" t="str">
        <x:v>Evidence note</x:v>
      </x:c>
      <x:c r="K4" s="11" t="str">
        <x:v>Reference ID</x:v>
      </x:c>
      <x:c r="L4" s="11" t="str">
        <x:v>JSON field</x:v>
      </x:c>
    </x:row>
    <x:row r="5" ht="65" customHeight="1">
      <x:c r="A5" s="16" t="str">
        <x:v>AUTO2-d4572d452a78</x:v>
      </x:c>
      <x:c r="B5" s="16" t="str">
        <x:v>2026-09-24-round2</x:v>
      </x:c>
      <x:c r="C5" s="16" t="str">
        <x:v>zh-TW</x:v>
      </x:c>
      <x:c r="D5" s="16" t="str">
        <x:v>Tactical Deck: Mega Charizard X ex</x:v>
      </x:c>
      <x:c r="E5" s="16" t="str">
        <x:v>Catalogue code</x:v>
      </x:c>
      <x:c r="F5" s="16" t="str">
        <x:v>MTL</x:v>
      </x:c>
      <x:c r="G5" s="16" t="str">
        <x:v>official</x:v>
      </x:c>
      <x:c r="H5" s="16" t="str">
        <x:v>https://asia.pokemon-card.com/tw/card-search/</x:v>
      </x:c>
      <x:c r="I5" s="16" t="str">
        <x:v>Traditional Chinese / Taiwan official catalogue identifier</x:v>
      </x:c>
      <x:c r="J5" s="16" t="str">
        <x:v>Exact product label-to-filter link inspected. Destination fetched; no count inferred.</x:v>
      </x:c>
      <x:c r="K5" s="16" t="str">
        <x:v>zh-TW-860e5a5ea101</x:v>
      </x:c>
      <x:c r="L5" s="16" t="str">
        <x:v>set_code</x:v>
      </x:c>
    </x:row>
    <x:row r="6" ht="65" customHeight="1">
      <x:c r="A6" s="16" t="str">
        <x:v>AUTO2-127cd319630f</x:v>
      </x:c>
      <x:c r="B6" s="16" t="str">
        <x:v>2026-09-24-round2</x:v>
      </x:c>
      <x:c r="C6" s="16" t="str">
        <x:v>zh-TW</x:v>
      </x:c>
      <x:c r="D6" s="16" t="str">
        <x:v>Tactical Deck: Mega Dragonite ex</x:v>
      </x:c>
      <x:c r="E6" s="16" t="str">
        <x:v>Catalogue code</x:v>
      </x:c>
      <x:c r="F6" s="16" t="str">
        <x:v>MTK</x:v>
      </x:c>
      <x:c r="G6" s="16" t="str">
        <x:v>official</x:v>
      </x:c>
      <x:c r="H6" s="16" t="str">
        <x:v>https://asia.pokemon-card.com/tw/card-search/</x:v>
      </x:c>
      <x:c r="I6" s="16" t="str">
        <x:v>Traditional Chinese / Taiwan official catalogue identifier</x:v>
      </x:c>
      <x:c r="J6" s="16" t="str">
        <x:v>Exact product label-to-filter link inspected. Destination fetched; no count inferred.</x:v>
      </x:c>
      <x:c r="K6" s="16" t="str">
        <x:v>zh-TW-77c7d2bfb26b</x:v>
      </x:c>
      <x:c r="L6" s="16" t="str">
        <x:v>set_code</x:v>
      </x:c>
    </x:row>
    <x:row r="7" ht="65" customHeight="1">
      <x:c r="A7" s="16" t="str">
        <x:v>AUTO2-2b7057ba3682</x:v>
      </x:c>
      <x:c r="B7" s="16" t="str">
        <x:v>2026-09-24-round2</x:v>
      </x:c>
      <x:c r="C7" s="16" t="str">
        <x:v>zh-TW</x:v>
      </x:c>
      <x:c r="D7" s="16" t="str">
        <x:v>Challenge Deck: Mega Gengar ex</x:v>
      </x:c>
      <x:c r="E7" s="16" t="str">
        <x:v>Catalogue code</x:v>
      </x:c>
      <x:c r="F7" s="16" t="str">
        <x:v>MBG</x:v>
      </x:c>
      <x:c r="G7" s="16" t="str">
        <x:v>official</x:v>
      </x:c>
      <x:c r="H7" s="16" t="str">
        <x:v>https://asia.pokemon-card.com/tw/card-search/</x:v>
      </x:c>
      <x:c r="I7" s="16" t="str">
        <x:v>Traditional Chinese / Taiwan official catalogue identifier</x:v>
      </x:c>
      <x:c r="J7" s="16" t="str">
        <x:v>Exact product label-to-filter link inspected. Destination fetched; no count inferred.</x:v>
      </x:c>
      <x:c r="K7" s="16" t="str">
        <x:v>zh-TW-4e5a9002b259</x:v>
      </x:c>
      <x:c r="L7" s="16" t="str">
        <x:v>set_code</x:v>
      </x:c>
    </x:row>
    <x:row r="8" ht="65" customHeight="1">
      <x:c r="A8" s="16" t="str">
        <x:v>AUTO2-91d757d72625</x:v>
      </x:c>
      <x:c r="B8" s="16" t="str">
        <x:v>2026-09-24-round2</x:v>
      </x:c>
      <x:c r="C8" s="16" t="str">
        <x:v>zh-TW</x:v>
      </x:c>
      <x:c r="D8" s="16" t="str">
        <x:v>Challenge Deck: Mega Diancie ex</x:v>
      </x:c>
      <x:c r="E8" s="16" t="str">
        <x:v>Catalogue code</x:v>
      </x:c>
      <x:c r="F8" s="16" t="str">
        <x:v>MBD</x:v>
      </x:c>
      <x:c r="G8" s="16" t="str">
        <x:v>official</x:v>
      </x:c>
      <x:c r="H8" s="16" t="str">
        <x:v>https://asia.pokemon-card.com/tw/card-search/</x:v>
      </x:c>
      <x:c r="I8" s="16" t="str">
        <x:v>Traditional Chinese / Taiwan official catalogue identifier</x:v>
      </x:c>
      <x:c r="J8" s="16" t="str">
        <x:v>Exact product label-to-filter link inspected. Destination fetched; no count inferred.</x:v>
      </x:c>
      <x:c r="K8" s="16" t="str">
        <x:v>zh-TW-a1a18e45b7d6</x:v>
      </x:c>
      <x:c r="L8" s="16" t="str">
        <x:v>set_code</x:v>
      </x:c>
    </x:row>
    <x:row r="9" ht="65" customHeight="1">
      <x:c r="A9" s="16" t="str">
        <x:v>AUTO2-4968d9f82ff0</x:v>
      </x:c>
      <x:c r="B9" s="16" t="str">
        <x:v>2026-09-24-round2</x:v>
      </x:c>
      <x:c r="C9" s="16" t="str">
        <x:v>zh-TW</x:v>
      </x:c>
      <x:c r="D9" s="16" t="str">
        <x:v>Mega Brave</x:v>
      </x:c>
      <x:c r="E9" s="16" t="str">
        <x:v>Catalogue code</x:v>
      </x:c>
      <x:c r="F9" s="16" t="str">
        <x:v>M1L</x:v>
      </x:c>
      <x:c r="G9" s="16" t="str">
        <x:v>official</x:v>
      </x:c>
      <x:c r="H9" s="16" t="str">
        <x:v>https://asia.pokemon-card.com/tw/card-search/</x:v>
      </x:c>
      <x:c r="I9" s="16" t="str">
        <x:v>Traditional Chinese / Taiwan official catalogue identifier</x:v>
      </x:c>
      <x:c r="J9" s="16" t="str">
        <x:v>Exact product label-to-filter link inspected. Destination fetched; no count inferred.</x:v>
      </x:c>
      <x:c r="K9" s="16" t="str">
        <x:v>zh-TW-5cd724144f1f</x:v>
      </x:c>
      <x:c r="L9" s="16" t="str">
        <x:v>set_code</x:v>
      </x:c>
    </x:row>
    <x:row r="10" ht="65" customHeight="1">
      <x:c r="A10" s="16" t="str">
        <x:v>AUTO2-5136ee9be334</x:v>
      </x:c>
      <x:c r="B10" s="16" t="str">
        <x:v>2026-09-24-round2</x:v>
      </x:c>
      <x:c r="C10" s="16" t="str">
        <x:v>zh-TW</x:v>
      </x:c>
      <x:c r="D10" s="16" t="str">
        <x:v>Mega Symphonia</x:v>
      </x:c>
      <x:c r="E10" s="16" t="str">
        <x:v>Catalogue code</x:v>
      </x:c>
      <x:c r="F10" s="16" t="str">
        <x:v>M1S</x:v>
      </x:c>
      <x:c r="G10" s="16" t="str">
        <x:v>official</x:v>
      </x:c>
      <x:c r="H10" s="16" t="str">
        <x:v>https://asia.pokemon-card.com/tw/card-search/</x:v>
      </x:c>
      <x:c r="I10" s="16" t="str">
        <x:v>Traditional Chinese / Taiwan official catalogue identifier</x:v>
      </x:c>
      <x:c r="J10" s="16" t="str">
        <x:v>Exact product label-to-filter link inspected. Destination fetched; no count inferred.</x:v>
      </x:c>
      <x:c r="K10" s="16" t="str">
        <x:v>zh-TW-0f37c5f8c336</x:v>
      </x:c>
      <x:c r="L10" s="16" t="str">
        <x:v>set_code</x:v>
      </x:c>
    </x:row>
    <x:row r="11" ht="65" customHeight="1">
      <x:c r="A11" s="16" t="str">
        <x:v>AUTO2-2341507824dc</x:v>
      </x:c>
      <x:c r="B11" s="16" t="str">
        <x:v>2026-09-24-round2</x:v>
      </x:c>
      <x:c r="C11" s="16" t="str">
        <x:v>zh-TW</x:v>
      </x:c>
      <x:c r="D11" s="16" t="str">
        <x:v>Mega Evolution Promotional cards</x:v>
      </x:c>
      <x:c r="E11" s="16" t="str">
        <x:v>Catalogue code</x:v>
      </x:c>
      <x:c r="F11" s="16" t="str">
        <x:v>M-P</x:v>
      </x:c>
      <x:c r="G11" s="16" t="str">
        <x:v>official</x:v>
      </x:c>
      <x:c r="H11" s="16" t="str">
        <x:v>https://asia.pokemon-card.com/tw/card-search/</x:v>
      </x:c>
      <x:c r="I11" s="16" t="str">
        <x:v>Traditional Chinese / Taiwan official catalogue identifier</x:v>
      </x:c>
      <x:c r="J11" s="16" t="str">
        <x:v>Exact product label-to-filter link inspected. Destination fetched; no count inferred.</x:v>
      </x:c>
      <x:c r="K11" s="16" t="str">
        <x:v>zh-TW-43aee0909785</x:v>
      </x:c>
      <x:c r="L11" s="16" t="str">
        <x:v>set_code</x:v>
      </x:c>
    </x:row>
    <x:row r="12" ht="65" customHeight="1">
      <x:c r="A12" s="16" t="str">
        <x:v>AUTO2-8e40d53b7814</x:v>
      </x:c>
      <x:c r="B12" s="16" t="str">
        <x:v>2026-09-24-round2</x:v>
      </x:c>
      <x:c r="C12" s="16" t="str">
        <x:v>zh-TW</x:v>
      </x:c>
      <x:c r="D12" s="16" t="str">
        <x:v>ex Start Deck: Pikachu</x:v>
      </x:c>
      <x:c r="E12" s="16" t="str">
        <x:v>Catalogue code</x:v>
      </x:c>
      <x:c r="F12" s="16" t="str">
        <x:v>SVQP</x:v>
      </x:c>
      <x:c r="G12" s="16" t="str">
        <x:v>official</x:v>
      </x:c>
      <x:c r="H12" s="16" t="str">
        <x:v>https://asia.pokemon-card.com/tw/card-search/</x:v>
      </x:c>
      <x:c r="I12" s="16" t="str">
        <x:v>Traditional Chinese / Taiwan official catalogue identifier</x:v>
      </x:c>
      <x:c r="J12" s="16" t="str">
        <x:v>Exact product label-to-filter link inspected. Destination fetched; no count inferred.</x:v>
      </x:c>
      <x:c r="K12" s="16" t="str">
        <x:v>zh-TW-949def28022a</x:v>
      </x:c>
      <x:c r="L12" s="16" t="str">
        <x:v>set_code</x:v>
      </x:c>
    </x:row>
    <x:row r="13" ht="65" customHeight="1">
      <x:c r="A13" s="16" t="str">
        <x:v>AUTO2-879ba0e08bcb</x:v>
      </x:c>
      <x:c r="B13" s="16" t="str">
        <x:v>2026-09-24-round2</x:v>
      </x:c>
      <x:c r="C13" s="16" t="str">
        <x:v>zh-TW</x:v>
      </x:c>
      <x:c r="D13" s="16" t="str">
        <x:v>ex Start Deck: Charizard</x:v>
      </x:c>
      <x:c r="E13" s="16" t="str">
        <x:v>Catalogue code</x:v>
      </x:c>
      <x:c r="F13" s="16" t="str">
        <x:v>SVQL</x:v>
      </x:c>
      <x:c r="G13" s="16" t="str">
        <x:v>official</x:v>
      </x:c>
      <x:c r="H13" s="16" t="str">
        <x:v>https://asia.pokemon-card.com/tw/card-search/</x:v>
      </x:c>
      <x:c r="I13" s="16" t="str">
        <x:v>Traditional Chinese / Taiwan official catalogue identifier</x:v>
      </x:c>
      <x:c r="J13" s="16" t="str">
        <x:v>Exact product label-to-filter link inspected. Destination fetched; no count inferred.</x:v>
      </x:c>
      <x:c r="K13" s="16" t="str">
        <x:v>zh-TW-e124fcba7d1d</x:v>
      </x:c>
      <x:c r="L13" s="16" t="str">
        <x:v>set_code</x:v>
      </x:c>
    </x:row>
    <x:row r="14" ht="65" customHeight="1">
      <x:c r="A14" s="16" t="str">
        <x:v>AUTO2-aa9ef2d450b1</x:v>
      </x:c>
      <x:c r="B14" s="16" t="str">
        <x:v>2026-09-24-round2</x:v>
      </x:c>
      <x:c r="C14" s="16" t="str">
        <x:v>zh-TW</x:v>
      </x:c>
      <x:c r="D14" s="16" t="str">
        <x:v>White Flare</x:v>
      </x:c>
      <x:c r="E14" s="16" t="str">
        <x:v>Catalogue code</x:v>
      </x:c>
      <x:c r="F14" s="16" t="str">
        <x:v>SV11W</x:v>
      </x:c>
      <x:c r="G14" s="16" t="str">
        <x:v>official</x:v>
      </x:c>
      <x:c r="H14" s="16" t="str">
        <x:v>https://asia.pokemon-card.com/tw/card-search/</x:v>
      </x:c>
      <x:c r="I14" s="16" t="str">
        <x:v>Traditional Chinese / Taiwan official catalogue identifier</x:v>
      </x:c>
      <x:c r="J14" s="16" t="str">
        <x:v>Exact product label-to-filter link inspected. Destination fetched; no count inferred.</x:v>
      </x:c>
      <x:c r="K14" s="16" t="str">
        <x:v>zh-TW-f6512185fc4f</x:v>
      </x:c>
      <x:c r="L14" s="16" t="str">
        <x:v>set_code</x:v>
      </x:c>
    </x:row>
    <x:row r="15" ht="65" customHeight="1">
      <x:c r="A15" s="16" t="str">
        <x:v>AUTO2-33445abadcb4</x:v>
      </x:c>
      <x:c r="B15" s="16" t="str">
        <x:v>2026-09-24-round2</x:v>
      </x:c>
      <x:c r="C15" s="16" t="str">
        <x:v>zh-TW</x:v>
      </x:c>
      <x:c r="D15" s="16" t="str">
        <x:v>Deck Build Box Paradise Dragona</x:v>
      </x:c>
      <x:c r="E15" s="16" t="str">
        <x:v>Catalogue code</x:v>
      </x:c>
      <x:c r="F15" s="16" t="str">
        <x:v>SVK</x:v>
      </x:c>
      <x:c r="G15" s="16" t="str">
        <x:v>official</x:v>
      </x:c>
      <x:c r="H15" s="16" t="str">
        <x:v>https://asia.pokemon-card.com/tw/card-search/?pageNo=2</x:v>
      </x:c>
      <x:c r="I15" s="16" t="str">
        <x:v>Traditional Chinese / Taiwan official catalogue identifier</x:v>
      </x:c>
      <x:c r="J15" s="16" t="str">
        <x:v>Exact product label-to-filter link inspected. Destination fetched; no count inferred.</x:v>
      </x:c>
      <x:c r="K15" s="16" t="str">
        <x:v>zh-TW-7ed5d482e561</x:v>
      </x:c>
      <x:c r="L15" s="16" t="str">
        <x:v>set_code</x:v>
      </x:c>
    </x:row>
    <x:row r="16" ht="65" customHeight="1">
      <x:c r="A16" s="16" t="str">
        <x:v>AUTO2-32055d6efd68</x:v>
      </x:c>
      <x:c r="B16" s="16" t="str">
        <x:v>2026-09-24-round2</x:v>
      </x:c>
      <x:c r="C16" s="16" t="str">
        <x:v>zh-TW</x:v>
      </x:c>
      <x:c r="D16" s="16" t="str">
        <x:v>Starter Set: Ancient Koraidon ex</x:v>
      </x:c>
      <x:c r="E16" s="16" t="str">
        <x:v>Catalogue code</x:v>
      </x:c>
      <x:c r="F16" s="16" t="str">
        <x:v>SVHK</x:v>
      </x:c>
      <x:c r="G16" s="16" t="str">
        <x:v>official</x:v>
      </x:c>
      <x:c r="H16" s="16" t="str">
        <x:v>https://asia.pokemon-card.com/tw/card-search/?pageNo=3</x:v>
      </x:c>
      <x:c r="I16" s="16" t="str">
        <x:v>Traditional Chinese / Taiwan official catalogue identifier</x:v>
      </x:c>
      <x:c r="J16" s="16" t="str">
        <x:v>Exact product label-to-filter link inspected. Link target URL observed, but destination page could not be retrieved. No contents or totals inferred.</x:v>
      </x:c>
      <x:c r="K16" s="16" t="str">
        <x:v>zh-TW-ce9c29c7e2f0</x:v>
      </x:c>
      <x:c r="L16" s="16" t="str">
        <x:v>set_code</x:v>
      </x:c>
    </x:row>
    <x:row r="17" ht="65" customHeight="1">
      <x:c r="A17" s="16" t="str">
        <x:v>AUTO2-f7cfdc38a438</x:v>
      </x:c>
      <x:c r="B17" s="16" t="str">
        <x:v>2026-09-24-round2</x:v>
      </x:c>
      <x:c r="C17" s="16" t="str">
        <x:v>zh-TW</x:v>
      </x:c>
      <x:c r="D17" s="16" t="str">
        <x:v>Starter Set: Future Miraidon ex</x:v>
      </x:c>
      <x:c r="E17" s="16" t="str">
        <x:v>Catalogue code</x:v>
      </x:c>
      <x:c r="F17" s="16" t="str">
        <x:v>SVHM</x:v>
      </x:c>
      <x:c r="G17" s="16" t="str">
        <x:v>official</x:v>
      </x:c>
      <x:c r="H17" s="16" t="str">
        <x:v>https://asia.pokemon-card.com/tw/card-search/?pageNo=3</x:v>
      </x:c>
      <x:c r="I17" s="16" t="str">
        <x:v>Traditional Chinese / Taiwan official catalogue identifier</x:v>
      </x:c>
      <x:c r="J17" s="16" t="str">
        <x:v>Exact product label-to-filter link inspected. Link target URL observed, but destination page could not be retrieved. No contents or totals inferred.</x:v>
      </x:c>
      <x:c r="K17" s="16" t="str">
        <x:v>zh-TW-016cca521d10</x:v>
      </x:c>
      <x:c r="L17" s="16" t="str">
        <x:v>set_code</x:v>
      </x:c>
    </x:row>
    <x:row r="18" ht="65" customHeight="1">
      <x:c r="A18" s="16" t="str">
        <x:v>AUTO2-ea59f1d2c935</x:v>
      </x:c>
      <x:c r="B18" s="16" t="str">
        <x:v>2026-09-24-round2</x:v>
      </x:c>
      <x:c r="C18" s="16" t="str">
        <x:v>zh-TW</x:v>
      </x:c>
      <x:c r="D18" s="16" t="str">
        <x:v>Starter Set: Tera Skeledirge ex</x:v>
      </x:c>
      <x:c r="E18" s="16" t="str">
        <x:v>Catalogue code</x:v>
      </x:c>
      <x:c r="F18" s="16" t="str">
        <x:v>SVEL</x:v>
      </x:c>
      <x:c r="G18" s="16" t="str">
        <x:v>official</x:v>
      </x:c>
      <x:c r="H18" s="16" t="str">
        <x:v>https://asia.pokemon-card.com/tw/card-search/?pageNo=3</x:v>
      </x:c>
      <x:c r="I18" s="16" t="str">
        <x:v>Traditional Chinese / Taiwan official catalogue identifier</x:v>
      </x:c>
      <x:c r="J18" s="16" t="str">
        <x:v>Exact product label-to-filter link inspected. Link target URL observed, but destination page could not be retrieved. No contents or totals inferred.</x:v>
      </x:c>
      <x:c r="K18" s="16" t="str">
        <x:v>zh-TW-223009b1f580</x:v>
      </x:c>
      <x:c r="L18" s="16" t="str">
        <x:v>set_code</x:v>
      </x:c>
    </x:row>
    <x:row r="19" ht="65" customHeight="1">
      <x:c r="A19" s="16" t="str">
        <x:v>AUTO2-16e4adf7ee5e</x:v>
      </x:c>
      <x:c r="B19" s="16" t="str">
        <x:v>2026-09-24-round2</x:v>
      </x:c>
      <x:c r="C19" s="16" t="str">
        <x:v>zh-TW</x:v>
      </x:c>
      <x:c r="D19" s="16" t="str">
        <x:v>Starter Set: Tera Mewtwo ex</x:v>
      </x:c>
      <x:c r="E19" s="16" t="str">
        <x:v>Catalogue code</x:v>
      </x:c>
      <x:c r="F19" s="16" t="str">
        <x:v>SVEM</x:v>
      </x:c>
      <x:c r="G19" s="16" t="str">
        <x:v>official</x:v>
      </x:c>
      <x:c r="H19" s="16" t="str">
        <x:v>https://asia.pokemon-card.com/tw/card-search/?pageNo=3</x:v>
      </x:c>
      <x:c r="I19" s="16" t="str">
        <x:v>Traditional Chinese / Taiwan official catalogue identifier</x:v>
      </x:c>
      <x:c r="J19" s="16" t="str">
        <x:v>Exact product label-to-filter link inspected. Link target URL observed, but destination page could not be retrieved. No contents or totals inferred.</x:v>
      </x:c>
      <x:c r="K19" s="16" t="str">
        <x:v>zh-TW-dd10ca3114e3</x:v>
      </x:c>
      <x:c r="L19" s="16" t="str">
        <x:v>set_code</x:v>
      </x:c>
    </x:row>
    <x:row r="20" ht="65" customHeight="1">
      <x:c r="A20" s="16" t="str">
        <x:v>AUTO2-318723d3e7a3</x:v>
      </x:c>
      <x:c r="B20" s="16" t="str">
        <x:v>2026-09-24-round2</x:v>
      </x:c>
      <x:c r="C20" s="16" t="str">
        <x:v>zh-TW</x:v>
      </x:c>
      <x:c r="D20" s="16" t="str">
        <x:v>Raging Surf</x:v>
      </x:c>
      <x:c r="E20" s="16" t="str">
        <x:v>Catalogue code</x:v>
      </x:c>
      <x:c r="F20" s="16" t="str">
        <x:v>SV3a</x:v>
      </x:c>
      <x:c r="G20" s="16" t="str">
        <x:v>official</x:v>
      </x:c>
      <x:c r="H20" s="16" t="str">
        <x:v>https://asia.pokemon-card.com/tw/card-search/?pageNo=3</x:v>
      </x:c>
      <x:c r="I20" s="16" t="str">
        <x:v>Traditional Chinese / Taiwan official catalogue identifier</x:v>
      </x:c>
      <x:c r="J20" s="16" t="str">
        <x:v>Exact product label-to-filter link inspected. Link target URL observed, but destination page could not be retrieved. No contents or totals inferred.</x:v>
      </x:c>
      <x:c r="K20" s="16" t="str">
        <x:v>zh-TW-a993463f10a7</x:v>
      </x:c>
      <x:c r="L20" s="16" t="str">
        <x:v>set_code</x:v>
      </x:c>
    </x:row>
    <x:row r="21" ht="65" customHeight="1">
      <x:c r="A21" s="16" t="str">
        <x:v>AUTO2-03c90aca2b4a</x:v>
      </x:c>
      <x:c r="B21" s="16" t="str">
        <x:v>2026-09-24-round2</x:v>
      </x:c>
      <x:c r="C21" s="16" t="str">
        <x:v>zh-TW</x:v>
      </x:c>
      <x:c r="D21" s="16" t="str">
        <x:v>Deck Build Box Ruler of the Black Flame</x:v>
      </x:c>
      <x:c r="E21" s="16" t="str">
        <x:v>Catalogue code</x:v>
      </x:c>
      <x:c r="F21" s="16" t="str">
        <x:v>SVF</x:v>
      </x:c>
      <x:c r="G21" s="16" t="str">
        <x:v>official</x:v>
      </x:c>
      <x:c r="H21" s="16" t="str">
        <x:v>https://asia.pokemon-card.com/tw/card-search/?pageNo=3</x:v>
      </x:c>
      <x:c r="I21" s="16" t="str">
        <x:v>Traditional Chinese / Taiwan official catalogue identifier</x:v>
      </x:c>
      <x:c r="J21" s="16" t="str">
        <x:v>Exact product label-to-filter link inspected. Destination fetched; no count inferred.</x:v>
      </x:c>
      <x:c r="K21" s="16" t="str">
        <x:v>zh-TW-17bf7041d61f</x:v>
      </x:c>
      <x:c r="L21" s="16" t="str">
        <x:v>set_code</x:v>
      </x:c>
    </x:row>
    <x:row r="22" ht="65" customHeight="1">
      <x:c r="A22" s="16" t="str">
        <x:v>AUTO2-bb96c2cd745e</x:v>
      </x:c>
      <x:c r="B22" s="16" t="str">
        <x:v>2026-09-24-round2</x:v>
      </x:c>
      <x:c r="C22" s="16" t="str">
        <x:v>zh-TW</x:v>
      </x:c>
      <x:c r="D22" s="16" t="str">
        <x:v>ex Start Decks</x:v>
      </x:c>
      <x:c r="E22" s="16" t="str">
        <x:v>Catalogue code</x:v>
      </x:c>
      <x:c r="F22" s="16" t="str">
        <x:v>SVD</x:v>
      </x:c>
      <x:c r="G22" s="16" t="str">
        <x:v>official</x:v>
      </x:c>
      <x:c r="H22" s="16" t="str">
        <x:v>https://asia.pokemon-card.com/tw/card-search/?pageNo=3</x:v>
      </x:c>
      <x:c r="I22" s="16" t="str">
        <x:v>Traditional Chinese / Taiwan official catalogue identifier</x:v>
      </x:c>
      <x:c r="J22" s="16" t="str">
        <x:v>Exact product label-to-filter link inspected. Destination fetched; no count inferred.</x:v>
      </x:c>
      <x:c r="K22" s="16" t="str">
        <x:v>zh-TW-16c34ed22967</x:v>
      </x:c>
      <x:c r="L22" s="16" t="str">
        <x:v>set_code</x:v>
      </x:c>
    </x:row>
    <x:row r="23" ht="65" customHeight="1">
      <x:c r="A23" s="16" t="str">
        <x:v>AUTO2-ec85f04378c3</x:v>
      </x:c>
      <x:c r="B23" s="16" t="str">
        <x:v>2026-09-24-round2</x:v>
      </x:c>
      <x:c r="C23" s="16" t="str">
        <x:v>zh-TW</x:v>
      </x:c>
      <x:c r="D23" s="16" t="str">
        <x:v>ex Special Set</x:v>
      </x:c>
      <x:c r="E23" s="16" t="str">
        <x:v>Catalogue code</x:v>
      </x:c>
      <x:c r="F23" s="16" t="str">
        <x:v>SVP1</x:v>
      </x:c>
      <x:c r="G23" s="16" t="str">
        <x:v>official</x:v>
      </x:c>
      <x:c r="H23" s="16" t="str">
        <x:v>https://asia.pokemon-card.com/tw/card-search/?pageNo=3</x:v>
      </x:c>
      <x:c r="I23" s="16" t="str">
        <x:v>Traditional Chinese / Taiwan official catalogue identifier</x:v>
      </x:c>
      <x:c r="J23" s="16" t="str">
        <x:v>Exact product label-to-filter link inspected. Destination fetched; no count inferred.</x:v>
      </x:c>
      <x:c r="K23" s="16" t="str">
        <x:v>zh-TW-2bde775c2fe4</x:v>
      </x:c>
      <x:c r="L23" s="16" t="str">
        <x:v>set_code</x:v>
      </x:c>
    </x:row>
    <x:row r="24" ht="65" customHeight="1">
      <x:c r="A24" s="16" t="str">
        <x:v>AUTO2-dc445d1df0f7</x:v>
      </x:c>
      <x:c r="B24" s="16" t="str">
        <x:v>2026-09-24-round2</x:v>
      </x:c>
      <x:c r="C24" s="16" t="str">
        <x:v>zh-TW</x:v>
      </x:c>
      <x:c r="D24" s="16" t="str">
        <x:v>Starter Set ex: Pikachu Special Set</x:v>
      </x:c>
      <x:c r="E24" s="16" t="str">
        <x:v>Catalogue code</x:v>
      </x:c>
      <x:c r="F24" s="16" t="str">
        <x:v>SVC</x:v>
      </x:c>
      <x:c r="G24" s="16" t="str">
        <x:v>official</x:v>
      </x:c>
      <x:c r="H24" s="16" t="str">
        <x:v>https://asia.pokemon-card.com/tw/card-search/?pageNo=3</x:v>
      </x:c>
      <x:c r="I24" s="16" t="str">
        <x:v>Traditional Chinese / Taiwan official catalogue identifier</x:v>
      </x:c>
      <x:c r="J24" s="16" t="str">
        <x:v>Exact product label-to-filter link inspected. Destination fetched; no count inferred.</x:v>
      </x:c>
      <x:c r="K24" s="16" t="str">
        <x:v>zh-TW-51bdd451cf9e</x:v>
      </x:c>
      <x:c r="L24" s="16" t="str">
        <x:v>set_code</x:v>
      </x:c>
    </x:row>
    <x:row r="25" ht="65" customHeight="1">
      <x:c r="A25" s="16" t="str">
        <x:v>AUTO2-60ce31278671</x:v>
      </x:c>
      <x:c r="B25" s="16" t="str">
        <x:v>2026-09-24-round2</x:v>
      </x:c>
      <x:c r="C25" s="16" t="str">
        <x:v>zh-TW</x:v>
      </x:c>
      <x:c r="D25" s="16" t="str">
        <x:v>Premium Trainer Box ex</x:v>
      </x:c>
      <x:c r="E25" s="16" t="str">
        <x:v>Catalogue code</x:v>
      </x:c>
      <x:c r="F25" s="16" t="str">
        <x:v>SVB</x:v>
      </x:c>
      <x:c r="G25" s="16" t="str">
        <x:v>official</x:v>
      </x:c>
      <x:c r="H25" s="16" t="str">
        <x:v>https://asia.pokemon-card.com/tw/card-search/?pageNo=3</x:v>
      </x:c>
      <x:c r="I25" s="16" t="str">
        <x:v>Traditional Chinese / Taiwan official catalogue identifier</x:v>
      </x:c>
      <x:c r="J25" s="16" t="str">
        <x:v>Exact product label-to-filter link inspected. Destination fetched; no count inferred.</x:v>
      </x:c>
      <x:c r="K25" s="16" t="str">
        <x:v>zh-TW-ad64ada63d4e</x:v>
      </x:c>
      <x:c r="L25" s="16" t="str">
        <x:v>set_code</x:v>
      </x:c>
    </x:row>
    <x:row r="26" ht="65" customHeight="1">
      <x:c r="A26" s="16" t="str">
        <x:v>AUTO2-c4bc9405600d</x:v>
      </x:c>
      <x:c r="B26" s="16" t="str">
        <x:v>2026-09-24-round2</x:v>
      </x:c>
      <x:c r="C26" s="16" t="str">
        <x:v>zh-TW</x:v>
      </x:c>
      <x:c r="D26" s="16" t="str">
        <x:v>Starter Set ex: Sprigatito &amp; Lucario ex</x:v>
      </x:c>
      <x:c r="E26" s="16" t="str">
        <x:v>Catalogue code</x:v>
      </x:c>
      <x:c r="F26" s="16" t="str">
        <x:v>SVAM</x:v>
      </x:c>
      <x:c r="G26" s="16" t="str">
        <x:v>official</x:v>
      </x:c>
      <x:c r="H26" s="16" t="str">
        <x:v>https://asia.pokemon-card.com/tw/card-search/?pageNo=4</x:v>
      </x:c>
      <x:c r="I26" s="16" t="str">
        <x:v>Traditional Chinese / Taiwan official catalogue identifier</x:v>
      </x:c>
      <x:c r="J26" s="16" t="str">
        <x:v>Exact product label-to-filter link inspected. Destination fetched; no count inferred.</x:v>
      </x:c>
      <x:c r="K26" s="16" t="str">
        <x:v>zh-TW-097b4570ee69</x:v>
      </x:c>
      <x:c r="L26" s="16" t="str">
        <x:v>set_code</x:v>
      </x:c>
    </x:row>
    <x:row r="27" ht="65" customHeight="1">
      <x:c r="A27" s="16" t="str">
        <x:v>AUTO2-6d18ab1f78d8</x:v>
      </x:c>
      <x:c r="B27" s="16" t="str">
        <x:v>2026-09-24-round2</x:v>
      </x:c>
      <x:c r="C27" s="16" t="str">
        <x:v>zh-TW</x:v>
      </x:c>
      <x:c r="D27" s="16" t="str">
        <x:v>Paradigm Trigger</x:v>
      </x:c>
      <x:c r="E27" s="16" t="str">
        <x:v>Catalogue code</x:v>
      </x:c>
      <x:c r="F27" s="16" t="str">
        <x:v>S12</x:v>
      </x:c>
      <x:c r="G27" s="16" t="str">
        <x:v>official</x:v>
      </x:c>
      <x:c r="H27" s="16" t="str">
        <x:v>https://asia.pokemon-card.com/tw/card-search/?pageNo=4</x:v>
      </x:c>
      <x:c r="I27" s="16" t="str">
        <x:v>Traditional Chinese / Taiwan official catalogue identifier</x:v>
      </x:c>
      <x:c r="J27" s="16" t="str">
        <x:v>Exact product label-to-filter link inspected. Destination fetched; no count inferred.</x:v>
      </x:c>
      <x:c r="K27" s="16" t="str">
        <x:v>zh-TW-5be09528cd62</x:v>
      </x:c>
      <x:c r="L27" s="16" t="str">
        <x:v>set_code</x:v>
      </x:c>
    </x:row>
    <x:row r="28" ht="65" customHeight="1">
      <x:c r="A28" s="16" t="str">
        <x:v>AUTO2-9e8b8c8ae3e3</x:v>
      </x:c>
      <x:c r="B28" s="16" t="str">
        <x:v>2026-09-24-round2</x:v>
      </x:c>
      <x:c r="C28" s="16" t="str">
        <x:v>zh-TW</x:v>
      </x:c>
      <x:c r="D28" s="16" t="str">
        <x:v>Special Deck Set: Charizard VSTAR vs Rayquaza VMAX</x:v>
      </x:c>
      <x:c r="E28" s="16" t="str">
        <x:v>Catalogue code</x:v>
      </x:c>
      <x:c r="F28" s="16" t="str">
        <x:v>SO</x:v>
      </x:c>
      <x:c r="G28" s="16" t="str">
        <x:v>official</x:v>
      </x:c>
      <x:c r="H28" s="16" t="str">
        <x:v>https://asia.pokemon-card.com/tw/card-search/?pageNo=4</x:v>
      </x:c>
      <x:c r="I28" s="16" t="str">
        <x:v>Traditional Chinese / Taiwan official catalogue identifier</x:v>
      </x:c>
      <x:c r="J28" s="16" t="str">
        <x:v>Exact product label-to-filter link inspected. Destination fetched; no count inferred.</x:v>
      </x:c>
      <x:c r="K28" s="16" t="str">
        <x:v>zh-TW-6213b9de84cd</x:v>
      </x:c>
      <x:c r="L28" s="16" t="str">
        <x:v>set_code</x:v>
      </x:c>
    </x:row>
    <x:row r="29" ht="65" customHeight="1">
      <x:c r="A29" s="16" t="str">
        <x:v>AUTO2-42774025c7b5</x:v>
      </x:c>
      <x:c r="B29" s="16" t="str">
        <x:v>2026-09-24-round2</x:v>
      </x:c>
      <x:c r="C29" s="16" t="str">
        <x:v>zh-TW</x:v>
      </x:c>
      <x:c r="D29" s="16" t="str">
        <x:v>VSTAR &amp; VMAX High-Class Deck: Zeraora</x:v>
      </x:c>
      <x:c r="E29" s="16" t="str">
        <x:v>Catalogue code</x:v>
      </x:c>
      <x:c r="F29" s="16" t="str">
        <x:v>SPZ</x:v>
      </x:c>
      <x:c r="G29" s="16" t="str">
        <x:v>official</x:v>
      </x:c>
      <x:c r="H29" s="16" t="str">
        <x:v>https://asia.pokemon-card.com/tw/card-search/?pageNo=4</x:v>
      </x:c>
      <x:c r="I29" s="16" t="str">
        <x:v>Traditional Chinese / Taiwan official catalogue identifier</x:v>
      </x:c>
      <x:c r="J29" s="16" t="str">
        <x:v>Exact product label-to-filter link inspected. Destination fetched; no count inferred.</x:v>
      </x:c>
      <x:c r="K29" s="16" t="str">
        <x:v>zh-TW-d5f405f1ae6f</x:v>
      </x:c>
      <x:c r="L29" s="16" t="str">
        <x:v>set_code</x:v>
      </x:c>
    </x:row>
    <x:row r="30" ht="65" customHeight="1">
      <x:c r="A30" s="16" t="str">
        <x:v>AUTO2-987bf7b3745a</x:v>
      </x:c>
      <x:c r="B30" s="16" t="str">
        <x:v>2026-09-24-round2</x:v>
      </x:c>
      <x:c r="C30" s="16" t="str">
        <x:v>ja</x:v>
      </x:c>
      <x:c r="D30" s="16" t="str">
        <x:v>Raichu BREAK Evolution Pack</x:v>
      </x:c>
      <x:c r="E30" s="16" t="str">
        <x:v>Native name</x:v>
      </x:c>
      <x:c r="F30" s="16" t="str">
        <x:v>BREAK進化パック「ライチュウBREAK」</x:v>
      </x:c>
      <x:c r="G30" s="16" t="str">
        <x:v>official</x:v>
      </x:c>
      <x:c r="H30" s="16" t="str">
        <x:v>https://www.pokemon-card.com/products/xy/snp.html</x:v>
      </x:c>
      <x:c r="I30" s="16" t="str">
        <x:v>Japanese product title</x:v>
      </x:c>
      <x:c r="J30" s="16" t="str">
        <x:v>Native product title on the official page.</x:v>
      </x:c>
      <x:c r="K30" s="16" t="str">
        <x:v>ja-6ad21e162182</x:v>
      </x:c>
      <x:c r="L30" s="16" t="str">
        <x:v>name_native</x:v>
      </x:c>
    </x:row>
    <x:row r="31" ht="65" customHeight="1">
      <x:c r="A31" s="16" t="str">
        <x:v>AUTO2-ce7d10c5f680</x:v>
      </x:c>
      <x:c r="B31" s="16" t="str">
        <x:v>2026-09-24-round2</x:v>
      </x:c>
      <x:c r="C31" s="16" t="str">
        <x:v>ja</x:v>
      </x:c>
      <x:c r="D31" s="16" t="str">
        <x:v>Raichu BREAK Evolution Pack</x:v>
      </x:c>
      <x:c r="E31" s="16" t="str">
        <x:v>Physical product quantity</x:v>
      </x:c>
      <x:c r="F31" s="16" t="str">
        <x:v>12</x:v>
      </x:c>
      <x:c r="G31" s="16" t="str">
        <x:v>official</x:v>
      </x:c>
      <x:c r="H31" s="16" t="str">
        <x:v>https://www.pokemon-card.com/products/xy/snp.html</x:v>
      </x:c>
      <x:c r="I31" s="16" t="str">
        <x:v>Physical cards in one fixed-content BREAK Evolution Pack, including repeats</x:v>
      </x:c>
      <x:c r="J31" s="16" t="str">
        <x:v>Official package content specifies 12 cards. Not a unique or numbered-card total.</x:v>
      </x:c>
      <x:c r="K31" s="16" t="str">
        <x:v>ja-6ad21e162182</x:v>
      </x:c>
      <x:c r="L31" s="16" t="str">
        <x:v>product_card_quantity</x:v>
      </x:c>
    </x:row>
    <x:row r="32" ht="65" customHeight="1">
      <x:c r="A32" s="16" t="str">
        <x:v>AUTO2-ceb2623c7c25</x:v>
      </x:c>
      <x:c r="B32" s="16" t="str">
        <x:v>2026-09-24-round2</x:v>
      </x:c>
      <x:c r="C32" s="16" t="str">
        <x:v>ja</x:v>
      </x:c>
      <x:c r="D32" s="16" t="str">
        <x:v>Noivern BREAK Evolution Pack</x:v>
      </x:c>
      <x:c r="E32" s="16" t="str">
        <x:v>Native name</x:v>
      </x:c>
      <x:c r="F32" s="16" t="str">
        <x:v>BREAK進化パック「オンバーンBREAK」</x:v>
      </x:c>
      <x:c r="G32" s="16" t="str">
        <x:v>official</x:v>
      </x:c>
      <x:c r="H32" s="16" t="str">
        <x:v>https://www.pokemon-card.com/products/xy/snp.html</x:v>
      </x:c>
      <x:c r="I32" s="16" t="str">
        <x:v>Japanese product title</x:v>
      </x:c>
      <x:c r="J32" s="16" t="str">
        <x:v>Native product title on the official page.</x:v>
      </x:c>
      <x:c r="K32" s="16" t="str">
        <x:v>ja-5f9ba7db5890</x:v>
      </x:c>
      <x:c r="L32" s="16" t="str">
        <x:v>name_native</x:v>
      </x:c>
    </x:row>
    <x:row r="33" ht="65" customHeight="1">
      <x:c r="A33" s="16" t="str">
        <x:v>AUTO2-062efc39465a</x:v>
      </x:c>
      <x:c r="B33" s="16" t="str">
        <x:v>2026-09-24-round2</x:v>
      </x:c>
      <x:c r="C33" s="16" t="str">
        <x:v>ja</x:v>
      </x:c>
      <x:c r="D33" s="16" t="str">
        <x:v>Noivern BREAK Evolution Pack</x:v>
      </x:c>
      <x:c r="E33" s="16" t="str">
        <x:v>Physical product quantity</x:v>
      </x:c>
      <x:c r="F33" s="16" t="str">
        <x:v>12</x:v>
      </x:c>
      <x:c r="G33" s="16" t="str">
        <x:v>official</x:v>
      </x:c>
      <x:c r="H33" s="16" t="str">
        <x:v>https://www.pokemon-card.com/products/xy/snp.html</x:v>
      </x:c>
      <x:c r="I33" s="16" t="str">
        <x:v>Physical cards in one fixed-content BREAK Evolution Pack, including repeats</x:v>
      </x:c>
      <x:c r="J33" s="16" t="str">
        <x:v>Official package content specifies 12 cards. Not a unique or numbered-card total.</x:v>
      </x:c>
      <x:c r="K33" s="16" t="str">
        <x:v>ja-5f9ba7db5890</x:v>
      </x:c>
      <x:c r="L33" s="16" t="str">
        <x:v>product_card_quantity</x:v>
      </x:c>
    </x:row>
    <x:row r="34" ht="65" customHeight="1">
      <x:c r="A34" s="16" t="str">
        <x:v>AUTO2-d3e01430a655</x:v>
      </x:c>
      <x:c r="B34" s="16" t="str">
        <x:v>2026-09-24-round2</x:v>
      </x:c>
      <x:c r="C34" s="16" t="str">
        <x:v>zh-CN</x:v>
      </x:c>
      <x:c r="D34" s="16" t="str">
        <x:v>Start Deck 100</x:v>
      </x:c>
      <x:c r="E34" s="16" t="str">
        <x:v>Native name</x:v>
      </x:c>
      <x:c r="F34" s="16" t="str">
        <x:v>起始卡组100</x:v>
      </x:c>
      <x:c r="G34" s="16" t="str">
        <x:v>official</x:v>
      </x:c>
      <x:c r="H34" s="16" t="str">
        <x:v>https://www.pokemon.cn/tcg/product/15882.html</x:v>
      </x:c>
      <x:c r="I34" s="16" t="str">
        <x:v>Mainland China / Simplified Chinese product</x:v>
      </x:c>
      <x:c r="J34" s="16" t="str">
        <x:v>Official product name.</x:v>
      </x:c>
      <x:c r="K34" s="16" t="str">
        <x:v>zh-CN-f17188026f82</x:v>
      </x:c>
      <x:c r="L34" s="16" t="str">
        <x:v>name_native</x:v>
      </x:c>
    </x:row>
    <x:row r="35" ht="65" customHeight="1">
      <x:c r="A35" s="16" t="str">
        <x:v>AUTO2-f56fa3ed9091</x:v>
      </x:c>
      <x:c r="B35" s="16" t="str">
        <x:v>2026-09-24-round2</x:v>
      </x:c>
      <x:c r="C35" s="16" t="str">
        <x:v>zh-CN</x:v>
      </x:c>
      <x:c r="D35" s="16" t="str">
        <x:v>Start Deck 100</x:v>
      </x:c>
      <x:c r="E35" s="16" t="str">
        <x:v>Release date</x:v>
      </x:c>
      <x:c r="F35" s="16" t="str">
        <x:v>2024-05-17</x:v>
      </x:c>
      <x:c r="G35" s="16" t="str">
        <x:v>official</x:v>
      </x:c>
      <x:c r="H35" s="16" t="str">
        <x:v>https://www.pokemon.cn/tcg/product/15882.html</x:v>
      </x:c>
      <x:c r="I35" s="16" t="str">
        <x:v>Mainland China retail release</x:v>
      </x:c>
      <x:c r="J35" s="16" t="str">
        <x:v>Product specifications provide the complete release date; not the article publication date.</x:v>
      </x:c>
      <x:c r="K35" s="16" t="str">
        <x:v>zh-CN-f17188026f82</x:v>
      </x:c>
      <x:c r="L35" s="16" t="str">
        <x:v>release_date</x:v>
      </x:c>
    </x:row>
    <x:row r="36" ht="65" customHeight="1">
      <x:c r="A36" s="16" t="str">
        <x:v>AUTO2-61096338adc3</x:v>
      </x:c>
      <x:c r="B36" s="16" t="str">
        <x:v>2026-09-24-round2</x:v>
      </x:c>
      <x:c r="C36" s="16" t="str">
        <x:v>zh-CN</x:v>
      </x:c>
      <x:c r="D36" s="16" t="str">
        <x:v>Start Deck 100</x:v>
      </x:c>
      <x:c r="E36" s="16" t="str">
        <x:v>Physical product quantity</x:v>
      </x:c>
      <x:c r="F36" s="16" t="str">
        <x:v>60</x:v>
      </x:c>
      <x:c r="G36" s="16" t="str">
        <x:v>official</x:v>
      </x:c>
      <x:c r="H36" s="16" t="str">
        <x:v>https://www.pokemon.cn/tcg/product/15882.html</x:v>
      </x:c>
      <x:c r="I36" s="16" t="str">
        <x:v>Physical cards per purchased Start Deck 100 deck, including repeats</x:v>
      </x:c>
      <x:c r="J36" s="16" t="str">
        <x:v>Official content specifies one constructed 60-card deck; not 60 unique cards across the product family.</x:v>
      </x:c>
      <x:c r="K36" s="16" t="str">
        <x:v>zh-CN-f17188026f82</x:v>
      </x:c>
      <x:c r="L36" s="16" t="str">
        <x:v>product_card_quantity</x:v>
      </x:c>
    </x:row>
    <x:row r="37" ht="65" customHeight="1">
      <x:c r="A37" s="16" t="str">
        <x:v>AUTO2-e3e25eb05636</x:v>
      </x:c>
      <x:c r="B37" s="16" t="str">
        <x:v>2026-09-24-round2</x:v>
      </x:c>
      <x:c r="C37" s="16" t="str">
        <x:v>zh-CN</x:v>
      </x:c>
      <x:c r="D37" s="16" t="str">
        <x:v>Shining Synergy GX Starter Decks</x:v>
      </x:c>
      <x:c r="E37" s="16" t="str">
        <x:v>Native name</x:v>
      </x:c>
      <x:c r="F37" s="16" t="str">
        <x:v>起始卡组 交相辉映GX</x:v>
      </x:c>
      <x:c r="G37" s="16" t="str">
        <x:v>official</x:v>
      </x:c>
      <x:c r="H37" s="16" t="str">
        <x:v>https://www.pokemon.cn/tcg/other/17172.html</x:v>
      </x:c>
      <x:c r="I37" s="16" t="str">
        <x:v>Mainland China / Shining Synergy GX starter family</x:v>
      </x:c>
      <x:c r="J37" s="16" t="str">
        <x:v>Official erratum identifies the starter product, release date and a CSM2D 339/342 card. Denominator is not used as evidence of a complete checklist.</x:v>
      </x:c>
      <x:c r="K37" s="16" t="str">
        <x:v>zh-CN-bbdfaf4b06d8</x:v>
      </x:c>
      <x:c r="L37" s="16" t="str">
        <x:v>name_native</x:v>
      </x:c>
    </x:row>
    <x:row r="38" ht="65" customHeight="1">
      <x:c r="A38" s="16" t="str">
        <x:v>AUTO2-bb8e2d7b19ae</x:v>
      </x:c>
      <x:c r="B38" s="16" t="str">
        <x:v>2026-09-24-round2</x:v>
      </x:c>
      <x:c r="C38" s="16" t="str">
        <x:v>zh-CN</x:v>
      </x:c>
      <x:c r="D38" s="16" t="str">
        <x:v>Shining Synergy GX Starter Decks</x:v>
      </x:c>
      <x:c r="E38" s="16" t="str">
        <x:v>Release date</x:v>
      </x:c>
      <x:c r="F38" s="16" t="str">
        <x:v>2023-01-18</x:v>
      </x:c>
      <x:c r="G38" s="16" t="str">
        <x:v>official</x:v>
      </x:c>
      <x:c r="H38" s="16" t="str">
        <x:v>https://www.pokemon.cn/tcg/other/17172.html</x:v>
      </x:c>
      <x:c r="I38" s="16" t="str">
        <x:v>Mainland China / Shining Synergy GX starter family</x:v>
      </x:c>
      <x:c r="J38" s="16" t="str">
        <x:v>Official erratum identifies the starter product, release date and a CSM2D 339/342 card. Denominator is not used as evidence of a complete checklist.</x:v>
      </x:c>
      <x:c r="K38" s="16" t="str">
        <x:v>zh-CN-bbdfaf4b06d8</x:v>
      </x:c>
      <x:c r="L38" s="16" t="str">
        <x:v>release_date</x:v>
      </x:c>
    </x:row>
    <x:row r="39" ht="65" customHeight="1">
      <x:c r="A39" s="16" t="str">
        <x:v>AUTO2-88c01e6a7ad6</x:v>
      </x:c>
      <x:c r="B39" s="16" t="str">
        <x:v>2026-09-24-round2</x:v>
      </x:c>
      <x:c r="C39" s="16" t="str">
        <x:v>zh-CN</x:v>
      </x:c>
      <x:c r="D39" s="16" t="str">
        <x:v>Shining Synergy GX Starter Decks</x:v>
      </x:c>
      <x:c r="E39" s="16" t="str">
        <x:v>Catalogue code</x:v>
      </x:c>
      <x:c r="F39" s="16" t="str">
        <x:v>CSM2D</x:v>
      </x:c>
      <x:c r="G39" s="16" t="str">
        <x:v>official</x:v>
      </x:c>
      <x:c r="H39" s="16" t="str">
        <x:v>https://www.pokemon.cn/tcg/other/17172.html</x:v>
      </x:c>
      <x:c r="I39" s="16" t="str">
        <x:v>Mainland China / Shining Synergy GX starter family</x:v>
      </x:c>
      <x:c r="J39" s="16" t="str">
        <x:v>Official erratum identifies the starter product, release date and a CSM2D 339/342 card. Denominator is not used as evidence of a complete checklist.</x:v>
      </x:c>
      <x:c r="K39" s="16" t="str">
        <x:v>zh-CN-bbdfaf4b06d8</x:v>
      </x:c>
      <x:c r="L39" s="16" t="str">
        <x:v>set_code</x:v>
      </x:c>
    </x:row>
    <x:row r="40" ht="65" customHeight="1">
      <x:c r="A40" s="16" t="str">
        <x:v>AUTO2-ed285465ae29</x:v>
      </x:c>
      <x:c r="B40" s="16" t="str">
        <x:v>2026-09-24-round2</x:v>
      </x:c>
      <x:c r="C40" s="16" t="str">
        <x:v>zh-CN</x:v>
      </x:c>
      <x:c r="D40" s="16" t="str">
        <x:v>Storming Emergence GX Starter Decks</x:v>
      </x:c>
      <x:c r="E40" s="16" t="str">
        <x:v>Native name</x:v>
      </x:c>
      <x:c r="F40" s="16" t="str">
        <x:v>横空出世GX起始卡组</x:v>
      </x:c>
      <x:c r="G40" s="16" t="str">
        <x:v>official</x:v>
      </x:c>
      <x:c r="H40" s="16" t="str">
        <x:v>https://www.pokemon.cn/tcg/product/16368.html</x:v>
      </x:c>
      <x:c r="I40" s="16" t="str">
        <x:v>Mainland China / Simplified Chinese product family</x:v>
      </x:c>
      <x:c r="J40" s="16" t="str">
        <x:v>Product named in the dated official launch-day announcement.</x:v>
      </x:c>
      <x:c r="K40" s="16" t="str">
        <x:v>zh-CN-0fba1dd957df</x:v>
      </x:c>
      <x:c r="L40" s="16" t="str">
        <x:v>name_native</x:v>
      </x:c>
    </x:row>
    <x:row r="41" ht="65" customHeight="1">
      <x:c r="A41" s="16" t="str">
        <x:v>AUTO2-19b28626a946</x:v>
      </x:c>
      <x:c r="B41" s="16" t="str">
        <x:v>2026-09-24-round2</x:v>
      </x:c>
      <x:c r="C41" s="16" t="str">
        <x:v>zh-CN</x:v>
      </x:c>
      <x:c r="D41" s="16" t="str">
        <x:v>Storming Emergence GX Starter Decks</x:v>
      </x:c>
      <x:c r="E41" s="16" t="str">
        <x:v>Release date</x:v>
      </x:c>
      <x:c r="F41" s="16" t="str">
        <x:v>2022-10-28</x:v>
      </x:c>
      <x:c r="G41" s="16" t="str">
        <x:v>official</x:v>
      </x:c>
      <x:c r="H41" s="16" t="str">
        <x:v>https://www.pokemon.cn/tcg/product/16368.html</x:v>
      </x:c>
      <x:c r="I41" s="16" t="str">
        <x:v>Mainland China retail launch</x:v>
      </x:c>
      <x:c r="J41" s="16" t="str">
        <x:v>Announcement dated 2022-10-28 states the products are released today and explicitly includes these starter decks.</x:v>
      </x:c>
      <x:c r="K41" s="16" t="str">
        <x:v>zh-CN-0fba1dd957df</x:v>
      </x:c>
      <x:c r="L41" s="16" t="str">
        <x:v>release_date</x:v>
      </x:c>
    </x:row>
    <x:row r="42" ht="65" customHeight="1">
      <x:c r="A42" s="16" t="str">
        <x:v>AUTO2-c3aad1d73df9</x:v>
      </x:c>
      <x:c r="B42" s="16" t="str">
        <x:v>2026-09-24-round2</x:v>
      </x:c>
      <x:c r="C42" s="16" t="str">
        <x:v>ja</x:v>
      </x:c>
      <x:c r="D42" s="16" t="str">
        <x:v>Garchomp Half Deck</x:v>
      </x:c>
      <x:c r="E42" s="16" t="str">
        <x:v>Native name</x:v>
      </x:c>
      <x:c r="F42" s="16" t="str">
        <x:v>ガブリアスデッキ30</x:v>
      </x:c>
      <x:c r="G42" s="16" t="str">
        <x:v>official</x:v>
      </x:c>
      <x:c r="H42" s="16" t="str">
        <x:v>https://www.pokemon-card.com/card-search/details.php/card/27982</x:v>
      </x:c>
      <x:c r="I42" s="16" t="str">
        <x:v>Japanese deck product</x:v>
      </x:c>
      <x:c r="J42" s="16" t="str">
        <x:v>Official card page labels its source product as Garchomp Deck 30; physical quantity not inferred from title alone.</x:v>
      </x:c>
      <x:c r="K42" s="16" t="str">
        <x:v>ja-cc38166449ff</x:v>
      </x:c>
      <x:c r="L42" s="16" t="str">
        <x:v>name_native</x:v>
      </x:c>
    </x:row>
    <x:row r="43" ht="65" customHeight="1">
      <x:c r="A43" s="16" t="str">
        <x:v>AUTO2-9fbf3d0cf8bc</x:v>
      </x:c>
      <x:c r="B43" s="16" t="str">
        <x:v>2026-09-24-round2</x:v>
      </x:c>
      <x:c r="C43" s="16" t="str">
        <x:v>ja</x:v>
      </x:c>
      <x:c r="D43" s="16" t="str">
        <x:v>Exciting Battle for Everyone</x:v>
      </x:c>
      <x:c r="E43" s="16" t="str">
        <x:v>Native name</x:v>
      </x:c>
      <x:c r="F43" s="16" t="str">
        <x:v>みんなのWAKUWAKUバトル</x:v>
      </x:c>
      <x:c r="G43" s="16" t="str">
        <x:v>official</x:v>
      </x:c>
      <x:c r="H43" s="16" t="str">
        <x:v>https://www.pokemon-card.com/card-search/details.php/card/28455</x:v>
      </x:c>
      <x:c r="I43" s="16" t="str">
        <x:v>Japanese product</x:v>
      </x:c>
      <x:c r="J43" s="16" t="str">
        <x:v>Official card page explicitly names the product.</x:v>
      </x:c>
      <x:c r="K43" s="16" t="str">
        <x:v>ja-fb8b80ed6a17</x:v>
      </x:c>
      <x:c r="L43" s="16" t="str">
        <x:v>name_native</x:v>
      </x:c>
    </x:row>
    <x:row r="44" ht="65" customHeight="1">
      <x:c r="A44" s="16" t="str">
        <x:v>AUTO2-edd9fba14ff1</x:v>
      </x:c>
      <x:c r="B44" s="16" t="str">
        <x:v>2026-09-24-round2</x:v>
      </x:c>
      <x:c r="C44" s="16" t="str">
        <x:v>ja</x:v>
      </x:c>
      <x:c r="D44" s="16" t="str">
        <x:v>Eevee Heroes VMAX Special Set</x:v>
      </x:c>
      <x:c r="E44" s="16" t="str">
        <x:v>Native name</x:v>
      </x:c>
      <x:c r="F44" s="16" t="str">
        <x:v>VMAXスペシャルセット イーブイヒーローズ</x:v>
      </x:c>
      <x:c r="G44" s="16" t="str">
        <x:v>official</x:v>
      </x:c>
      <x:c r="H44" s="16" t="str">
        <x:v>https://www.pokemon-card.com/products/s/sp4.html</x:v>
      </x:c>
      <x:c r="I44" s="16" t="str">
        <x:v>Japanese product</x:v>
      </x:c>
      <x:c r="J44" s="16" t="str">
        <x:v>Official product title. No whole-product quantity inferred from one internal promo pack.</x:v>
      </x:c>
      <x:c r="K44" s="16" t="str">
        <x:v>ja-25e1785bd838</x:v>
      </x:c>
      <x:c r="L44" s="16" t="str">
        <x:v>name_native</x:v>
      </x:c>
    </x:row>
    <x:row r="45" ht="65" customHeight="1">
      <x:c r="A45" s="16" t="str">
        <x:v>AUTO2-2f702b4493e7</x:v>
      </x:c>
      <x:c r="B45" s="16" t="str">
        <x:v>2026-09-24-round2</x:v>
      </x:c>
      <x:c r="C45" s="16" t="str">
        <x:v>ja</x:v>
      </x:c>
      <x:c r="D45" s="16" t="str">
        <x:v>Hydreigon Half Deck</x:v>
      </x:c>
      <x:c r="E45" s="16" t="str">
        <x:v>Native name</x:v>
      </x:c>
      <x:c r="F45" s="16" t="str">
        <x:v>サザンドラデッキ30</x:v>
      </x:c>
      <x:c r="G45" s="16" t="str">
        <x:v>official</x:v>
      </x:c>
      <x:c r="H45" s="16" t="str">
        <x:v>https://www.pokemon-card.com/ex/25th/chronicle/</x:v>
      </x:c>
      <x:c r="I45" s="16" t="str">
        <x:v>Japanese historical product title</x:v>
      </x:c>
      <x:c r="J45" s="16" t="str">
        <x:v>Explicitly listed in the official 2009 or 2012 product chronicle. Dates and card totals not inferred from the year heading or product title.</x:v>
      </x:c>
      <x:c r="K45" s="16" t="str">
        <x:v>ja-b505cc9dc7df</x:v>
      </x:c>
      <x:c r="L45" s="16" t="str">
        <x:v>name_native</x:v>
      </x:c>
    </x:row>
    <x:row r="46" ht="65" customHeight="1">
      <x:c r="A46" s="16" t="str">
        <x:v>AUTO2-974003ceb600</x:v>
      </x:c>
      <x:c r="B46" s="16" t="str">
        <x:v>2026-09-24-round2</x:v>
      </x:c>
      <x:c r="C46" s="16" t="str">
        <x:v>ja</x:v>
      </x:c>
      <x:c r="D46" s="16" t="str">
        <x:v>Keldeo Battle Strength Deck</x:v>
      </x:c>
      <x:c r="E46" s="16" t="str">
        <x:v>Native name</x:v>
      </x:c>
      <x:c r="F46" s="16" t="str">
        <x:v>バトル強化デッキ30「ケルディオ」</x:v>
      </x:c>
      <x:c r="G46" s="16" t="str">
        <x:v>official</x:v>
      </x:c>
      <x:c r="H46" s="16" t="str">
        <x:v>https://www.pokemon-card.com/ex/25th/chronicle/</x:v>
      </x:c>
      <x:c r="I46" s="16" t="str">
        <x:v>Japanese historical product title</x:v>
      </x:c>
      <x:c r="J46" s="16" t="str">
        <x:v>Explicitly listed in the official 2009 or 2012 product chronicle. Dates and card totals not inferred from the year heading or product title.</x:v>
      </x:c>
      <x:c r="K46" s="16" t="str">
        <x:v>ja-1e32a0d9a484</x:v>
      </x:c>
      <x:c r="L46" s="16" t="str">
        <x:v>name_native</x:v>
      </x:c>
    </x:row>
    <x:row r="47" ht="65" customHeight="1">
      <x:c r="A47" s="16" t="str">
        <x:v>AUTO2-86da550d4c56</x:v>
      </x:c>
      <x:c r="B47" s="16" t="str">
        <x:v>2026-09-24-round2</x:v>
      </x:c>
      <x:c r="C47" s="16" t="str">
        <x:v>ja</x:v>
      </x:c>
      <x:c r="D47" s="16" t="str">
        <x:v>Team Plasma Battle Gift Set</x:v>
      </x:c>
      <x:c r="E47" s="16" t="str">
        <x:v>Native name</x:v>
      </x:c>
      <x:c r="F47" s="16" t="str">
        <x:v>プラズマ団バトルギフトセット</x:v>
      </x:c>
      <x:c r="G47" s="16" t="str">
        <x:v>official</x:v>
      </x:c>
      <x:c r="H47" s="16" t="str">
        <x:v>https://www.pokemon-card.com/ex/25th/chronicle/</x:v>
      </x:c>
      <x:c r="I47" s="16" t="str">
        <x:v>Japanese historical product title</x:v>
      </x:c>
      <x:c r="J47" s="16" t="str">
        <x:v>Explicitly listed in the official 2009 or 2012 product chronicle. Dates and card totals not inferred from the year heading or product title.</x:v>
      </x:c>
      <x:c r="K47" s="16" t="str">
        <x:v>ja-6b114003e2b1</x:v>
      </x:c>
      <x:c r="L47" s="16" t="str">
        <x:v>name_native</x:v>
      </x:c>
    </x:row>
    <x:row r="48" ht="65" customHeight="1">
      <x:c r="A48" s="16" t="str">
        <x:v>AUTO2-bceb3c664748</x:v>
      </x:c>
      <x:c r="B48" s="16" t="str">
        <x:v>2026-09-24-round2</x:v>
      </x:c>
      <x:c r="C48" s="16" t="str">
        <x:v>ja</x:v>
      </x:c>
      <x:c r="D48" s="16" t="str">
        <x:v>Shaymin LV.X Collection Pack</x:v>
      </x:c>
      <x:c r="E48" s="16" t="str">
        <x:v>Native name</x:v>
      </x:c>
      <x:c r="F48" s="16" t="str">
        <x:v>コレクションパック シェイミLV．X</x:v>
      </x:c>
      <x:c r="G48" s="16" t="str">
        <x:v>official</x:v>
      </x:c>
      <x:c r="H48" s="16" t="str">
        <x:v>https://www.pokemon-card.com/ex/25th/chronicle/</x:v>
      </x:c>
      <x:c r="I48" s="16" t="str">
        <x:v>Japanese historical product title</x:v>
      </x:c>
      <x:c r="J48" s="16" t="str">
        <x:v>Explicitly listed in the official 2009 or 2012 product chronicle. Dates and card totals not inferred from the year heading or product title.</x:v>
      </x:c>
      <x:c r="K48" s="16" t="str">
        <x:v>ja-6610d1bc091c</x:v>
      </x:c>
      <x:c r="L48" s="16" t="str">
        <x:v>name_native</x:v>
      </x:c>
    </x:row>
    <x:row r="49" ht="65" customHeight="1">
      <x:c r="A49" s="16" t="str">
        <x:v>AUTO2-2c071f124e99</x:v>
      </x:c>
      <x:c r="B49" s="16" t="str">
        <x:v>2026-09-24-round2</x:v>
      </x:c>
      <x:c r="C49" s="16" t="str">
        <x:v>ja</x:v>
      </x:c>
      <x:c r="D49" s="16" t="str">
        <x:v>Premium Trainer Box</x:v>
      </x:c>
      <x:c r="E49" s="16" t="str">
        <x:v>Native name</x:v>
      </x:c>
      <x:c r="F49" s="16" t="str">
        <x:v>プレミアムトレーナーボックス</x:v>
      </x:c>
      <x:c r="G49" s="16" t="str">
        <x:v>official</x:v>
      </x:c>
      <x:c r="H49" s="16" t="str">
        <x:v>https://www.pokemon-card.com/products/sm/pt-box.html</x:v>
      </x:c>
      <x:c r="I49" s="16" t="str">
        <x:v>Japanese product title</x:v>
      </x:c>
      <x:c r="J49" s="16" t="str">
        <x:v>Official product title. The 154 fixed physical cards and 20 booster packs are deliberately not used to overwrite the existing 18-entry reference count.</x:v>
      </x:c>
      <x:c r="K49" s="16" t="str">
        <x:v>ja-b6fd25eade16</x:v>
      </x:c>
      <x:c r="L49" s="16" t="str">
        <x:v>name_native</x:v>
      </x:c>
    </x:row>
    <x:row r="50" ht="65" customHeight="1">
      <x:c r="A50" s="16" t="str">
        <x:v>AUTO2-9ad3fbafb672</x:v>
      </x:c>
      <x:c r="B50" s="16" t="str">
        <x:v>2026-09-24-round2</x:v>
      </x:c>
      <x:c r="C50" s="16" t="str">
        <x:v>ja</x:v>
      </x:c>
      <x:c r="D50" s="16" t="str">
        <x:v>XY Beginning Set</x:v>
      </x:c>
      <x:c r="E50" s="16" t="str">
        <x:v>Native name</x:v>
      </x:c>
      <x:c r="F50" s="16" t="str">
        <x:v>はじめてセット</x:v>
      </x:c>
      <x:c r="G50" s="16" t="str">
        <x:v>official</x:v>
      </x:c>
      <x:c r="H50" s="16" t="str">
        <x:v>https://www.pokemon-card.com/products/xy/hs.html</x:v>
      </x:c>
      <x:c r="I50" s="16" t="str">
        <x:v>Japanese regular XY Beginning Set product title</x:v>
      </x:c>
      <x:c r="J50" s="16" t="str">
        <x:v>The regular title is used. The companion for Girls version is explicitly distinct; shared catalogue code HXY is not proof of identical contents.</x:v>
      </x:c>
      <x:c r="K50" s="16" t="str">
        <x:v>ja-f8a1666d0bc0</x:v>
      </x:c>
      <x:c r="L50" s="16" t="str">
        <x:v>name_native</x:v>
      </x:c>
    </x:row>
    <x:row r="51" ht="65" customHeight="1">
      <x:c r="A51" s="16" t="str">
        <x:v>AUTO2-35d8d0453b39</x:v>
      </x:c>
      <x:c r="B51" s="16" t="str">
        <x:v>2026-09-24-round2</x:v>
      </x:c>
      <x:c r="C51" s="16" t="str">
        <x:v>ja</x:v>
      </x:c>
      <x:c r="D51" s="16" t="str">
        <x:v>XY Beginning Set</x:v>
      </x:c>
      <x:c r="E51" s="16" t="str">
        <x:v>Physical product quantity</x:v>
      </x:c>
      <x:c r="F51" s="16" t="str">
        <x:v>90</x:v>
      </x:c>
      <x:c r="G51" s="16" t="str">
        <x:v>official</x:v>
      </x:c>
      <x:c r="H51" s="16" t="str">
        <x:v>https://www.pokemon-card.com/products/xy/hs.html</x:v>
      </x:c>
      <x:c r="I51" s="16" t="str">
        <x:v>Physical cards per retail Beginning Set, including repeats</x:v>
      </x:c>
      <x:c r="J51" s="16" t="str">
        <x:v>Calculated from three constructed 30-card half decks. Both regular and for Girls products have this physical quantity; their card contents differ. Not a unique-card total.</x:v>
      </x:c>
      <x:c r="K51" s="16" t="str">
        <x:v>ja-f8a1666d0bc0</x:v>
      </x:c>
      <x:c r="L51" s="16" t="str">
        <x:v>product_card_quantity</x:v>
      </x:c>
    </x:row>
    <x:row r="52" ht="65" customHeight="1">
      <x:c r="A52" s="16" t="str">
        <x:v>AUTO2-2aca277902a1</x:v>
      </x:c>
      <x:c r="B52" s="16" t="str">
        <x:v>2026-09-24-round2</x:v>
      </x:c>
      <x:c r="C52" s="16" t="str">
        <x:v>ja</x:v>
      </x:c>
      <x:c r="D52" s="16" t="str">
        <x:v>VMAX Special Set</x:v>
      </x:c>
      <x:c r="E52" s="16" t="str">
        <x:v>Native name</x:v>
      </x:c>
      <x:c r="F52" s="16" t="str">
        <x:v>VMAXスペシャルセット</x:v>
      </x:c>
      <x:c r="G52" s="16" t="str">
        <x:v>official</x:v>
      </x:c>
      <x:c r="H52" s="16" t="str">
        <x:v>https://www.pokemon-card.com/products/s/sp2.html</x:v>
      </x:c>
      <x:c r="I52" s="16" t="str">
        <x:v>Japanese 2020 product title</x:v>
      </x:c>
      <x:c r="J52" s="16" t="str">
        <x:v>Official product specification. The four-card promo pack is not treated as the whole retail-product quantity.</x:v>
      </x:c>
      <x:c r="K52" s="16" t="str">
        <x:v>ja-dd7a387ccc7e</x:v>
      </x:c>
      <x:c r="L52" s="16" t="str">
        <x:v>name_native</x:v>
      </x:c>
    </x:row>
    <x:row r="53" ht="65" customHeight="1">
      <x:c r="A53" s="16" t="str">
        <x:v>AUTO2-8ad534e461d1</x:v>
      </x:c>
      <x:c r="B53" s="16" t="str">
        <x:v>2026-09-24-round2</x:v>
      </x:c>
      <x:c r="C53" s="16" t="str">
        <x:v>ja</x:v>
      </x:c>
      <x:c r="D53" s="16" t="str">
        <x:v>Silver Lance &amp; Jet-Black Spirit Promo Set</x:v>
      </x:c>
      <x:c r="E53" s="16" t="str">
        <x:v>Native name</x:v>
      </x:c>
      <x:c r="F53" s="16" t="str">
        <x:v>ジャンボパックセット 白銀のランス＆漆黒のガイスト</x:v>
      </x:c>
      <x:c r="G53" s="16" t="str">
        <x:v>official</x:v>
      </x:c>
      <x:c r="H53" s="16" t="str">
        <x:v>https://www.pokemon-card.com/info/2021/20210312_002830.html</x:v>
      </x:c>
      <x:c r="I53" s="16" t="str">
        <x:v>Japanese retail product containing the SP3 promo-card component</x:v>
      </x:c>
      <x:c r="J53" s="16" t="str">
        <x:v>Official retail product title linked to the six-card promo component. The numbered-card total excludes booster-pack cards.</x:v>
      </x:c>
      <x:c r="K53" s="16" t="str">
        <x:v>ja-5e3231638035</x:v>
      </x:c>
      <x:c r="L53" s="16" t="str">
        <x:v>name_native</x:v>
      </x:c>
    </x:row>
    <x:row r="54" ht="65" customHeight="1">
      <x:c r="A54" s="16" t="str">
        <x:v>AUTO2-5cab2f60490b</x:v>
      </x:c>
      <x:c r="B54" s="16" t="str">
        <x:v>2026-09-24-round2</x:v>
      </x:c>
      <x:c r="C54" s="16" t="str">
        <x:v>ja</x:v>
      </x:c>
      <x:c r="D54" s="16" t="str">
        <x:v>Silver Lance &amp; Jet-Black Spirit Promo Set</x:v>
      </x:c>
      <x:c r="E54" s="16" t="str">
        <x:v>Base cards / denominator</x:v>
      </x:c>
      <x:c r="F54" s="16" t="str">
        <x:v>6</x:v>
      </x:c>
      <x:c r="G54" s="16" t="str">
        <x:v>secondary_checklist</x:v>
      </x:c>
      <x:c r="H54" s="16" t="str">
        <x:v>https://bulbapedia.bulbagarden.net/wiki/Silver_Lance_%26_Jet-Black_Spirit_Jumbo_Pack_Set_%28TCG%29</x:v>
      </x:c>
      <x:c r="I54" s="16" t="str">
        <x:v>Japanese SP3 numbered component checklist only, excluding boosters</x:v>
      </x:c>
      <x:c r="J54" s="16" t="str">
        <x:v>Six explicit unique rows 001/006 to 006/006. No beyond-denominator or separately numbered subset rows in this itemised component list. Official announcement independently names the two three-card selections.</x:v>
      </x:c>
      <x:c r="K54" s="16" t="str">
        <x:v>ja-5e3231638035</x:v>
      </x:c>
      <x:c r="L54" s="16" t="str">
        <x:v>base_cards</x:v>
      </x:c>
    </x:row>
    <x:row r="55" ht="65" customHeight="1">
      <x:c r="A55" s="16" t="str">
        <x:v>AUTO2-4bd1de5193e3</x:v>
      </x:c>
      <x:c r="B55" s="16" t="str">
        <x:v>2026-09-24-round2</x:v>
      </x:c>
      <x:c r="C55" s="16" t="str">
        <x:v>ja</x:v>
      </x:c>
      <x:c r="D55" s="16" t="str">
        <x:v>Silver Lance &amp; Jet-Black Spirit Promo Set</x:v>
      </x:c>
      <x:c r="E55" s="16" t="str">
        <x:v>Beyond denominator</x:v>
      </x:c>
      <x:c r="F55" s="16" t="str">
        <x:v>0</x:v>
      </x:c>
      <x:c r="G55" s="16" t="str">
        <x:v>secondary_checklist</x:v>
      </x:c>
      <x:c r="H55" s="16" t="str">
        <x:v>https://bulbapedia.bulbagarden.net/wiki/Silver_Lance_%26_Jet-Black_Spirit_Jumbo_Pack_Set_%28TCG%29</x:v>
      </x:c>
      <x:c r="I55" s="16" t="str">
        <x:v>Japanese SP3 numbered component checklist only, excluding boosters</x:v>
      </x:c>
      <x:c r="J55" s="16" t="str">
        <x:v>Six explicit unique rows 001/006 to 006/006. No beyond-denominator or separately numbered subset rows in this itemised component list. Official announcement independently names the two three-card selections.</x:v>
      </x:c>
      <x:c r="K55" s="16" t="str">
        <x:v>ja-5e3231638035</x:v>
      </x:c>
      <x:c r="L55" s="16" t="str">
        <x:v>extra_cards</x:v>
      </x:c>
    </x:row>
    <x:row r="56" ht="65" customHeight="1">
      <x:c r="A56" s="16" t="str">
        <x:v>AUTO2-816822ad6925</x:v>
      </x:c>
      <x:c r="B56" s="16" t="str">
        <x:v>2026-09-24-round2</x:v>
      </x:c>
      <x:c r="C56" s="16" t="str">
        <x:v>ja</x:v>
      </x:c>
      <x:c r="D56" s="16" t="str">
        <x:v>Silver Lance &amp; Jet-Black Spirit Promo Set</x:v>
      </x:c>
      <x:c r="E56" s="16" t="str">
        <x:v>Subset cards</x:v>
      </x:c>
      <x:c r="F56" s="16" t="str">
        <x:v>0</x:v>
      </x:c>
      <x:c r="G56" s="16" t="str">
        <x:v>secondary_checklist</x:v>
      </x:c>
      <x:c r="H56" s="16" t="str">
        <x:v>https://bulbapedia.bulbagarden.net/wiki/Silver_Lance_%26_Jet-Black_Spirit_Jumbo_Pack_Set_%28TCG%29</x:v>
      </x:c>
      <x:c r="I56" s="16" t="str">
        <x:v>Japanese SP3 numbered component checklist only, excluding boosters</x:v>
      </x:c>
      <x:c r="J56" s="16" t="str">
        <x:v>Six explicit unique rows 001/006 to 006/006. No beyond-denominator or separately numbered subset rows in this itemised component list. Official announcement independently names the two three-card selections.</x:v>
      </x:c>
      <x:c r="K56" s="16" t="str">
        <x:v>ja-5e3231638035</x:v>
      </x:c>
      <x:c r="L56" s="16" t="str">
        <x:v>subset_cards</x:v>
      </x:c>
    </x:row>
    <x:row r="57" ht="65" customHeight="1">
      <x:c r="A57" s="16" t="str">
        <x:v>AUTO2-2f1e11b5e31e</x:v>
      </x:c>
      <x:c r="B57" s="16" t="str">
        <x:v>2026-09-24-round2</x:v>
      </x:c>
      <x:c r="C57" s="16" t="str">
        <x:v>ja</x:v>
      </x:c>
      <x:c r="D57" s="16" t="str">
        <x:v>Silver Lance &amp; Jet-Black Spirit Promo Set</x:v>
      </x:c>
      <x:c r="E57" s="16" t="str">
        <x:v>Numbered total</x:v>
      </x:c>
      <x:c r="F57" s="16" t="str">
        <x:v>6</x:v>
      </x:c>
      <x:c r="G57" s="16" t="str">
        <x:v>secondary_checklist</x:v>
      </x:c>
      <x:c r="H57" s="16" t="str">
        <x:v>https://bulbapedia.bulbagarden.net/wiki/Silver_Lance_%26_Jet-Black_Spirit_Jumbo_Pack_Set_%28TCG%29</x:v>
      </x:c>
      <x:c r="I57" s="16" t="str">
        <x:v>Japanese SP3 numbered component checklist only, excluding boosters</x:v>
      </x:c>
      <x:c r="J57" s="16" t="str">
        <x:v>Six explicit unique rows 001/006 to 006/006. No beyond-denominator or separately numbered subset rows in this itemised component list. Official announcement independently names the two three-card selections.</x:v>
      </x:c>
      <x:c r="K57" s="16" t="str">
        <x:v>ja-5e3231638035</x:v>
      </x:c>
      <x:c r="L57" s="16" t="str">
        <x:v>numbered_total</x:v>
      </x:c>
    </x:row>
    <x:row r="58" ht="65" customHeight="1">
      <x:c r="A58" s="16" t="str">
        <x:v>AUTO2-e4959000e73f</x:v>
      </x:c>
      <x:c r="B58" s="16" t="str">
        <x:v>2026-09-24-round2</x:v>
      </x:c>
      <x:c r="C58" s="16" t="str">
        <x:v>ja</x:v>
      </x:c>
      <x:c r="D58" s="16" t="str">
        <x:v>Silver Lance &amp; Jet-Black Spirit Promo Set</x:v>
      </x:c>
      <x:c r="E58" s="16" t="str">
        <x:v>Last listed number</x:v>
      </x:c>
      <x:c r="F58" s="16" t="str">
        <x:v>006/006</x:v>
      </x:c>
      <x:c r="G58" s="16" t="str">
        <x:v>secondary_checklist</x:v>
      </x:c>
      <x:c r="H58" s="16" t="str">
        <x:v>https://bulbapedia.bulbagarden.net/wiki/Silver_Lance_%26_Jet-Black_Spirit_Jumbo_Pack_Set_%28TCG%29</x:v>
      </x:c>
      <x:c r="I58" s="16" t="str">
        <x:v>Japanese SP3 numbered component checklist only, excluding boosters</x:v>
      </x:c>
      <x:c r="J58" s="16" t="str">
        <x:v>Six explicit unique rows 001/006 to 006/006. No beyond-denominator or separately numbered subset rows in this itemised component list. Official announcement independently names the two three-card selections.</x:v>
      </x:c>
      <x:c r="K58" s="16" t="str">
        <x:v>ja-5e3231638035</x:v>
      </x:c>
      <x:c r="L58" s="16" t="str">
        <x:v>terminal_number</x:v>
      </x:c>
    </x:row>
    <x:row r="59" ht="65" customHeight="1">
      <x:c r="A59" s="16" t="str">
        <x:v>AUTO2-6b81bf3aaa0c</x:v>
      </x:c>
      <x:c r="B59" s="16" t="str">
        <x:v>2026-09-24-round2</x:v>
      </x:c>
      <x:c r="C59" s="16" t="str">
        <x:v>zh-CN</x:v>
      </x:c>
      <x:c r="D59" s="16" t="str">
        <x:v>Pokémon Card Game Battle Academy</x:v>
      </x:c>
      <x:c r="E59" s="16" t="str">
        <x:v>Native name</x:v>
      </x:c>
      <x:c r="F59" s="16" t="str">
        <x:v>对战学院</x:v>
      </x:c>
      <x:c r="G59" s="16" t="str">
        <x:v>official</x:v>
      </x:c>
      <x:c r="H59" s="16" t="str">
        <x:v>https://www.pokemon.cn/tcg/product/15476.html</x:v>
      </x:c>
      <x:c r="I59" s="16" t="str">
        <x:v>Mainland China / Scarlet &amp; Violet Battle Academy 2026</x:v>
      </x:c>
      <x:c r="J59" s="16" t="str">
        <x:v>Exact product name in the official specification. Not the earlier English or Japanese product.</x:v>
      </x:c>
      <x:c r="K59" s="16" t="str">
        <x:v>zh-CN-17407eca3331</x:v>
      </x:c>
      <x:c r="L59" s="16" t="str">
        <x:v>name_native</x:v>
      </x:c>
    </x:row>
    <x:row r="60" ht="65" customHeight="1">
      <x:c r="A60" s="16" t="str">
        <x:v>AUTO2-9624478f8f56</x:v>
      </x:c>
      <x:c r="B60" s="16" t="str">
        <x:v>2026-09-24-round2</x:v>
      </x:c>
      <x:c r="C60" s="16" t="str">
        <x:v>zh-CN</x:v>
      </x:c>
      <x:c r="D60" s="16" t="str">
        <x:v>Pokémon Card Game Battle Academy</x:v>
      </x:c>
      <x:c r="E60" s="16" t="str">
        <x:v>Release date</x:v>
      </x:c>
      <x:c r="F60" s="16" t="str">
        <x:v>2026-01-16</x:v>
      </x:c>
      <x:c r="G60" s="16" t="str">
        <x:v>official</x:v>
      </x:c>
      <x:c r="H60" s="16" t="str">
        <x:v>https://www.pokemon.cn/tcg/product/15476.html</x:v>
      </x:c>
      <x:c r="I60" s="16" t="str">
        <x:v>Mainland China release</x:v>
      </x:c>
      <x:c r="J60" s="16" t="str">
        <x:v>Official product specification says 16 January 2026. The article publication date of 25 December 2025 is not used.</x:v>
      </x:c>
      <x:c r="K60" s="16" t="str">
        <x:v>zh-CN-17407eca3331</x:v>
      </x:c>
      <x:c r="L60" s="16" t="str">
        <x:v>release_date</x:v>
      </x:c>
    </x:row>
    <x:row r="61" ht="65" customHeight="1">
      <x:c r="A61" s="16" t="str">
        <x:v>AUTO2-de7646cfd642</x:v>
      </x:c>
      <x:c r="B61" s="16" t="str">
        <x:v>2026-09-24-round2</x:v>
      </x:c>
      <x:c r="C61" s="16" t="str">
        <x:v>zh-CN</x:v>
      </x:c>
      <x:c r="D61" s="16" t="str">
        <x:v>Pokémon Card Game Battle Academy</x:v>
      </x:c>
      <x:c r="E61" s="16" t="str">
        <x:v>Physical product quantity</x:v>
      </x:c>
      <x:c r="F61" s="16" t="str">
        <x:v>240</x:v>
      </x:c>
      <x:c r="G61" s="16" t="str">
        <x:v>official</x:v>
      </x:c>
      <x:c r="H61" s="16" t="str">
        <x:v>https://www.pokemon.cn/tcg/product/15476.html</x:v>
      </x:c>
      <x:c r="I61" s="16" t="str">
        <x:v>Physical cards across the four constructed decks in one retail product, including repeats</x:v>
      </x:c>
      <x:c r="J61" s="16" t="str">
        <x:v>Calculated from four explicitly listed 60-card decks: Sprigatito ex, Pikachu ex, Greninja ex and Lucario ex. Not 240 unique numbered cards.</x:v>
      </x:c>
      <x:c r="K61" s="16" t="str">
        <x:v>zh-CN-17407eca3331</x:v>
      </x:c>
      <x:c r="L61" s="16" t="str">
        <x:v>product_card_quantity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cebdae7319834f5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3" hidden="0" customWidth="1"/>
    <x:col min="3" max="3" width="12" hidden="0" customWidth="1"/>
    <x:col min="4" max="4" width="38" hidden="0" customWidth="1"/>
    <x:col min="5" max="5" width="27" hidden="0" customWidth="1"/>
    <x:col min="6" max="6" width="40" hidden="0" customWidth="1"/>
    <x:col min="7" max="7" width="23" hidden="0" customWidth="1"/>
    <x:col min="8" max="8" width="52" hidden="0" customWidth="1"/>
    <x:col min="9" max="9" width="52" hidden="0" customWidth="1"/>
    <x:col min="10" max="10" width="65" hidden="0" customWidth="1"/>
    <x:col min="11" max="11" width="25" hidden="0" customWidth="1"/>
    <x:col min="12" max="12" width="25" hidden="0" customWidth="1"/>
  </x:cols>
  <x:sheetData>
    <x:row r="1" ht="35" customHeight="1">
      <x:c r="A1" s="3" t="str">
        <x:v>CUMULATIVE  /  RESEARCH + CANONICAL CODE PATCHES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2" customHeight="1">
      <x:c r="A2" s="7" t="str">
        <x:v>Cumulative research and canonical patches. The 26 September numbered-total pass reviews all 621 prior blanks, populates 618 numeric totals, marks 2 event rows N/A, and leaves Aura Seeker pending an official checklist.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2" customHeight="1">
      <x:c r="A4" s="11" t="str">
        <x:v>Change ID</x:v>
      </x:c>
      <x:c r="B4" s="11" t="str">
        <x:v>Research batch</x:v>
      </x:c>
      <x:c r="C4" s="11" t="str">
        <x:v>Language</x:v>
      </x:c>
      <x:c r="D4" s="11" t="str">
        <x:v>Set / product</x:v>
      </x:c>
      <x:c r="E4" s="11" t="str">
        <x:v>Field</x:v>
      </x:c>
      <x:c r="F4" s="11" t="str">
        <x:v>Proposed value</x:v>
      </x:c>
      <x:c r="G4" s="11" t="str">
        <x:v>Evidence type</x:v>
      </x:c>
      <x:c r="H4" s="11" t="str">
        <x:v>Source URL</x:v>
      </x:c>
      <x:c r="I4" s="11" t="str">
        <x:v>Scope / counting basis</x:v>
      </x:c>
      <x:c r="J4" s="11" t="str">
        <x:v>Evidence note</x:v>
      </x:c>
      <x:c r="K4" s="11" t="str">
        <x:v>Reference ID</x:v>
      </x:c>
      <x:c r="L4" s="11" t="str">
        <x:v>JSON field</x:v>
      </x:c>
    </x:row>
    <x:row r="5" ht="65" customHeight="1">
      <x:c r="A5" s="16" t="str">
        <x:v>AUTO-f2bad83834d0</x:v>
      </x:c>
      <x:c r="B5" s="16" t="str">
        <x:v>2026-09-24-round1</x:v>
      </x:c>
      <x:c r="C5" s="16" t="str">
        <x:v>zh-TW</x:v>
      </x:c>
      <x:c r="D5" s="16" t="str">
        <x:v>Paradise Dragona</x:v>
      </x:c>
      <x:c r="E5" s="16" t="str">
        <x:v>Catalogue code</x:v>
      </x:c>
      <x:c r="F5" s="16" t="str">
        <x:v>SV7a</x:v>
      </x:c>
      <x:c r="G5" s="16" t="str">
        <x:v>official</x:v>
      </x:c>
      <x:c r="H5" s="16" t="str">
        <x:v>https://asia.pokemon-card.com/tw/card-search/?pageNo=2</x:v>
      </x:c>
      <x:c r="I5" s="16" t="str">
        <x:v>Traditional Chinese; Taiwan official catalogue filter identifier</x:v>
      </x:c>
      <x:c r="J5" s="16" t="str">
        <x:v>The official product index label links to a card-search filter with this expansionCodes parameter. Not an independently inspected printed card mark. No count inferred from search results.</x:v>
      </x:c>
      <x:c r="K5" s="16" t="str">
        <x:v>zh-TW-d3a71a0aa467</x:v>
      </x:c>
      <x:c r="L5" s="16" t="str">
        <x:v>set_code</x:v>
      </x:c>
    </x:row>
    <x:row r="6" ht="65" customHeight="1">
      <x:c r="A6" s="16" t="str">
        <x:v>AUTO-ffbee2027a1b</x:v>
      </x:c>
      <x:c r="B6" s="16" t="str">
        <x:v>2026-09-24-round1</x:v>
      </x:c>
      <x:c r="C6" s="16" t="str">
        <x:v>zh-TW</x:v>
      </x:c>
      <x:c r="D6" s="16" t="str">
        <x:v>Stellar Miracle</x:v>
      </x:c>
      <x:c r="E6" s="16" t="str">
        <x:v>Catalogue code</x:v>
      </x:c>
      <x:c r="F6" s="16" t="str">
        <x:v>SV7</x:v>
      </x:c>
      <x:c r="G6" s="16" t="str">
        <x:v>official</x:v>
      </x:c>
      <x:c r="H6" s="16" t="str">
        <x:v>https://asia.pokemon-card.com/tw/card-search/?pageNo=2</x:v>
      </x:c>
      <x:c r="I6" s="16" t="str">
        <x:v>Traditional Chinese; Taiwan official catalogue filter identifier</x:v>
      </x:c>
      <x:c r="J6" s="16" t="str">
        <x:v>The official product index label links to a card-search filter with this expansionCodes parameter. Not an independently inspected printed card mark. No count inferred from search results.</x:v>
      </x:c>
      <x:c r="K6" s="16" t="str">
        <x:v>zh-TW-2a8a58fea56e</x:v>
      </x:c>
      <x:c r="L6" s="16" t="str">
        <x:v>set_code</x:v>
      </x:c>
    </x:row>
    <x:row r="7" ht="65" customHeight="1">
      <x:c r="A7" s="16" t="str">
        <x:v>AUTO-4025fea4956c</x:v>
      </x:c>
      <x:c r="B7" s="16" t="str">
        <x:v>2026-09-24-round1</x:v>
      </x:c>
      <x:c r="C7" s="16" t="str">
        <x:v>zh-TW</x:v>
      </x:c>
      <x:c r="D7" s="16" t="str">
        <x:v>Night Wanderer</x:v>
      </x:c>
      <x:c r="E7" s="16" t="str">
        <x:v>Catalogue code</x:v>
      </x:c>
      <x:c r="F7" s="16" t="str">
        <x:v>SV6a</x:v>
      </x:c>
      <x:c r="G7" s="16" t="str">
        <x:v>official</x:v>
      </x:c>
      <x:c r="H7" s="16" t="str">
        <x:v>https://asia.pokemon-card.com/tw/card-search/?pageNo=2</x:v>
      </x:c>
      <x:c r="I7" s="16" t="str">
        <x:v>Traditional Chinese; Taiwan official catalogue filter identifier</x:v>
      </x:c>
      <x:c r="J7" s="16" t="str">
        <x:v>The official product index label links to a card-search filter with this expansionCodes parameter. Not an independently inspected printed card mark. No count inferred from search results.</x:v>
      </x:c>
      <x:c r="K7" s="16" t="str">
        <x:v>zh-TW-04373519f7b5</x:v>
      </x:c>
      <x:c r="L7" s="16" t="str">
        <x:v>set_code</x:v>
      </x:c>
    </x:row>
    <x:row r="8" ht="65" customHeight="1">
      <x:c r="A8" s="16" t="str">
        <x:v>AUTO-f0d0a528922d</x:v>
      </x:c>
      <x:c r="B8" s="16" t="str">
        <x:v>2026-09-24-round1</x:v>
      </x:c>
      <x:c r="C8" s="16" t="str">
        <x:v>zh-TW</x:v>
      </x:c>
      <x:c r="D8" s="16" t="str">
        <x:v>Wild Force</x:v>
      </x:c>
      <x:c r="E8" s="16" t="str">
        <x:v>Catalogue code</x:v>
      </x:c>
      <x:c r="F8" s="16" t="str">
        <x:v>SV5K</x:v>
      </x:c>
      <x:c r="G8" s="16" t="str">
        <x:v>official</x:v>
      </x:c>
      <x:c r="H8" s="16" t="str">
        <x:v>https://asia.pokemon-card.com/tw/card-search/?pageNo=2</x:v>
      </x:c>
      <x:c r="I8" s="16" t="str">
        <x:v>Traditional Chinese; Taiwan official catalogue filter identifier</x:v>
      </x:c>
      <x:c r="J8" s="16" t="str">
        <x:v>The official product index label links to a card-search filter with this expansionCodes parameter. Not an independently inspected printed card mark. No count inferred from search results.</x:v>
      </x:c>
      <x:c r="K8" s="16" t="str">
        <x:v>zh-TW-b6835058e99c</x:v>
      </x:c>
      <x:c r="L8" s="16" t="str">
        <x:v>set_code</x:v>
      </x:c>
    </x:row>
    <x:row r="9" ht="65" customHeight="1">
      <x:c r="A9" s="16" t="str">
        <x:v>AUTO-38a7a177fa18</x:v>
      </x:c>
      <x:c r="B9" s="16" t="str">
        <x:v>2026-09-24-round1</x:v>
      </x:c>
      <x:c r="C9" s="16" t="str">
        <x:v>zh-TW</x:v>
      </x:c>
      <x:c r="D9" s="16" t="str">
        <x:v>Cyber Judge</x:v>
      </x:c>
      <x:c r="E9" s="16" t="str">
        <x:v>Catalogue code</x:v>
      </x:c>
      <x:c r="F9" s="16" t="str">
        <x:v>SV5M</x:v>
      </x:c>
      <x:c r="G9" s="16" t="str">
        <x:v>official</x:v>
      </x:c>
      <x:c r="H9" s="16" t="str">
        <x:v>https://asia.pokemon-card.com/tw/card-search/?pageNo=3</x:v>
      </x:c>
      <x:c r="I9" s="16" t="str">
        <x:v>Traditional Chinese; Taiwan official catalogue filter identifier</x:v>
      </x:c>
      <x:c r="J9" s="16" t="str">
        <x:v>The official product index label links to a card-search filter with this expansionCodes parameter. Not an independently inspected printed card mark. No count inferred from search results.</x:v>
      </x:c>
      <x:c r="K9" s="16" t="str">
        <x:v>zh-TW-59408e931538</x:v>
      </x:c>
      <x:c r="L9" s="16" t="str">
        <x:v>set_code</x:v>
      </x:c>
    </x:row>
    <x:row r="10" ht="65" customHeight="1">
      <x:c r="A10" s="16" t="str">
        <x:v>AUTO-9b9c2c0772bd</x:v>
      </x:c>
      <x:c r="B10" s="16" t="str">
        <x:v>2026-09-24-round1</x:v>
      </x:c>
      <x:c r="C10" s="16" t="str">
        <x:v>zh-TW</x:v>
      </x:c>
      <x:c r="D10" s="16" t="str">
        <x:v>Future Flash</x:v>
      </x:c>
      <x:c r="E10" s="16" t="str">
        <x:v>Catalogue code</x:v>
      </x:c>
      <x:c r="F10" s="16" t="str">
        <x:v>SV4M</x:v>
      </x:c>
      <x:c r="G10" s="16" t="str">
        <x:v>official</x:v>
      </x:c>
      <x:c r="H10" s="16" t="str">
        <x:v>https://asia.pokemon-card.com/tw/card-search/?pageNo=3</x:v>
      </x:c>
      <x:c r="I10" s="16" t="str">
        <x:v>Traditional Chinese; Taiwan official catalogue filter identifier</x:v>
      </x:c>
      <x:c r="J10" s="16" t="str">
        <x:v>The official product index label links to a card-search filter with this expansionCodes parameter. Not an independently inspected printed card mark. No count inferred from search results.</x:v>
      </x:c>
      <x:c r="K10" s="16" t="str">
        <x:v>zh-TW-f036e3380424</x:v>
      </x:c>
      <x:c r="L10" s="16" t="str">
        <x:v>set_code</x:v>
      </x:c>
    </x:row>
    <x:row r="11" ht="65" customHeight="1">
      <x:c r="A11" s="16" t="str">
        <x:v>AUTO-8e4e41c95cab</x:v>
      </x:c>
      <x:c r="B11" s="16" t="str">
        <x:v>2026-09-24-round1</x:v>
      </x:c>
      <x:c r="C11" s="16" t="str">
        <x:v>zh-TW</x:v>
      </x:c>
      <x:c r="D11" s="16" t="str">
        <x:v>Ancient Roar</x:v>
      </x:c>
      <x:c r="E11" s="16" t="str">
        <x:v>Catalogue code</x:v>
      </x:c>
      <x:c r="F11" s="16" t="str">
        <x:v>SV4K</x:v>
      </x:c>
      <x:c r="G11" s="16" t="str">
        <x:v>official</x:v>
      </x:c>
      <x:c r="H11" s="16" t="str">
        <x:v>https://asia.pokemon-card.com/tw/card-search/?pageNo=3</x:v>
      </x:c>
      <x:c r="I11" s="16" t="str">
        <x:v>Traditional Chinese; Taiwan official catalogue filter identifier</x:v>
      </x:c>
      <x:c r="J11" s="16" t="str">
        <x:v>The official product index label links to a card-search filter with this expansionCodes parameter. Not an independently inspected printed card mark. No count inferred from search results.</x:v>
      </x:c>
      <x:c r="K11" s="16" t="str">
        <x:v>zh-TW-6b7f80cfa785</x:v>
      </x:c>
      <x:c r="L11" s="16" t="str">
        <x:v>set_code</x:v>
      </x:c>
    </x:row>
    <x:row r="12" ht="65" customHeight="1">
      <x:c r="A12" s="16" t="str">
        <x:v>AUTO-64d9673f0829</x:v>
      </x:c>
      <x:c r="B12" s="16" t="str">
        <x:v>2026-09-24-round1</x:v>
      </x:c>
      <x:c r="C12" s="16" t="str">
        <x:v>zh-TW</x:v>
      </x:c>
      <x:c r="D12" s="16" t="str">
        <x:v>Clay Burst</x:v>
      </x:c>
      <x:c r="E12" s="16" t="str">
        <x:v>Catalogue code</x:v>
      </x:c>
      <x:c r="F12" s="16" t="str">
        <x:v>SV2D</x:v>
      </x:c>
      <x:c r="G12" s="16" t="str">
        <x:v>official</x:v>
      </x:c>
      <x:c r="H12" s="16" t="str">
        <x:v>https://asia.pokemon-card.com/tw/card-search/?pageNo=3</x:v>
      </x:c>
      <x:c r="I12" s="16" t="str">
        <x:v>Traditional Chinese; Taiwan official catalogue filter identifier</x:v>
      </x:c>
      <x:c r="J12" s="16" t="str">
        <x:v>The official product index label links to a card-search filter with this expansionCodes parameter. Not an independently inspected printed card mark. No count inferred from search results.</x:v>
      </x:c>
      <x:c r="K12" s="16" t="str">
        <x:v>zh-TW-294bff0baa30</x:v>
      </x:c>
      <x:c r="L12" s="16" t="str">
        <x:v>set_code</x:v>
      </x:c>
    </x:row>
    <x:row r="13" ht="65" customHeight="1">
      <x:c r="A13" s="16" t="str">
        <x:v>AUTO-c3abe3c17dec</x:v>
      </x:c>
      <x:c r="B13" s="16" t="str">
        <x:v>2026-09-24-round1</x:v>
      </x:c>
      <x:c r="C13" s="16" t="str">
        <x:v>zh-TW</x:v>
      </x:c>
      <x:c r="D13" s="16" t="str">
        <x:v>Snow Hazard</x:v>
      </x:c>
      <x:c r="E13" s="16" t="str">
        <x:v>Catalogue code</x:v>
      </x:c>
      <x:c r="F13" s="16" t="str">
        <x:v>SV2P</x:v>
      </x:c>
      <x:c r="G13" s="16" t="str">
        <x:v>official</x:v>
      </x:c>
      <x:c r="H13" s="16" t="str">
        <x:v>https://asia.pokemon-card.com/tw/card-search/?pageNo=3</x:v>
      </x:c>
      <x:c r="I13" s="16" t="str">
        <x:v>Traditional Chinese; Taiwan official catalogue filter identifier</x:v>
      </x:c>
      <x:c r="J13" s="16" t="str">
        <x:v>The official product index label links to a card-search filter with this expansionCodes parameter. Not an independently inspected printed card mark. No count inferred from search results.</x:v>
      </x:c>
      <x:c r="K13" s="16" t="str">
        <x:v>zh-TW-2d7f316f10e4</x:v>
      </x:c>
      <x:c r="L13" s="16" t="str">
        <x:v>set_code</x:v>
      </x:c>
    </x:row>
    <x:row r="14" ht="65" customHeight="1">
      <x:c r="A14" s="16" t="str">
        <x:v>AUTO-10123771d904</x:v>
      </x:c>
      <x:c r="B14" s="16" t="str">
        <x:v>2026-09-24-round1</x:v>
      </x:c>
      <x:c r="C14" s="16" t="str">
        <x:v>zh-TW</x:v>
      </x:c>
      <x:c r="D14" s="16" t="str">
        <x:v>Triplet Beat</x:v>
      </x:c>
      <x:c r="E14" s="16" t="str">
        <x:v>Catalogue code</x:v>
      </x:c>
      <x:c r="F14" s="16" t="str">
        <x:v>SV1a</x:v>
      </x:c>
      <x:c r="G14" s="16" t="str">
        <x:v>official</x:v>
      </x:c>
      <x:c r="H14" s="16" t="str">
        <x:v>https://asia.pokemon-card.com/tw/card-search/?pageNo=3</x:v>
      </x:c>
      <x:c r="I14" s="16" t="str">
        <x:v>Traditional Chinese; Taiwan official catalogue filter identifier</x:v>
      </x:c>
      <x:c r="J14" s="16" t="str">
        <x:v>The official product index label links to a card-search filter with this expansionCodes parameter. Not an independently inspected printed card mark. No count inferred from search results.</x:v>
      </x:c>
      <x:c r="K14" s="16" t="str">
        <x:v>zh-TW-a9afe84246a2</x:v>
      </x:c>
      <x:c r="L14" s="16" t="str">
        <x:v>set_code</x:v>
      </x:c>
    </x:row>
    <x:row r="15" ht="65" customHeight="1">
      <x:c r="A15" s="16" t="str">
        <x:v>AUTO-28c710c493e5</x:v>
      </x:c>
      <x:c r="B15" s="16" t="str">
        <x:v>2026-09-24-round1</x:v>
      </x:c>
      <x:c r="C15" s="16" t="str">
        <x:v>zh-TW</x:v>
      </x:c>
      <x:c r="D15" s="16" t="str">
        <x:v>Scarlet ex</x:v>
      </x:c>
      <x:c r="E15" s="16" t="str">
        <x:v>Catalogue code</x:v>
      </x:c>
      <x:c r="F15" s="16" t="str">
        <x:v>SV1S</x:v>
      </x:c>
      <x:c r="G15" s="16" t="str">
        <x:v>official</x:v>
      </x:c>
      <x:c r="H15" s="16" t="str">
        <x:v>https://asia.pokemon-card.com/tw/card-search/?pageNo=3</x:v>
      </x:c>
      <x:c r="I15" s="16" t="str">
        <x:v>Traditional Chinese; Taiwan official catalogue filter identifier</x:v>
      </x:c>
      <x:c r="J15" s="16" t="str">
        <x:v>The official product index label links to a card-search filter with this expansionCodes parameter. Not an independently inspected printed card mark. No count inferred from search results.</x:v>
      </x:c>
      <x:c r="K15" s="16" t="str">
        <x:v>zh-TW-15c77b4e7ab4</x:v>
      </x:c>
      <x:c r="L15" s="16" t="str">
        <x:v>set_code</x:v>
      </x:c>
    </x:row>
    <x:row r="16" ht="65" customHeight="1">
      <x:c r="A16" s="16" t="str">
        <x:v>AUTO-335ff87ede80</x:v>
      </x:c>
      <x:c r="B16" s="16" t="str">
        <x:v>2026-09-24-round1</x:v>
      </x:c>
      <x:c r="C16" s="16" t="str">
        <x:v>zh-TW</x:v>
      </x:c>
      <x:c r="D16" s="16" t="str">
        <x:v>Incandescent Arcana</x:v>
      </x:c>
      <x:c r="E16" s="16" t="str">
        <x:v>Catalogue code</x:v>
      </x:c>
      <x:c r="F16" s="16" t="str">
        <x:v>S11a</x:v>
      </x:c>
      <x:c r="G16" s="16" t="str">
        <x:v>official</x:v>
      </x:c>
      <x:c r="H16" s="16" t="str">
        <x:v>https://asia.pokemon-card.com/tw/card-search/?pageNo=4</x:v>
      </x:c>
      <x:c r="I16" s="16" t="str">
        <x:v>Traditional Chinese; Taiwan official catalogue filter identifier</x:v>
      </x:c>
      <x:c r="J16" s="16" t="str">
        <x:v>The official product index label links to a card-search filter with this expansionCodes parameter. Not an independently inspected printed card mark. No count inferred from search results.</x:v>
      </x:c>
      <x:c r="K16" s="16" t="str">
        <x:v>zh-TW-0cda223fc777</x:v>
      </x:c>
      <x:c r="L16" s="16" t="str">
        <x:v>set_code</x:v>
      </x:c>
    </x:row>
    <x:row r="17" ht="65" customHeight="1">
      <x:c r="A17" s="16" t="str">
        <x:v>AUTO-dd09ef08055e</x:v>
      </x:c>
      <x:c r="B17" s="16" t="str">
        <x:v>2026-09-24-round1</x:v>
      </x:c>
      <x:c r="C17" s="16" t="str">
        <x:v>zh-TW</x:v>
      </x:c>
      <x:c r="D17" s="16" t="str">
        <x:v>Lost Abyss</x:v>
      </x:c>
      <x:c r="E17" s="16" t="str">
        <x:v>Catalogue code</x:v>
      </x:c>
      <x:c r="F17" s="16" t="str">
        <x:v>S11</x:v>
      </x:c>
      <x:c r="G17" s="16" t="str">
        <x:v>official</x:v>
      </x:c>
      <x:c r="H17" s="16" t="str">
        <x:v>https://asia.pokemon-card.com/tw/card-search/?pageNo=4</x:v>
      </x:c>
      <x:c r="I17" s="16" t="str">
        <x:v>Traditional Chinese; Taiwan official catalogue filter identifier</x:v>
      </x:c>
      <x:c r="J17" s="16" t="str">
        <x:v>The official product index label links to a card-search filter with this expansionCodes parameter. Not an independently inspected printed card mark. No count inferred from search results.</x:v>
      </x:c>
      <x:c r="K17" s="16" t="str">
        <x:v>zh-TW-94514bb5b58e</x:v>
      </x:c>
      <x:c r="L17" s="16" t="str">
        <x:v>set_code</x:v>
      </x:c>
    </x:row>
    <x:row r="18" ht="65" customHeight="1">
      <x:c r="A18" s="16" t="str">
        <x:v>AUTO-02c8101592b5</x:v>
      </x:c>
      <x:c r="B18" s="16" t="str">
        <x:v>2026-09-24-round1</x:v>
      </x:c>
      <x:c r="C18" s="16" t="str">
        <x:v>zh-TW</x:v>
      </x:c>
      <x:c r="D18" s="16" t="str">
        <x:v>Tactical Deck: Tera Garchomp ex</x:v>
      </x:c>
      <x:c r="E18" s="16" t="str">
        <x:v>Catalogue code</x:v>
      </x:c>
      <x:c r="F18" s="16" t="str">
        <x:v>SVTG</x:v>
      </x:c>
      <x:c r="G18" s="16" t="str">
        <x:v>official</x:v>
      </x:c>
      <x:c r="H18" s="16" t="str">
        <x:v>https://asia.pokemon-card.com/tw/card-search/?pageNo=2</x:v>
      </x:c>
      <x:c r="I18" s="16" t="str">
        <x:v>Traditional Chinese; Taiwan official catalogue filter identifier</x:v>
      </x:c>
      <x:c r="J18" s="16" t="str">
        <x:v>The official product index label links to a card-search filter with this expansionCodes parameter. Not an independently inspected printed card mark. No count inferred from search results.</x:v>
      </x:c>
      <x:c r="K18" s="16" t="str">
        <x:v>zh-TW-92dede729e8e</x:v>
      </x:c>
      <x:c r="L18" s="16" t="str">
        <x:v>set_code</x:v>
      </x:c>
    </x:row>
    <x:row r="19" ht="65" customHeight="1">
      <x:c r="A19" s="16" t="str">
        <x:v>AUTO-c1b6d4884d67</x:v>
      </x:c>
      <x:c r="B19" s="16" t="str">
        <x:v>2026-09-24-round1</x:v>
      </x:c>
      <x:c r="C19" s="16" t="str">
        <x:v>zh-CN</x:v>
      </x:c>
      <x:c r="D19" s="16" t="str">
        <x:v>Storming Emergence: Radiant</x:v>
      </x:c>
      <x:c r="E19" s="16" t="str">
        <x:v>Numbered total</x:v>
      </x:c>
      <x:c r="F19" s="16" t="str">
        <x:v>211</x:v>
      </x:c>
      <x:c r="G19" s="16" t="str">
        <x:v>secondary_checklist</x:v>
      </x:c>
      <x:c r="H19" s="16" t="str">
        <x:v>https://bulbapedia.bulbagarden.net/wiki/Storming_Emergence_(ATCG)</x:v>
      </x:c>
      <x:c r="I19" s="16" t="str">
        <x:v>Simplified Chinese; Radiant numbered component; excludes same-number finish variants</x:v>
      </x:c>
      <x:c r="J19" s="16" t="str">
        <x:v>The named Radiant checklist runs from 001/151 to 211/151. This is a sourced checklist total, not an independent verification of every card or completeness in Stackr.</x:v>
      </x:c>
      <x:c r="K19" s="16" t="str">
        <x:v>zh-CN-67d0d50f4a30</x:v>
      </x:c>
      <x:c r="L19" s="16" t="str">
        <x:v>numbered_total</x:v>
      </x:c>
    </x:row>
    <x:row r="20" ht="65" customHeight="1">
      <x:c r="A20" s="16" t="str">
        <x:v>AUTO-abed2e8c83ba</x:v>
      </x:c>
      <x:c r="B20" s="16" t="str">
        <x:v>2026-09-24-round1</x:v>
      </x:c>
      <x:c r="C20" s="16" t="str">
        <x:v>zh-CN</x:v>
      </x:c>
      <x:c r="D20" s="16" t="str">
        <x:v>Storming Emergence: Radiant</x:v>
      </x:c>
      <x:c r="E20" s="16" t="str">
        <x:v>Last listed number</x:v>
      </x:c>
      <x:c r="F20" s="16" t="str">
        <x:v>211/151</x:v>
      </x:c>
      <x:c r="G20" s="16" t="str">
        <x:v>secondary_checklist</x:v>
      </x:c>
      <x:c r="H20" s="16" t="str">
        <x:v>https://bulbapedia.bulbagarden.net/wiki/Storming_Emergence_(ATCG)</x:v>
      </x:c>
      <x:c r="I20" s="16" t="str">
        <x:v>Simplified Chinese; Radiant numbered component; excludes same-number finish variants</x:v>
      </x:c>
      <x:c r="J20" s="16" t="str">
        <x:v>The named Radiant checklist runs from 001/151 to 211/151. This is a sourced checklist total, not an independent verification of every card or completeness in Stackr.</x:v>
      </x:c>
      <x:c r="K20" s="16" t="str">
        <x:v>zh-CN-67d0d50f4a30</x:v>
      </x:c>
      <x:c r="L20" s="16" t="str">
        <x:v>terminal_number</x:v>
      </x:c>
    </x:row>
    <x:row r="21" ht="65" customHeight="1">
      <x:c r="A21" s="16" t="str">
        <x:v>AUTO-4c20808cda94</x:v>
      </x:c>
      <x:c r="B21" s="16" t="str">
        <x:v>2026-09-24-round1</x:v>
      </x:c>
      <x:c r="C21" s="16" t="str">
        <x:v>zh-CN</x:v>
      </x:c>
      <x:c r="D21" s="16" t="str">
        <x:v>Storming Emergence: Verdant</x:v>
      </x:c>
      <x:c r="E21" s="16" t="str">
        <x:v>Reference count</x:v>
      </x:c>
      <x:c r="F21" s="16" t="str">
        <x:v>204</x:v>
      </x:c>
      <x:c r="G21" s="16" t="str">
        <x:v>secondary_checklist</x:v>
      </x:c>
      <x:c r="H21" s="16" t="str">
        <x:v>https://bulbapedia.bulbagarden.net/wiki/Storming_Emergence_(ATCG)</x:v>
      </x:c>
      <x:c r="I21" s="16" t="str">
        <x:v>Simplified Chinese; Verdant numbered component; excludes same-number finish variants</x:v>
      </x:c>
      <x:c r="J21" s="16" t="str">
        <x:v>The named Verdant checklist runs from 001/151 to 204/151. This is a sourced checklist total, not an independent verification of every card or completeness in Stackr.</x:v>
      </x:c>
      <x:c r="K21" s="16" t="str">
        <x:v>zh-CN-ddc368ed5a42</x:v>
      </x:c>
      <x:c r="L21" s="16" t="str">
        <x:v>reference_count</x:v>
      </x:c>
    </x:row>
    <x:row r="22" ht="65" customHeight="1">
      <x:c r="A22" s="16" t="str">
        <x:v>AUTO-9c41f764488d</x:v>
      </x:c>
      <x:c r="B22" s="16" t="str">
        <x:v>2026-09-24-round1</x:v>
      </x:c>
      <x:c r="C22" s="16" t="str">
        <x:v>zh-CN</x:v>
      </x:c>
      <x:c r="D22" s="16" t="str">
        <x:v>Storming Emergence: Verdant</x:v>
      </x:c>
      <x:c r="E22" s="16" t="str">
        <x:v>Numbered total</x:v>
      </x:c>
      <x:c r="F22" s="16" t="str">
        <x:v>204</x:v>
      </x:c>
      <x:c r="G22" s="16" t="str">
        <x:v>secondary_checklist</x:v>
      </x:c>
      <x:c r="H22" s="16" t="str">
        <x:v>https://bulbapedia.bulbagarden.net/wiki/Storming_Emergence_(ATCG)</x:v>
      </x:c>
      <x:c r="I22" s="16" t="str">
        <x:v>Simplified Chinese; Verdant numbered component; excludes same-number finish variants</x:v>
      </x:c>
      <x:c r="J22" s="16" t="str">
        <x:v>The named Verdant checklist runs from 001/151 to 204/151. This is a sourced checklist total, not an independent verification of every card or completeness in Stackr.</x:v>
      </x:c>
      <x:c r="K22" s="16" t="str">
        <x:v>zh-CN-ddc368ed5a42</x:v>
      </x:c>
      <x:c r="L22" s="16" t="str">
        <x:v>numbered_total</x:v>
      </x:c>
    </x:row>
    <x:row r="23" ht="65" customHeight="1">
      <x:c r="A23" s="16" t="str">
        <x:v>AUTO-ae74fcbeea45</x:v>
      </x:c>
      <x:c r="B23" s="16" t="str">
        <x:v>2026-09-24-round1</x:v>
      </x:c>
      <x:c r="C23" s="16" t="str">
        <x:v>zh-CN</x:v>
      </x:c>
      <x:c r="D23" s="16" t="str">
        <x:v>Storming Emergence: Verdant</x:v>
      </x:c>
      <x:c r="E23" s="16" t="str">
        <x:v>Last listed number</x:v>
      </x:c>
      <x:c r="F23" s="16" t="str">
        <x:v>204/151</x:v>
      </x:c>
      <x:c r="G23" s="16" t="str">
        <x:v>secondary_checklist</x:v>
      </x:c>
      <x:c r="H23" s="16" t="str">
        <x:v>https://bulbapedia.bulbagarden.net/wiki/Storming_Emergence_(ATCG)</x:v>
      </x:c>
      <x:c r="I23" s="16" t="str">
        <x:v>Simplified Chinese; Verdant numbered component; excludes same-number finish variants</x:v>
      </x:c>
      <x:c r="J23" s="16" t="str">
        <x:v>The named Verdant checklist runs from 001/151 to 204/151. This is a sourced checklist total, not an independent verification of every card or completeness in Stackr.</x:v>
      </x:c>
      <x:c r="K23" s="16" t="str">
        <x:v>zh-CN-ddc368ed5a42</x:v>
      </x:c>
      <x:c r="L23" s="16" t="str">
        <x:v>terminal_number</x:v>
      </x:c>
    </x:row>
    <x:row r="24" ht="65" customHeight="1">
      <x:c r="A24" s="16" t="str">
        <x:v>AUTO-2f902e51b584</x:v>
      </x:c>
      <x:c r="B24" s="16" t="str">
        <x:v>2026-09-24-round1</x:v>
      </x:c>
      <x:c r="C24" s="16" t="str">
        <x:v>zh-CN</x:v>
      </x:c>
      <x:c r="D24" s="16" t="str">
        <x:v>Storming Emergence: Verdant</x:v>
      </x:c>
      <x:c r="E24" s="16" t="str">
        <x:v>Beyond denominator</x:v>
      </x:c>
      <x:c r="F24" s="16" t="str">
        <x:v>53</x:v>
      </x:c>
      <x:c r="G24" s="16" t="str">
        <x:v>secondary_checklist</x:v>
      </x:c>
      <x:c r="H24" s="16" t="str">
        <x:v>https://bulbapedia.bulbagarden.net/wiki/Storming_Emergence_(ATCG)</x:v>
      </x:c>
      <x:c r="I24" s="16" t="str">
        <x:v>Simplified Chinese; Verdant numbered component; excludes same-number finish variants</x:v>
      </x:c>
      <x:c r="J24" s="16" t="str">
        <x:v>Derived as source-listed numbered total 204 minus printed denominator 151. This is not a count of foil finishes.</x:v>
      </x:c>
      <x:c r="K24" s="16" t="str">
        <x:v>zh-CN-ddc368ed5a42</x:v>
      </x:c>
      <x:c r="L24" s="16" t="str">
        <x:v>extra_cards</x:v>
      </x:c>
    </x:row>
    <x:row r="25" ht="65" customHeight="1">
      <x:c r="A25" s="16" t="str">
        <x:v>AUTO-3a46903aa189</x:v>
      </x:c>
      <x:c r="B25" s="16" t="str">
        <x:v>2026-09-24-round1</x:v>
      </x:c>
      <x:c r="C25" s="16" t="str">
        <x:v>zh-CN</x:v>
      </x:c>
      <x:c r="D25" s="16" t="str">
        <x:v>Storming Emergence: Abundant</x:v>
      </x:c>
      <x:c r="E25" s="16" t="str">
        <x:v>Reference count</x:v>
      </x:c>
      <x:c r="F25" s="16" t="str">
        <x:v>212</x:v>
      </x:c>
      <x:c r="G25" s="16" t="str">
        <x:v>secondary_checklist</x:v>
      </x:c>
      <x:c r="H25" s="16" t="str">
        <x:v>https://bulbapedia.bulbagarden.net/wiki/Storming_Emergence_(ATCG)</x:v>
      </x:c>
      <x:c r="I25" s="16" t="str">
        <x:v>Simplified Chinese; Abundant numbered component; excludes same-number finish variants</x:v>
      </x:c>
      <x:c r="J25" s="16" t="str">
        <x:v>The named Abundant checklist runs from 001/151 to 212/151. This is a sourced checklist total, not an independent verification of every card or completeness in Stackr.</x:v>
      </x:c>
      <x:c r="K25" s="16" t="str">
        <x:v>zh-CN-cff2a96842bc</x:v>
      </x:c>
      <x:c r="L25" s="16" t="str">
        <x:v>reference_count</x:v>
      </x:c>
    </x:row>
    <x:row r="26" ht="65" customHeight="1">
      <x:c r="A26" s="16" t="str">
        <x:v>AUTO-ce394b0a3d10</x:v>
      </x:c>
      <x:c r="B26" s="16" t="str">
        <x:v>2026-09-24-round1</x:v>
      </x:c>
      <x:c r="C26" s="16" t="str">
        <x:v>zh-CN</x:v>
      </x:c>
      <x:c r="D26" s="16" t="str">
        <x:v>Storming Emergence: Abundant</x:v>
      </x:c>
      <x:c r="E26" s="16" t="str">
        <x:v>Numbered total</x:v>
      </x:c>
      <x:c r="F26" s="16" t="str">
        <x:v>212</x:v>
      </x:c>
      <x:c r="G26" s="16" t="str">
        <x:v>secondary_checklist</x:v>
      </x:c>
      <x:c r="H26" s="16" t="str">
        <x:v>https://bulbapedia.bulbagarden.net/wiki/Storming_Emergence_(ATCG)</x:v>
      </x:c>
      <x:c r="I26" s="16" t="str">
        <x:v>Simplified Chinese; Abundant numbered component; excludes same-number finish variants</x:v>
      </x:c>
      <x:c r="J26" s="16" t="str">
        <x:v>The named Abundant checklist runs from 001/151 to 212/151. This is a sourced checklist total, not an independent verification of every card or completeness in Stackr.</x:v>
      </x:c>
      <x:c r="K26" s="16" t="str">
        <x:v>zh-CN-cff2a96842bc</x:v>
      </x:c>
      <x:c r="L26" s="16" t="str">
        <x:v>numbered_total</x:v>
      </x:c>
    </x:row>
    <x:row r="27" ht="65" customHeight="1">
      <x:c r="A27" s="16" t="str">
        <x:v>AUTO-901aa6969bcb</x:v>
      </x:c>
      <x:c r="B27" s="16" t="str">
        <x:v>2026-09-24-round1</x:v>
      </x:c>
      <x:c r="C27" s="16" t="str">
        <x:v>zh-CN</x:v>
      </x:c>
      <x:c r="D27" s="16" t="str">
        <x:v>Storming Emergence: Abundant</x:v>
      </x:c>
      <x:c r="E27" s="16" t="str">
        <x:v>Last listed number</x:v>
      </x:c>
      <x:c r="F27" s="16" t="str">
        <x:v>212/151</x:v>
      </x:c>
      <x:c r="G27" s="16" t="str">
        <x:v>secondary_checklist</x:v>
      </x:c>
      <x:c r="H27" s="16" t="str">
        <x:v>https://bulbapedia.bulbagarden.net/wiki/Storming_Emergence_(ATCG)</x:v>
      </x:c>
      <x:c r="I27" s="16" t="str">
        <x:v>Simplified Chinese; Abundant numbered component; excludes same-number finish variants</x:v>
      </x:c>
      <x:c r="J27" s="16" t="str">
        <x:v>The named Abundant checklist runs from 001/151 to 212/151. This is a sourced checklist total, not an independent verification of every card or completeness in Stackr.</x:v>
      </x:c>
      <x:c r="K27" s="16" t="str">
        <x:v>zh-CN-cff2a96842bc</x:v>
      </x:c>
      <x:c r="L27" s="16" t="str">
        <x:v>terminal_number</x:v>
      </x:c>
    </x:row>
    <x:row r="28" ht="65" customHeight="1">
      <x:c r="A28" s="16" t="str">
        <x:v>AUTO-4087a4d10714</x:v>
      </x:c>
      <x:c r="B28" s="16" t="str">
        <x:v>2026-09-24-round1</x:v>
      </x:c>
      <x:c r="C28" s="16" t="str">
        <x:v>zh-CN</x:v>
      </x:c>
      <x:c r="D28" s="16" t="str">
        <x:v>Storming Emergence: Abundant</x:v>
      </x:c>
      <x:c r="E28" s="16" t="str">
        <x:v>Beyond denominator</x:v>
      </x:c>
      <x:c r="F28" s="16" t="str">
        <x:v>61</x:v>
      </x:c>
      <x:c r="G28" s="16" t="str">
        <x:v>secondary_checklist</x:v>
      </x:c>
      <x:c r="H28" s="16" t="str">
        <x:v>https://bulbapedia.bulbagarden.net/wiki/Storming_Emergence_(ATCG)</x:v>
      </x:c>
      <x:c r="I28" s="16" t="str">
        <x:v>Simplified Chinese; Abundant numbered component; excludes same-number finish variants</x:v>
      </x:c>
      <x:c r="J28" s="16" t="str">
        <x:v>Derived as source-listed numbered total 212 minus printed denominator 151. This is not a count of foil finishes.</x:v>
      </x:c>
      <x:c r="K28" s="16" t="str">
        <x:v>zh-CN-cff2a96842bc</x:v>
      </x:c>
      <x:c r="L28" s="16" t="str">
        <x:v>extra_cards</x:v>
      </x:c>
    </x:row>
    <x:row r="29" ht="65" customHeight="1">
      <x:c r="A29" s="16" t="str">
        <x:v>AUTO-937435d663b7</x:v>
      </x:c>
      <x:c r="B29" s="16" t="str">
        <x:v>2026-09-24-round1</x:v>
      </x:c>
      <x:c r="C29" s="16" t="str">
        <x:v>zh-CN</x:v>
      </x:c>
      <x:c r="D29" s="16" t="str">
        <x:v>Shining Synergy: Shower</x:v>
      </x:c>
      <x:c r="E29" s="16" t="str">
        <x:v>Base cards / denominator</x:v>
      </x:c>
      <x:c r="F29" s="16" t="str">
        <x:v>150</x:v>
      </x:c>
      <x:c r="G29" s="16" t="str">
        <x:v>secondary_checklist</x:v>
      </x:c>
      <x:c r="H29" s="16" t="str">
        <x:v>https://bulbapedia.bulbagarden.net/wiki/Shining_Synergy_(ATCG)</x:v>
      </x:c>
      <x:c r="I29" s="16" t="str">
        <x:v>Simplified Chinese; Shower numbered component; excludes same-number finish variants</x:v>
      </x:c>
      <x:c r="J29" s="16" t="str">
        <x:v>The named Shower checklist runs from 001/150 to 194/150. This is a sourced checklist total, not an independent verification of every card or completeness in Stackr.</x:v>
      </x:c>
      <x:c r="K29" s="16" t="str">
        <x:v>zh-CN-985b569834f5</x:v>
      </x:c>
      <x:c r="L29" s="16" t="str">
        <x:v>base_cards</x:v>
      </x:c>
    </x:row>
    <x:row r="30" ht="65" customHeight="1">
      <x:c r="A30" s="16" t="str">
        <x:v>AUTO-531657e4f9e5</x:v>
      </x:c>
      <x:c r="B30" s="16" t="str">
        <x:v>2026-09-24-round1</x:v>
      </x:c>
      <x:c r="C30" s="16" t="str">
        <x:v>zh-CN</x:v>
      </x:c>
      <x:c r="D30" s="16" t="str">
        <x:v>Shining Synergy: Shower</x:v>
      </x:c>
      <x:c r="E30" s="16" t="str">
        <x:v>Reference count</x:v>
      </x:c>
      <x:c r="F30" s="16" t="str">
        <x:v>194</x:v>
      </x:c>
      <x:c r="G30" s="16" t="str">
        <x:v>secondary_checklist</x:v>
      </x:c>
      <x:c r="H30" s="16" t="str">
        <x:v>https://bulbapedia.bulbagarden.net/wiki/Shining_Synergy_(ATCG)</x:v>
      </x:c>
      <x:c r="I30" s="16" t="str">
        <x:v>Simplified Chinese; Shower numbered component; excludes same-number finish variants</x:v>
      </x:c>
      <x:c r="J30" s="16" t="str">
        <x:v>The named Shower checklist runs from 001/150 to 194/150. This is a sourced checklist total, not an independent verification of every card or completeness in Stackr.</x:v>
      </x:c>
      <x:c r="K30" s="16" t="str">
        <x:v>zh-CN-985b569834f5</x:v>
      </x:c>
      <x:c r="L30" s="16" t="str">
        <x:v>reference_count</x:v>
      </x:c>
    </x:row>
    <x:row r="31" ht="65" customHeight="1">
      <x:c r="A31" s="16" t="str">
        <x:v>AUTO-79aa9a5cc303</x:v>
      </x:c>
      <x:c r="B31" s="16" t="str">
        <x:v>2026-09-24-round1</x:v>
      </x:c>
      <x:c r="C31" s="16" t="str">
        <x:v>zh-CN</x:v>
      </x:c>
      <x:c r="D31" s="16" t="str">
        <x:v>Shining Synergy: Shower</x:v>
      </x:c>
      <x:c r="E31" s="16" t="str">
        <x:v>Numbered total</x:v>
      </x:c>
      <x:c r="F31" s="16" t="str">
        <x:v>194</x:v>
      </x:c>
      <x:c r="G31" s="16" t="str">
        <x:v>secondary_checklist</x:v>
      </x:c>
      <x:c r="H31" s="16" t="str">
        <x:v>https://bulbapedia.bulbagarden.net/wiki/Shining_Synergy_(ATCG)</x:v>
      </x:c>
      <x:c r="I31" s="16" t="str">
        <x:v>Simplified Chinese; Shower numbered component; excludes same-number finish variants</x:v>
      </x:c>
      <x:c r="J31" s="16" t="str">
        <x:v>The named Shower checklist runs from 001/150 to 194/150. This is a sourced checklist total, not an independent verification of every card or completeness in Stackr.</x:v>
      </x:c>
      <x:c r="K31" s="16" t="str">
        <x:v>zh-CN-985b569834f5</x:v>
      </x:c>
      <x:c r="L31" s="16" t="str">
        <x:v>numbered_total</x:v>
      </x:c>
    </x:row>
    <x:row r="32" ht="65" customHeight="1">
      <x:c r="A32" s="16" t="str">
        <x:v>AUTO-3849efedd469</x:v>
      </x:c>
      <x:c r="B32" s="16" t="str">
        <x:v>2026-09-24-round1</x:v>
      </x:c>
      <x:c r="C32" s="16" t="str">
        <x:v>zh-CN</x:v>
      </x:c>
      <x:c r="D32" s="16" t="str">
        <x:v>Shining Synergy: Shower</x:v>
      </x:c>
      <x:c r="E32" s="16" t="str">
        <x:v>Last listed number</x:v>
      </x:c>
      <x:c r="F32" s="16" t="str">
        <x:v>194/150</x:v>
      </x:c>
      <x:c r="G32" s="16" t="str">
        <x:v>secondary_checklist</x:v>
      </x:c>
      <x:c r="H32" s="16" t="str">
        <x:v>https://bulbapedia.bulbagarden.net/wiki/Shining_Synergy_(ATCG)</x:v>
      </x:c>
      <x:c r="I32" s="16" t="str">
        <x:v>Simplified Chinese; Shower numbered component; excludes same-number finish variants</x:v>
      </x:c>
      <x:c r="J32" s="16" t="str">
        <x:v>The named Shower checklist runs from 001/150 to 194/150. This is a sourced checklist total, not an independent verification of every card or completeness in Stackr.</x:v>
      </x:c>
      <x:c r="K32" s="16" t="str">
        <x:v>zh-CN-985b569834f5</x:v>
      </x:c>
      <x:c r="L32" s="16" t="str">
        <x:v>terminal_number</x:v>
      </x:c>
    </x:row>
    <x:row r="33" ht="65" customHeight="1">
      <x:c r="A33" s="16" t="str">
        <x:v>AUTO-4b6d64ec96b8</x:v>
      </x:c>
      <x:c r="B33" s="16" t="str">
        <x:v>2026-09-24-round1</x:v>
      </x:c>
      <x:c r="C33" s="16" t="str">
        <x:v>zh-CN</x:v>
      </x:c>
      <x:c r="D33" s="16" t="str">
        <x:v>Shining Synergy: Shower</x:v>
      </x:c>
      <x:c r="E33" s="16" t="str">
        <x:v>Beyond denominator</x:v>
      </x:c>
      <x:c r="F33" s="16" t="str">
        <x:v>44</x:v>
      </x:c>
      <x:c r="G33" s="16" t="str">
        <x:v>secondary_checklist</x:v>
      </x:c>
      <x:c r="H33" s="16" t="str">
        <x:v>https://bulbapedia.bulbagarden.net/wiki/Shining_Synergy_(ATCG)</x:v>
      </x:c>
      <x:c r="I33" s="16" t="str">
        <x:v>Simplified Chinese; Shower numbered component; excludes same-number finish variants</x:v>
      </x:c>
      <x:c r="J33" s="16" t="str">
        <x:v>Derived as source-listed numbered total 194 minus printed denominator 150. This is not a count of foil finishes.</x:v>
      </x:c>
      <x:c r="K33" s="16" t="str">
        <x:v>zh-CN-985b569834f5</x:v>
      </x:c>
      <x:c r="L33" s="16" t="str">
        <x:v>extra_cards</x:v>
      </x:c>
    </x:row>
    <x:row r="34" ht="65" customHeight="1">
      <x:c r="A34" s="16" t="str">
        <x:v>AUTO-46798d9de6d0</x:v>
      </x:c>
      <x:c r="B34" s="16" t="str">
        <x:v>2026-09-24-round1</x:v>
      </x:c>
      <x:c r="C34" s="16" t="str">
        <x:v>zh-CN</x:v>
      </x:c>
      <x:c r="D34" s="16" t="str">
        <x:v>Shining Synergy: Supreme</x:v>
      </x:c>
      <x:c r="E34" s="16" t="str">
        <x:v>Base cards / denominator</x:v>
      </x:c>
      <x:c r="F34" s="16" t="str">
        <x:v>150</x:v>
      </x:c>
      <x:c r="G34" s="16" t="str">
        <x:v>secondary_checklist</x:v>
      </x:c>
      <x:c r="H34" s="16" t="str">
        <x:v>https://bulbapedia.bulbagarden.net/wiki/Shining_Synergy_(ATCG)</x:v>
      </x:c>
      <x:c r="I34" s="16" t="str">
        <x:v>Simplified Chinese; Supreme numbered component; excludes same-number finish variants</x:v>
      </x:c>
      <x:c r="J34" s="16" t="str">
        <x:v>The named Supreme checklist runs from 001/150 to 193/150. This is a sourced checklist total, not an independent verification of every card or completeness in Stackr.</x:v>
      </x:c>
      <x:c r="K34" s="16" t="str">
        <x:v>zh-CN-d9a73eee6c51</x:v>
      </x:c>
      <x:c r="L34" s="16" t="str">
        <x:v>base_cards</x:v>
      </x:c>
    </x:row>
    <x:row r="35" ht="65" customHeight="1">
      <x:c r="A35" s="16" t="str">
        <x:v>AUTO-042a4843c481</x:v>
      </x:c>
      <x:c r="B35" s="16" t="str">
        <x:v>2026-09-24-round1</x:v>
      </x:c>
      <x:c r="C35" s="16" t="str">
        <x:v>zh-CN</x:v>
      </x:c>
      <x:c r="D35" s="16" t="str">
        <x:v>Shining Synergy: Supreme</x:v>
      </x:c>
      <x:c r="E35" s="16" t="str">
        <x:v>Reference count</x:v>
      </x:c>
      <x:c r="F35" s="16" t="str">
        <x:v>193</x:v>
      </x:c>
      <x:c r="G35" s="16" t="str">
        <x:v>secondary_checklist</x:v>
      </x:c>
      <x:c r="H35" s="16" t="str">
        <x:v>https://bulbapedia.bulbagarden.net/wiki/Shining_Synergy_(ATCG)</x:v>
      </x:c>
      <x:c r="I35" s="16" t="str">
        <x:v>Simplified Chinese; Supreme numbered component; excludes same-number finish variants</x:v>
      </x:c>
      <x:c r="J35" s="16" t="str">
        <x:v>The named Supreme checklist runs from 001/150 to 193/150. This is a sourced checklist total, not an independent verification of every card or completeness in Stackr.</x:v>
      </x:c>
      <x:c r="K35" s="16" t="str">
        <x:v>zh-CN-d9a73eee6c51</x:v>
      </x:c>
      <x:c r="L35" s="16" t="str">
        <x:v>reference_count</x:v>
      </x:c>
    </x:row>
    <x:row r="36" ht="65" customHeight="1">
      <x:c r="A36" s="16" t="str">
        <x:v>AUTO-9441dc958f1f</x:v>
      </x:c>
      <x:c r="B36" s="16" t="str">
        <x:v>2026-09-24-round1</x:v>
      </x:c>
      <x:c r="C36" s="16" t="str">
        <x:v>zh-CN</x:v>
      </x:c>
      <x:c r="D36" s="16" t="str">
        <x:v>Shining Synergy: Supreme</x:v>
      </x:c>
      <x:c r="E36" s="16" t="str">
        <x:v>Numbered total</x:v>
      </x:c>
      <x:c r="F36" s="16" t="str">
        <x:v>193</x:v>
      </x:c>
      <x:c r="G36" s="16" t="str">
        <x:v>secondary_checklist</x:v>
      </x:c>
      <x:c r="H36" s="16" t="str">
        <x:v>https://bulbapedia.bulbagarden.net/wiki/Shining_Synergy_(ATCG)</x:v>
      </x:c>
      <x:c r="I36" s="16" t="str">
        <x:v>Simplified Chinese; Supreme numbered component; excludes same-number finish variants</x:v>
      </x:c>
      <x:c r="J36" s="16" t="str">
        <x:v>The named Supreme checklist runs from 001/150 to 193/150. This is a sourced checklist total, not an independent verification of every card or completeness in Stackr.</x:v>
      </x:c>
      <x:c r="K36" s="16" t="str">
        <x:v>zh-CN-d9a73eee6c51</x:v>
      </x:c>
      <x:c r="L36" s="16" t="str">
        <x:v>numbered_total</x:v>
      </x:c>
    </x:row>
    <x:row r="37" ht="65" customHeight="1">
      <x:c r="A37" s="16" t="str">
        <x:v>AUTO-b05f74172acb</x:v>
      </x:c>
      <x:c r="B37" s="16" t="str">
        <x:v>2026-09-24-round1</x:v>
      </x:c>
      <x:c r="C37" s="16" t="str">
        <x:v>zh-CN</x:v>
      </x:c>
      <x:c r="D37" s="16" t="str">
        <x:v>Shining Synergy: Supreme</x:v>
      </x:c>
      <x:c r="E37" s="16" t="str">
        <x:v>Last listed number</x:v>
      </x:c>
      <x:c r="F37" s="16" t="str">
        <x:v>193/150</x:v>
      </x:c>
      <x:c r="G37" s="16" t="str">
        <x:v>secondary_checklist</x:v>
      </x:c>
      <x:c r="H37" s="16" t="str">
        <x:v>https://bulbapedia.bulbagarden.net/wiki/Shining_Synergy_(ATCG)</x:v>
      </x:c>
      <x:c r="I37" s="16" t="str">
        <x:v>Simplified Chinese; Supreme numbered component; excludes same-number finish variants</x:v>
      </x:c>
      <x:c r="J37" s="16" t="str">
        <x:v>The named Supreme checklist runs from 001/150 to 193/150. This is a sourced checklist total, not an independent verification of every card or completeness in Stackr.</x:v>
      </x:c>
      <x:c r="K37" s="16" t="str">
        <x:v>zh-CN-d9a73eee6c51</x:v>
      </x:c>
      <x:c r="L37" s="16" t="str">
        <x:v>terminal_number</x:v>
      </x:c>
    </x:row>
    <x:row r="38" ht="65" customHeight="1">
      <x:c r="A38" s="16" t="str">
        <x:v>AUTO-0ba234ffe8d5</x:v>
      </x:c>
      <x:c r="B38" s="16" t="str">
        <x:v>2026-09-24-round1</x:v>
      </x:c>
      <x:c r="C38" s="16" t="str">
        <x:v>zh-CN</x:v>
      </x:c>
      <x:c r="D38" s="16" t="str">
        <x:v>Shining Synergy: Supreme</x:v>
      </x:c>
      <x:c r="E38" s="16" t="str">
        <x:v>Beyond denominator</x:v>
      </x:c>
      <x:c r="F38" s="16" t="str">
        <x:v>43</x:v>
      </x:c>
      <x:c r="G38" s="16" t="str">
        <x:v>secondary_checklist</x:v>
      </x:c>
      <x:c r="H38" s="16" t="str">
        <x:v>https://bulbapedia.bulbagarden.net/wiki/Shining_Synergy_(ATCG)</x:v>
      </x:c>
      <x:c r="I38" s="16" t="str">
        <x:v>Simplified Chinese; Supreme numbered component; excludes same-number finish variants</x:v>
      </x:c>
      <x:c r="J38" s="16" t="str">
        <x:v>Derived as source-listed numbered total 193 minus printed denominator 150. This is not a count of foil finishes.</x:v>
      </x:c>
      <x:c r="K38" s="16" t="str">
        <x:v>zh-CN-d9a73eee6c51</x:v>
      </x:c>
      <x:c r="L38" s="16" t="str">
        <x:v>extra_cards</x:v>
      </x:c>
    </x:row>
    <x:row r="39" ht="65" customHeight="1">
      <x:c r="A39" s="16" t="str">
        <x:v>AUTO-bcb199b8c8fd</x:v>
      </x:c>
      <x:c r="B39" s="16" t="str">
        <x:v>2026-09-24-round1</x:v>
      </x:c>
      <x:c r="C39" s="16" t="str">
        <x:v>zh-CN</x:v>
      </x:c>
      <x:c r="D39" s="16" t="str">
        <x:v>Shining Synergy: Summon</x:v>
      </x:c>
      <x:c r="E39" s="16" t="str">
        <x:v>Base cards / denominator</x:v>
      </x:c>
      <x:c r="F39" s="16" t="str">
        <x:v>150</x:v>
      </x:c>
      <x:c r="G39" s="16" t="str">
        <x:v>secondary_checklist</x:v>
      </x:c>
      <x:c r="H39" s="16" t="str">
        <x:v>https://bulbapedia.bulbagarden.net/wiki/Shining_Synergy_(ATCG)</x:v>
      </x:c>
      <x:c r="I39" s="16" t="str">
        <x:v>Simplified Chinese; Summon numbered component; excludes same-number finish variants</x:v>
      </x:c>
      <x:c r="J39" s="16" t="str">
        <x:v>The named Summon checklist runs from 001/150 to 192/150. This is a sourced checklist total, not an independent verification of every card or completeness in Stackr.</x:v>
      </x:c>
      <x:c r="K39" s="16" t="str">
        <x:v>zh-CN-e431181de676</x:v>
      </x:c>
      <x:c r="L39" s="16" t="str">
        <x:v>base_cards</x:v>
      </x:c>
    </x:row>
    <x:row r="40" ht="65" customHeight="1">
      <x:c r="A40" s="16" t="str">
        <x:v>AUTO-e40fdd702995</x:v>
      </x:c>
      <x:c r="B40" s="16" t="str">
        <x:v>2026-09-24-round1</x:v>
      </x:c>
      <x:c r="C40" s="16" t="str">
        <x:v>zh-CN</x:v>
      </x:c>
      <x:c r="D40" s="16" t="str">
        <x:v>Shining Synergy: Summon</x:v>
      </x:c>
      <x:c r="E40" s="16" t="str">
        <x:v>Reference count</x:v>
      </x:c>
      <x:c r="F40" s="16" t="str">
        <x:v>192</x:v>
      </x:c>
      <x:c r="G40" s="16" t="str">
        <x:v>secondary_checklist</x:v>
      </x:c>
      <x:c r="H40" s="16" t="str">
        <x:v>https://bulbapedia.bulbagarden.net/wiki/Shining_Synergy_(ATCG)</x:v>
      </x:c>
      <x:c r="I40" s="16" t="str">
        <x:v>Simplified Chinese; Summon numbered component; excludes same-number finish variants</x:v>
      </x:c>
      <x:c r="J40" s="16" t="str">
        <x:v>The named Summon checklist runs from 001/150 to 192/150. This is a sourced checklist total, not an independent verification of every card or completeness in Stackr.</x:v>
      </x:c>
      <x:c r="K40" s="16" t="str">
        <x:v>zh-CN-e431181de676</x:v>
      </x:c>
      <x:c r="L40" s="16" t="str">
        <x:v>reference_count</x:v>
      </x:c>
    </x:row>
    <x:row r="41" ht="65" customHeight="1">
      <x:c r="A41" s="16" t="str">
        <x:v>AUTO-ccab2fd58131</x:v>
      </x:c>
      <x:c r="B41" s="16" t="str">
        <x:v>2026-09-24-round1</x:v>
      </x:c>
      <x:c r="C41" s="16" t="str">
        <x:v>zh-CN</x:v>
      </x:c>
      <x:c r="D41" s="16" t="str">
        <x:v>Shining Synergy: Summon</x:v>
      </x:c>
      <x:c r="E41" s="16" t="str">
        <x:v>Numbered total</x:v>
      </x:c>
      <x:c r="F41" s="16" t="str">
        <x:v>192</x:v>
      </x:c>
      <x:c r="G41" s="16" t="str">
        <x:v>secondary_checklist</x:v>
      </x:c>
      <x:c r="H41" s="16" t="str">
        <x:v>https://bulbapedia.bulbagarden.net/wiki/Shining_Synergy_(ATCG)</x:v>
      </x:c>
      <x:c r="I41" s="16" t="str">
        <x:v>Simplified Chinese; Summon numbered component; excludes same-number finish variants</x:v>
      </x:c>
      <x:c r="J41" s="16" t="str">
        <x:v>The named Summon checklist runs from 001/150 to 192/150. This is a sourced checklist total, not an independent verification of every card or completeness in Stackr.</x:v>
      </x:c>
      <x:c r="K41" s="16" t="str">
        <x:v>zh-CN-e431181de676</x:v>
      </x:c>
      <x:c r="L41" s="16" t="str">
        <x:v>numbered_total</x:v>
      </x:c>
    </x:row>
    <x:row r="42" ht="65" customHeight="1">
      <x:c r="A42" s="16" t="str">
        <x:v>AUTO-2621f14ccd32</x:v>
      </x:c>
      <x:c r="B42" s="16" t="str">
        <x:v>2026-09-24-round1</x:v>
      </x:c>
      <x:c r="C42" s="16" t="str">
        <x:v>zh-CN</x:v>
      </x:c>
      <x:c r="D42" s="16" t="str">
        <x:v>Shining Synergy: Summon</x:v>
      </x:c>
      <x:c r="E42" s="16" t="str">
        <x:v>Last listed number</x:v>
      </x:c>
      <x:c r="F42" s="16" t="str">
        <x:v>192/150</x:v>
      </x:c>
      <x:c r="G42" s="16" t="str">
        <x:v>secondary_checklist</x:v>
      </x:c>
      <x:c r="H42" s="16" t="str">
        <x:v>https://bulbapedia.bulbagarden.net/wiki/Shining_Synergy_(ATCG)</x:v>
      </x:c>
      <x:c r="I42" s="16" t="str">
        <x:v>Simplified Chinese; Summon numbered component; excludes same-number finish variants</x:v>
      </x:c>
      <x:c r="J42" s="16" t="str">
        <x:v>The named Summon checklist runs from 001/150 to 192/150. This is a sourced checklist total, not an independent verification of every card or completeness in Stackr.</x:v>
      </x:c>
      <x:c r="K42" s="16" t="str">
        <x:v>zh-CN-e431181de676</x:v>
      </x:c>
      <x:c r="L42" s="16" t="str">
        <x:v>terminal_number</x:v>
      </x:c>
    </x:row>
    <x:row r="43" ht="65" customHeight="1">
      <x:c r="A43" s="16" t="str">
        <x:v>AUTO-530dfced454b</x:v>
      </x:c>
      <x:c r="B43" s="16" t="str">
        <x:v>2026-09-24-round1</x:v>
      </x:c>
      <x:c r="C43" s="16" t="str">
        <x:v>zh-CN</x:v>
      </x:c>
      <x:c r="D43" s="16" t="str">
        <x:v>Shining Synergy: Summon</x:v>
      </x:c>
      <x:c r="E43" s="16" t="str">
        <x:v>Beyond denominator</x:v>
      </x:c>
      <x:c r="F43" s="16" t="str">
        <x:v>42</x:v>
      </x:c>
      <x:c r="G43" s="16" t="str">
        <x:v>secondary_checklist</x:v>
      </x:c>
      <x:c r="H43" s="16" t="str">
        <x:v>https://bulbapedia.bulbagarden.net/wiki/Shining_Synergy_(ATCG)</x:v>
      </x:c>
      <x:c r="I43" s="16" t="str">
        <x:v>Simplified Chinese; Summon numbered component; excludes same-number finish variants</x:v>
      </x:c>
      <x:c r="J43" s="16" t="str">
        <x:v>Derived as source-listed numbered total 192 minus printed denominator 150. This is not a count of foil finishes.</x:v>
      </x:c>
      <x:c r="K43" s="16" t="str">
        <x:v>zh-CN-e431181de676</x:v>
      </x:c>
      <x:c r="L43" s="16" t="str">
        <x:v>extra_cards</x:v>
      </x:c>
    </x:row>
    <x:row r="44" ht="65" customHeight="1">
      <x:c r="A44" s="16" t="str">
        <x:v>AUTO-dc87e7d11a66</x:v>
      </x:c>
      <x:c r="B44" s="16" t="str">
        <x:v>2026-09-24-round1</x:v>
      </x:c>
      <x:c r="C44" s="16" t="str">
        <x:v>zh-CN</x:v>
      </x:c>
      <x:c r="D44" s="16" t="str">
        <x:v>Dynamax Clash: Thunder</x:v>
      </x:c>
      <x:c r="E44" s="16" t="str">
        <x:v>Base cards / denominator</x:v>
      </x:c>
      <x:c r="F44" s="16" t="str">
        <x:v>135</x:v>
      </x:c>
      <x:c r="G44" s="16" t="str">
        <x:v>secondary_checklist</x:v>
      </x:c>
      <x:c r="H44" s="16" t="str">
        <x:v>https://bulbapedia.bulbagarden.net/wiki/Dynamax_Clash_(ATCG)</x:v>
      </x:c>
      <x:c r="I44" s="16" t="str">
        <x:v>Simplified Chinese; Thunder numbered component; excludes same-number finish variants</x:v>
      </x:c>
      <x:c r="J44" s="16" t="str">
        <x:v>The named Thunder checklist runs from 001/135 to 217/135. This is a sourced checklist total, not an independent verification of every card or completeness in Stackr.</x:v>
      </x:c>
      <x:c r="K44" s="16" t="str">
        <x:v>zh-CN-3e2d274b4ab5</x:v>
      </x:c>
      <x:c r="L44" s="16" t="str">
        <x:v>base_cards</x:v>
      </x:c>
    </x:row>
    <x:row r="45" ht="65" customHeight="1">
      <x:c r="A45" s="16" t="str">
        <x:v>AUTO-95391a713439</x:v>
      </x:c>
      <x:c r="B45" s="16" t="str">
        <x:v>2026-09-24-round1</x:v>
      </x:c>
      <x:c r="C45" s="16" t="str">
        <x:v>zh-CN</x:v>
      </x:c>
      <x:c r="D45" s="16" t="str">
        <x:v>Dynamax Clash: Thunder</x:v>
      </x:c>
      <x:c r="E45" s="16" t="str">
        <x:v>Reference count</x:v>
      </x:c>
      <x:c r="F45" s="16" t="str">
        <x:v>217</x:v>
      </x:c>
      <x:c r="G45" s="16" t="str">
        <x:v>secondary_checklist</x:v>
      </x:c>
      <x:c r="H45" s="16" t="str">
        <x:v>https://bulbapedia.bulbagarden.net/wiki/Dynamax_Clash_(ATCG)</x:v>
      </x:c>
      <x:c r="I45" s="16" t="str">
        <x:v>Simplified Chinese; Thunder numbered component; excludes same-number finish variants</x:v>
      </x:c>
      <x:c r="J45" s="16" t="str">
        <x:v>The named Thunder checklist runs from 001/135 to 217/135. This is a sourced checklist total, not an independent verification of every card or completeness in Stackr.</x:v>
      </x:c>
      <x:c r="K45" s="16" t="str">
        <x:v>zh-CN-3e2d274b4ab5</x:v>
      </x:c>
      <x:c r="L45" s="16" t="str">
        <x:v>reference_count</x:v>
      </x:c>
    </x:row>
    <x:row r="46" ht="65" customHeight="1">
      <x:c r="A46" s="16" t="str">
        <x:v>AUTO-7734b7edfd00</x:v>
      </x:c>
      <x:c r="B46" s="16" t="str">
        <x:v>2026-09-24-round1</x:v>
      </x:c>
      <x:c r="C46" s="16" t="str">
        <x:v>zh-CN</x:v>
      </x:c>
      <x:c r="D46" s="16" t="str">
        <x:v>Dynamax Clash: Thunder</x:v>
      </x:c>
      <x:c r="E46" s="16" t="str">
        <x:v>Numbered total</x:v>
      </x:c>
      <x:c r="F46" s="16" t="str">
        <x:v>217</x:v>
      </x:c>
      <x:c r="G46" s="16" t="str">
        <x:v>secondary_checklist</x:v>
      </x:c>
      <x:c r="H46" s="16" t="str">
        <x:v>https://bulbapedia.bulbagarden.net/wiki/Dynamax_Clash_(ATCG)</x:v>
      </x:c>
      <x:c r="I46" s="16" t="str">
        <x:v>Simplified Chinese; Thunder numbered component; excludes same-number finish variants</x:v>
      </x:c>
      <x:c r="J46" s="16" t="str">
        <x:v>The named Thunder checklist runs from 001/135 to 217/135. This is a sourced checklist total, not an independent verification of every card or completeness in Stackr.</x:v>
      </x:c>
      <x:c r="K46" s="16" t="str">
        <x:v>zh-CN-3e2d274b4ab5</x:v>
      </x:c>
      <x:c r="L46" s="16" t="str">
        <x:v>numbered_total</x:v>
      </x:c>
    </x:row>
    <x:row r="47" ht="65" customHeight="1">
      <x:c r="A47" s="16" t="str">
        <x:v>AUTO-d285cb9a743c</x:v>
      </x:c>
      <x:c r="B47" s="16" t="str">
        <x:v>2026-09-24-round1</x:v>
      </x:c>
      <x:c r="C47" s="16" t="str">
        <x:v>zh-CN</x:v>
      </x:c>
      <x:c r="D47" s="16" t="str">
        <x:v>Dynamax Clash: Thunder</x:v>
      </x:c>
      <x:c r="E47" s="16" t="str">
        <x:v>Last listed number</x:v>
      </x:c>
      <x:c r="F47" s="16" t="str">
        <x:v>217/135</x:v>
      </x:c>
      <x:c r="G47" s="16" t="str">
        <x:v>secondary_checklist</x:v>
      </x:c>
      <x:c r="H47" s="16" t="str">
        <x:v>https://bulbapedia.bulbagarden.net/wiki/Dynamax_Clash_(ATCG)</x:v>
      </x:c>
      <x:c r="I47" s="16" t="str">
        <x:v>Simplified Chinese; Thunder numbered component; excludes same-number finish variants</x:v>
      </x:c>
      <x:c r="J47" s="16" t="str">
        <x:v>The named Thunder checklist runs from 001/135 to 217/135. This is a sourced checklist total, not an independent verification of every card or completeness in Stackr.</x:v>
      </x:c>
      <x:c r="K47" s="16" t="str">
        <x:v>zh-CN-3e2d274b4ab5</x:v>
      </x:c>
      <x:c r="L47" s="16" t="str">
        <x:v>terminal_number</x:v>
      </x:c>
    </x:row>
    <x:row r="48" ht="65" customHeight="1">
      <x:c r="A48" s="16" t="str">
        <x:v>AUTO-b313545bf713</x:v>
      </x:c>
      <x:c r="B48" s="16" t="str">
        <x:v>2026-09-24-round1</x:v>
      </x:c>
      <x:c r="C48" s="16" t="str">
        <x:v>zh-CN</x:v>
      </x:c>
      <x:c r="D48" s="16" t="str">
        <x:v>Dynamax Clash: Thunder</x:v>
      </x:c>
      <x:c r="E48" s="16" t="str">
        <x:v>Beyond denominator</x:v>
      </x:c>
      <x:c r="F48" s="16" t="str">
        <x:v>82</x:v>
      </x:c>
      <x:c r="G48" s="16" t="str">
        <x:v>secondary_checklist</x:v>
      </x:c>
      <x:c r="H48" s="16" t="str">
        <x:v>https://bulbapedia.bulbagarden.net/wiki/Dynamax_Clash_(ATCG)</x:v>
      </x:c>
      <x:c r="I48" s="16" t="str">
        <x:v>Simplified Chinese; Thunder numbered component; excludes same-number finish variants</x:v>
      </x:c>
      <x:c r="J48" s="16" t="str">
        <x:v>Derived as source-listed numbered total 217 minus printed denominator 135. This is not a count of foil finishes.</x:v>
      </x:c>
      <x:c r="K48" s="16" t="str">
        <x:v>zh-CN-3e2d274b4ab5</x:v>
      </x:c>
      <x:c r="L48" s="16" t="str">
        <x:v>extra_cards</x:v>
      </x:c>
    </x:row>
    <x:row r="49" ht="65" customHeight="1">
      <x:c r="A49" s="16" t="str">
        <x:v>AUTO-5a10cabe6fa2</x:v>
      </x:c>
      <x:c r="B49" s="16" t="str">
        <x:v>2026-09-24-round1</x:v>
      </x:c>
      <x:c r="C49" s="16" t="str">
        <x:v>zh-CN</x:v>
      </x:c>
      <x:c r="D49" s="16" t="str">
        <x:v>Dynamax Clash: Flame</x:v>
      </x:c>
      <x:c r="E49" s="16" t="str">
        <x:v>Base cards / denominator</x:v>
      </x:c>
      <x:c r="F49" s="16" t="str">
        <x:v>136</x:v>
      </x:c>
      <x:c r="G49" s="16" t="str">
        <x:v>secondary_checklist</x:v>
      </x:c>
      <x:c r="H49" s="16" t="str">
        <x:v>https://bulbapedia.bulbagarden.net/wiki/Dynamax_Clash_(ATCG)</x:v>
      </x:c>
      <x:c r="I49" s="16" t="str">
        <x:v>Simplified Chinese; Flame numbered component; excludes same-number finish variants</x:v>
      </x:c>
      <x:c r="J49" s="16" t="str">
        <x:v>The named Flame checklist runs from 001/136 to 199/136. This is a sourced checklist total, not an independent verification of every card or completeness in Stackr.</x:v>
      </x:c>
      <x:c r="K49" s="16" t="str">
        <x:v>zh-CN-278793c85063</x:v>
      </x:c>
      <x:c r="L49" s="16" t="str">
        <x:v>base_cards</x:v>
      </x:c>
    </x:row>
    <x:row r="50" ht="65" customHeight="1">
      <x:c r="A50" s="16" t="str">
        <x:v>AUTO-f4b90847eb77</x:v>
      </x:c>
      <x:c r="B50" s="16" t="str">
        <x:v>2026-09-24-round1</x:v>
      </x:c>
      <x:c r="C50" s="16" t="str">
        <x:v>zh-CN</x:v>
      </x:c>
      <x:c r="D50" s="16" t="str">
        <x:v>Dynamax Clash: Flame</x:v>
      </x:c>
      <x:c r="E50" s="16" t="str">
        <x:v>Reference count</x:v>
      </x:c>
      <x:c r="F50" s="16" t="str">
        <x:v>199</x:v>
      </x:c>
      <x:c r="G50" s="16" t="str">
        <x:v>secondary_checklist</x:v>
      </x:c>
      <x:c r="H50" s="16" t="str">
        <x:v>https://bulbapedia.bulbagarden.net/wiki/Dynamax_Clash_(ATCG)</x:v>
      </x:c>
      <x:c r="I50" s="16" t="str">
        <x:v>Simplified Chinese; Flame numbered component; excludes same-number finish variants</x:v>
      </x:c>
      <x:c r="J50" s="16" t="str">
        <x:v>The named Flame checklist runs from 001/136 to 199/136. This is a sourced checklist total, not an independent verification of every card or completeness in Stackr.</x:v>
      </x:c>
      <x:c r="K50" s="16" t="str">
        <x:v>zh-CN-278793c85063</x:v>
      </x:c>
      <x:c r="L50" s="16" t="str">
        <x:v>reference_count</x:v>
      </x:c>
    </x:row>
    <x:row r="51" ht="65" customHeight="1">
      <x:c r="A51" s="16" t="str">
        <x:v>AUTO-9c74f440f43a</x:v>
      </x:c>
      <x:c r="B51" s="16" t="str">
        <x:v>2026-09-24-round1</x:v>
      </x:c>
      <x:c r="C51" s="16" t="str">
        <x:v>zh-CN</x:v>
      </x:c>
      <x:c r="D51" s="16" t="str">
        <x:v>Dynamax Clash: Flame</x:v>
      </x:c>
      <x:c r="E51" s="16" t="str">
        <x:v>Numbered total</x:v>
      </x:c>
      <x:c r="F51" s="16" t="str">
        <x:v>199</x:v>
      </x:c>
      <x:c r="G51" s="16" t="str">
        <x:v>secondary_checklist</x:v>
      </x:c>
      <x:c r="H51" s="16" t="str">
        <x:v>https://bulbapedia.bulbagarden.net/wiki/Dynamax_Clash_(ATCG)</x:v>
      </x:c>
      <x:c r="I51" s="16" t="str">
        <x:v>Simplified Chinese; Flame numbered component; excludes same-number finish variants</x:v>
      </x:c>
      <x:c r="J51" s="16" t="str">
        <x:v>The named Flame checklist runs from 001/136 to 199/136. This is a sourced checklist total, not an independent verification of every card or completeness in Stackr.</x:v>
      </x:c>
      <x:c r="K51" s="16" t="str">
        <x:v>zh-CN-278793c85063</x:v>
      </x:c>
      <x:c r="L51" s="16" t="str">
        <x:v>numbered_total</x:v>
      </x:c>
    </x:row>
    <x:row r="52" ht="65" customHeight="1">
      <x:c r="A52" s="16" t="str">
        <x:v>AUTO-4d988106d648</x:v>
      </x:c>
      <x:c r="B52" s="16" t="str">
        <x:v>2026-09-24-round1</x:v>
      </x:c>
      <x:c r="C52" s="16" t="str">
        <x:v>zh-CN</x:v>
      </x:c>
      <x:c r="D52" s="16" t="str">
        <x:v>Dynamax Clash: Flame</x:v>
      </x:c>
      <x:c r="E52" s="16" t="str">
        <x:v>Last listed number</x:v>
      </x:c>
      <x:c r="F52" s="16" t="str">
        <x:v>199/136</x:v>
      </x:c>
      <x:c r="G52" s="16" t="str">
        <x:v>secondary_checklist</x:v>
      </x:c>
      <x:c r="H52" s="16" t="str">
        <x:v>https://bulbapedia.bulbagarden.net/wiki/Dynamax_Clash_(ATCG)</x:v>
      </x:c>
      <x:c r="I52" s="16" t="str">
        <x:v>Simplified Chinese; Flame numbered component; excludes same-number finish variants</x:v>
      </x:c>
      <x:c r="J52" s="16" t="str">
        <x:v>The named Flame checklist runs from 001/136 to 199/136. This is a sourced checklist total, not an independent verification of every card or completeness in Stackr.</x:v>
      </x:c>
      <x:c r="K52" s="16" t="str">
        <x:v>zh-CN-278793c85063</x:v>
      </x:c>
      <x:c r="L52" s="16" t="str">
        <x:v>terminal_number</x:v>
      </x:c>
    </x:row>
    <x:row r="53" ht="65" customHeight="1">
      <x:c r="A53" s="16" t="str">
        <x:v>AUTO-991f261021a0</x:v>
      </x:c>
      <x:c r="B53" s="16" t="str">
        <x:v>2026-09-24-round1</x:v>
      </x:c>
      <x:c r="C53" s="16" t="str">
        <x:v>zh-CN</x:v>
      </x:c>
      <x:c r="D53" s="16" t="str">
        <x:v>Dynamax Clash: Flame</x:v>
      </x:c>
      <x:c r="E53" s="16" t="str">
        <x:v>Beyond denominator</x:v>
      </x:c>
      <x:c r="F53" s="16" t="str">
        <x:v>63</x:v>
      </x:c>
      <x:c r="G53" s="16" t="str">
        <x:v>secondary_checklist</x:v>
      </x:c>
      <x:c r="H53" s="16" t="str">
        <x:v>https://bulbapedia.bulbagarden.net/wiki/Dynamax_Clash_(ATCG)</x:v>
      </x:c>
      <x:c r="I53" s="16" t="str">
        <x:v>Simplified Chinese; Flame numbered component; excludes same-number finish variants</x:v>
      </x:c>
      <x:c r="J53" s="16" t="str">
        <x:v>Derived as source-listed numbered total 199 minus printed denominator 136. This is not a count of foil finishes.</x:v>
      </x:c>
      <x:c r="K53" s="16" t="str">
        <x:v>zh-CN-278793c85063</x:v>
      </x:c>
      <x:c r="L53" s="16" t="str">
        <x:v>extra_cards</x:v>
      </x:c>
    </x:row>
    <x:row r="54" ht="65" customHeight="1">
      <x:c r="A54" s="16" t="str">
        <x:v>AUTO-fad44715c6da</x:v>
      </x:c>
      <x:c r="B54" s="16" t="str">
        <x:v>2026-09-24-round1</x:v>
      </x:c>
      <x:c r="C54" s="16" t="str">
        <x:v>zh-CN</x:v>
      </x:c>
      <x:c r="D54" s="16" t="str">
        <x:v>Vivid Portrayals: Obsidian</x:v>
      </x:c>
      <x:c r="E54" s="16" t="str">
        <x:v>Base cards / denominator</x:v>
      </x:c>
      <x:c r="F54" s="16" t="str">
        <x:v>115</x:v>
      </x:c>
      <x:c r="G54" s="16" t="str">
        <x:v>secondary_checklist</x:v>
      </x:c>
      <x:c r="H54" s="16" t="str">
        <x:v>https://bulbapedia.bulbagarden.net/wiki/Vivid_Portrayals_(ATCG)</x:v>
      </x:c>
      <x:c r="I54" s="16" t="str">
        <x:v>Simplified Chinese; Obsidian numbered component; excludes same-number finish variants</x:v>
      </x:c>
      <x:c r="J54" s="16" t="str">
        <x:v>The named Obsidian checklist runs from 001/115 to 143/115. This is a sourced checklist total, not an independent verification of every card or completeness in Stackr.</x:v>
      </x:c>
      <x:c r="K54" s="16" t="str">
        <x:v>zh-CN-e3ed5d35db24</x:v>
      </x:c>
      <x:c r="L54" s="16" t="str">
        <x:v>base_cards</x:v>
      </x:c>
    </x:row>
    <x:row r="55" ht="65" customHeight="1">
      <x:c r="A55" s="16" t="str">
        <x:v>AUTO-80e205b7bc54</x:v>
      </x:c>
      <x:c r="B55" s="16" t="str">
        <x:v>2026-09-24-round1</x:v>
      </x:c>
      <x:c r="C55" s="16" t="str">
        <x:v>zh-CN</x:v>
      </x:c>
      <x:c r="D55" s="16" t="str">
        <x:v>Vivid Portrayals: Obsidian</x:v>
      </x:c>
      <x:c r="E55" s="16" t="str">
        <x:v>Reference count</x:v>
      </x:c>
      <x:c r="F55" s="16" t="str">
        <x:v>143</x:v>
      </x:c>
      <x:c r="G55" s="16" t="str">
        <x:v>secondary_checklist</x:v>
      </x:c>
      <x:c r="H55" s="16" t="str">
        <x:v>https://bulbapedia.bulbagarden.net/wiki/Vivid_Portrayals_(ATCG)</x:v>
      </x:c>
      <x:c r="I55" s="16" t="str">
        <x:v>Simplified Chinese; Obsidian numbered component; excludes same-number finish variants</x:v>
      </x:c>
      <x:c r="J55" s="16" t="str">
        <x:v>The named Obsidian checklist runs from 001/115 to 143/115. This is a sourced checklist total, not an independent verification of every card or completeness in Stackr.</x:v>
      </x:c>
      <x:c r="K55" s="16" t="str">
        <x:v>zh-CN-e3ed5d35db24</x:v>
      </x:c>
      <x:c r="L55" s="16" t="str">
        <x:v>reference_count</x:v>
      </x:c>
    </x:row>
    <x:row r="56" ht="65" customHeight="1">
      <x:c r="A56" s="16" t="str">
        <x:v>AUTO-db29c72a33d8</x:v>
      </x:c>
      <x:c r="B56" s="16" t="str">
        <x:v>2026-09-24-round1</x:v>
      </x:c>
      <x:c r="C56" s="16" t="str">
        <x:v>zh-CN</x:v>
      </x:c>
      <x:c r="D56" s="16" t="str">
        <x:v>Vivid Portrayals: Obsidian</x:v>
      </x:c>
      <x:c r="E56" s="16" t="str">
        <x:v>Numbered total</x:v>
      </x:c>
      <x:c r="F56" s="16" t="str">
        <x:v>143</x:v>
      </x:c>
      <x:c r="G56" s="16" t="str">
        <x:v>secondary_checklist</x:v>
      </x:c>
      <x:c r="H56" s="16" t="str">
        <x:v>https://bulbapedia.bulbagarden.net/wiki/Vivid_Portrayals_(ATCG)</x:v>
      </x:c>
      <x:c r="I56" s="16" t="str">
        <x:v>Simplified Chinese; Obsidian numbered component; excludes same-number finish variants</x:v>
      </x:c>
      <x:c r="J56" s="16" t="str">
        <x:v>The named Obsidian checklist runs from 001/115 to 143/115. This is a sourced checklist total, not an independent verification of every card or completeness in Stackr.</x:v>
      </x:c>
      <x:c r="K56" s="16" t="str">
        <x:v>zh-CN-e3ed5d35db24</x:v>
      </x:c>
      <x:c r="L56" s="16" t="str">
        <x:v>numbered_total</x:v>
      </x:c>
    </x:row>
    <x:row r="57" ht="65" customHeight="1">
      <x:c r="A57" s="16" t="str">
        <x:v>AUTO-d309c6dffd56</x:v>
      </x:c>
      <x:c r="B57" s="16" t="str">
        <x:v>2026-09-24-round1</x:v>
      </x:c>
      <x:c r="C57" s="16" t="str">
        <x:v>zh-CN</x:v>
      </x:c>
      <x:c r="D57" s="16" t="str">
        <x:v>Vivid Portrayals: Obsidian</x:v>
      </x:c>
      <x:c r="E57" s="16" t="str">
        <x:v>Last listed number</x:v>
      </x:c>
      <x:c r="F57" s="16" t="str">
        <x:v>143/115</x:v>
      </x:c>
      <x:c r="G57" s="16" t="str">
        <x:v>secondary_checklist</x:v>
      </x:c>
      <x:c r="H57" s="16" t="str">
        <x:v>https://bulbapedia.bulbagarden.net/wiki/Vivid_Portrayals_(ATCG)</x:v>
      </x:c>
      <x:c r="I57" s="16" t="str">
        <x:v>Simplified Chinese; Obsidian numbered component; excludes same-number finish variants</x:v>
      </x:c>
      <x:c r="J57" s="16" t="str">
        <x:v>The named Obsidian checklist runs from 001/115 to 143/115. This is a sourced checklist total, not an independent verification of every card or completeness in Stackr.</x:v>
      </x:c>
      <x:c r="K57" s="16" t="str">
        <x:v>zh-CN-e3ed5d35db24</x:v>
      </x:c>
      <x:c r="L57" s="16" t="str">
        <x:v>terminal_number</x:v>
      </x:c>
    </x:row>
    <x:row r="58" ht="65" customHeight="1">
      <x:c r="A58" s="16" t="str">
        <x:v>AUTO-6bfc1371807d</x:v>
      </x:c>
      <x:c r="B58" s="16" t="str">
        <x:v>2026-09-24-round1</x:v>
      </x:c>
      <x:c r="C58" s="16" t="str">
        <x:v>zh-CN</x:v>
      </x:c>
      <x:c r="D58" s="16" t="str">
        <x:v>Vivid Portrayals: Obsidian</x:v>
      </x:c>
      <x:c r="E58" s="16" t="str">
        <x:v>Beyond denominator</x:v>
      </x:c>
      <x:c r="F58" s="16" t="str">
        <x:v>28</x:v>
      </x:c>
      <x:c r="G58" s="16" t="str">
        <x:v>secondary_checklist</x:v>
      </x:c>
      <x:c r="H58" s="16" t="str">
        <x:v>https://bulbapedia.bulbagarden.net/wiki/Vivid_Portrayals_(ATCG)</x:v>
      </x:c>
      <x:c r="I58" s="16" t="str">
        <x:v>Simplified Chinese; Obsidian numbered component; excludes same-number finish variants</x:v>
      </x:c>
      <x:c r="J58" s="16" t="str">
        <x:v>Derived as source-listed numbered total 143 minus printed denominator 115. This is not a count of foil finishes.</x:v>
      </x:c>
      <x:c r="K58" s="16" t="str">
        <x:v>zh-CN-e3ed5d35db24</x:v>
      </x:c>
      <x:c r="L58" s="16" t="str">
        <x:v>extra_cards</x:v>
      </x:c>
    </x:row>
    <x:row r="59" ht="65" customHeight="1">
      <x:c r="A59" s="16" t="str">
        <x:v>AUTO-9237a1dbfee3</x:v>
      </x:c>
      <x:c r="B59" s="16" t="str">
        <x:v>2026-09-24-round1</x:v>
      </x:c>
      <x:c r="C59" s="16" t="str">
        <x:v>zh-CN</x:v>
      </x:c>
      <x:c r="D59" s="16" t="str">
        <x:v>Vivid Portrayals: Indigo</x:v>
      </x:c>
      <x:c r="E59" s="16" t="str">
        <x:v>Base cards / denominator</x:v>
      </x:c>
      <x:c r="F59" s="16" t="str">
        <x:v>115</x:v>
      </x:c>
      <x:c r="G59" s="16" t="str">
        <x:v>secondary_checklist</x:v>
      </x:c>
      <x:c r="H59" s="16" t="str">
        <x:v>https://bulbapedia.bulbagarden.net/wiki/Vivid_Portrayals_(ATCG)</x:v>
      </x:c>
      <x:c r="I59" s="16" t="str">
        <x:v>Simplified Chinese; Indigo numbered component; excludes same-number finish variants</x:v>
      </x:c>
      <x:c r="J59" s="16" t="str">
        <x:v>The named Indigo checklist runs from 001/115 to 143/115. This is a sourced checklist total, not an independent verification of every card or completeness in Stackr.</x:v>
      </x:c>
      <x:c r="K59" s="16" t="str">
        <x:v>zh-CN-000aba863495</x:v>
      </x:c>
      <x:c r="L59" s="16" t="str">
        <x:v>base_cards</x:v>
      </x:c>
    </x:row>
    <x:row r="60" ht="65" customHeight="1">
      <x:c r="A60" s="16" t="str">
        <x:v>AUTO-dfb9ad206fd4</x:v>
      </x:c>
      <x:c r="B60" s="16" t="str">
        <x:v>2026-09-24-round1</x:v>
      </x:c>
      <x:c r="C60" s="16" t="str">
        <x:v>zh-CN</x:v>
      </x:c>
      <x:c r="D60" s="16" t="str">
        <x:v>Vivid Portrayals: Indigo</x:v>
      </x:c>
      <x:c r="E60" s="16" t="str">
        <x:v>Reference count</x:v>
      </x:c>
      <x:c r="F60" s="16" t="str">
        <x:v>143</x:v>
      </x:c>
      <x:c r="G60" s="16" t="str">
        <x:v>secondary_checklist</x:v>
      </x:c>
      <x:c r="H60" s="16" t="str">
        <x:v>https://bulbapedia.bulbagarden.net/wiki/Vivid_Portrayals_(ATCG)</x:v>
      </x:c>
      <x:c r="I60" s="16" t="str">
        <x:v>Simplified Chinese; Indigo numbered component; excludes same-number finish variants</x:v>
      </x:c>
      <x:c r="J60" s="16" t="str">
        <x:v>The named Indigo checklist runs from 001/115 to 143/115. This is a sourced checklist total, not an independent verification of every card or completeness in Stackr.</x:v>
      </x:c>
      <x:c r="K60" s="16" t="str">
        <x:v>zh-CN-000aba863495</x:v>
      </x:c>
      <x:c r="L60" s="16" t="str">
        <x:v>reference_count</x:v>
      </x:c>
    </x:row>
    <x:row r="61" ht="65" customHeight="1">
      <x:c r="A61" s="16" t="str">
        <x:v>AUTO-fa3c8100b985</x:v>
      </x:c>
      <x:c r="B61" s="16" t="str">
        <x:v>2026-09-24-round1</x:v>
      </x:c>
      <x:c r="C61" s="16" t="str">
        <x:v>zh-CN</x:v>
      </x:c>
      <x:c r="D61" s="16" t="str">
        <x:v>Vivid Portrayals: Indigo</x:v>
      </x:c>
      <x:c r="E61" s="16" t="str">
        <x:v>Numbered total</x:v>
      </x:c>
      <x:c r="F61" s="16" t="str">
        <x:v>143</x:v>
      </x:c>
      <x:c r="G61" s="16" t="str">
        <x:v>secondary_checklist</x:v>
      </x:c>
      <x:c r="H61" s="16" t="str">
        <x:v>https://bulbapedia.bulbagarden.net/wiki/Vivid_Portrayals_(ATCG)</x:v>
      </x:c>
      <x:c r="I61" s="16" t="str">
        <x:v>Simplified Chinese; Indigo numbered component; excludes same-number finish variants</x:v>
      </x:c>
      <x:c r="J61" s="16" t="str">
        <x:v>The named Indigo checklist runs from 001/115 to 143/115. This is a sourced checklist total, not an independent verification of every card or completeness in Stackr.</x:v>
      </x:c>
      <x:c r="K61" s="16" t="str">
        <x:v>zh-CN-000aba863495</x:v>
      </x:c>
      <x:c r="L61" s="16" t="str">
        <x:v>numbered_total</x:v>
      </x:c>
    </x:row>
    <x:row r="62" ht="65" customHeight="1">
      <x:c r="A62" s="16" t="str">
        <x:v>AUTO-60eb11fcc304</x:v>
      </x:c>
      <x:c r="B62" s="16" t="str">
        <x:v>2026-09-24-round1</x:v>
      </x:c>
      <x:c r="C62" s="16" t="str">
        <x:v>zh-CN</x:v>
      </x:c>
      <x:c r="D62" s="16" t="str">
        <x:v>Vivid Portrayals: Indigo</x:v>
      </x:c>
      <x:c r="E62" s="16" t="str">
        <x:v>Last listed number</x:v>
      </x:c>
      <x:c r="F62" s="16" t="str">
        <x:v>143/115</x:v>
      </x:c>
      <x:c r="G62" s="16" t="str">
        <x:v>secondary_checklist</x:v>
      </x:c>
      <x:c r="H62" s="16" t="str">
        <x:v>https://bulbapedia.bulbagarden.net/wiki/Vivid_Portrayals_(ATCG)</x:v>
      </x:c>
      <x:c r="I62" s="16" t="str">
        <x:v>Simplified Chinese; Indigo numbered component; excludes same-number finish variants</x:v>
      </x:c>
      <x:c r="J62" s="16" t="str">
        <x:v>The named Indigo checklist runs from 001/115 to 143/115. This is a sourced checklist total, not an independent verification of every card or completeness in Stackr.</x:v>
      </x:c>
      <x:c r="K62" s="16" t="str">
        <x:v>zh-CN-000aba863495</x:v>
      </x:c>
      <x:c r="L62" s="16" t="str">
        <x:v>terminal_number</x:v>
      </x:c>
    </x:row>
    <x:row r="63" ht="65" customHeight="1">
      <x:c r="A63" s="16" t="str">
        <x:v>AUTO-040a216d3718</x:v>
      </x:c>
      <x:c r="B63" s="16" t="str">
        <x:v>2026-09-24-round1</x:v>
      </x:c>
      <x:c r="C63" s="16" t="str">
        <x:v>zh-CN</x:v>
      </x:c>
      <x:c r="D63" s="16" t="str">
        <x:v>Vivid Portrayals: Indigo</x:v>
      </x:c>
      <x:c r="E63" s="16" t="str">
        <x:v>Beyond denominator</x:v>
      </x:c>
      <x:c r="F63" s="16" t="str">
        <x:v>28</x:v>
      </x:c>
      <x:c r="G63" s="16" t="str">
        <x:v>secondary_checklist</x:v>
      </x:c>
      <x:c r="H63" s="16" t="str">
        <x:v>https://bulbapedia.bulbagarden.net/wiki/Vivid_Portrayals_(ATCG)</x:v>
      </x:c>
      <x:c r="I63" s="16" t="str">
        <x:v>Simplified Chinese; Indigo numbered component; excludes same-number finish variants</x:v>
      </x:c>
      <x:c r="J63" s="16" t="str">
        <x:v>Derived as source-listed numbered total 143 minus printed denominator 115. This is not a count of foil finishes.</x:v>
      </x:c>
      <x:c r="K63" s="16" t="str">
        <x:v>zh-CN-000aba863495</x:v>
      </x:c>
      <x:c r="L63" s="16" t="str">
        <x:v>extra_cards</x:v>
      </x:c>
    </x:row>
    <x:row r="64" ht="65" customHeight="1">
      <x:c r="A64" s="16" t="str">
        <x:v>AUTO-8a41c9f67617</x:v>
      </x:c>
      <x:c r="B64" s="16" t="str">
        <x:v>2026-09-24-round1</x:v>
      </x:c>
      <x:c r="C64" s="16" t="str">
        <x:v>ja</x:v>
      </x:c>
      <x:c r="D64" s="16" t="str">
        <x:v>Start Deck 100</x:v>
      </x:c>
      <x:c r="E64" s="16" t="str">
        <x:v>Native name</x:v>
      </x:c>
      <x:c r="F64" s="16" t="str">
        <x:v>スタートデッキ100</x:v>
      </x:c>
      <x:c r="G64" s="16" t="str">
        <x:v>official</x:v>
      </x:c>
      <x:c r="H64" s="16" t="str">
        <x:v>https://www.pokemon-card.com/info/003185.html</x:v>
      </x:c>
      <x:c r="I64" s="16" t="str">
        <x:v>Japanese product; Japan</x:v>
      </x:c>
      <x:c r="J64" s="16" t="str">
        <x:v>Official product/page title. Mega deck headings use メガ; some body text omits that prefix. Series branding omitted from the stored short native name.</x:v>
      </x:c>
      <x:c r="K64" s="16" t="str">
        <x:v>ja-db1b40ed6128</x:v>
      </x:c>
      <x:c r="L64" s="16" t="str">
        <x:v>name_native</x:v>
      </x:c>
    </x:row>
    <x:row r="65" ht="65" customHeight="1">
      <x:c r="A65" s="16" t="str">
        <x:v>AUTO-afc1a13f02a4</x:v>
      </x:c>
      <x:c r="B65" s="16" t="str">
        <x:v>2026-09-24-round1</x:v>
      </x:c>
      <x:c r="C65" s="16" t="str">
        <x:v>ja</x:v>
      </x:c>
      <x:c r="D65" s="16" t="str">
        <x:v>Ash vs Team Rocket Battle Set</x:v>
      </x:c>
      <x:c r="E65" s="16" t="str">
        <x:v>Native name</x:v>
      </x:c>
      <x:c r="F65" s="16" t="str">
        <x:v>30枚デッキ対戦セット「サトシVSロケット団」</x:v>
      </x:c>
      <x:c r="G65" s="16" t="str">
        <x:v>official</x:v>
      </x:c>
      <x:c r="H65" s="16" t="str">
        <x:v>https://www.pokemon-card.com/products/sm/smd.html</x:v>
      </x:c>
      <x:c r="I65" s="16" t="str">
        <x:v>Japanese product; Japan</x:v>
      </x:c>
      <x:c r="J65" s="16" t="str">
        <x:v>Official product/page title. Mega deck headings use メガ; some body text omits that prefix. Series branding omitted from the stored short native name.</x:v>
      </x:c>
      <x:c r="K65" s="16" t="str">
        <x:v>ja-b1764b4acecd</x:v>
      </x:c>
      <x:c r="L65" s="16" t="str">
        <x:v>name_native</x:v>
      </x:c>
    </x:row>
    <x:row r="66" ht="65" customHeight="1">
      <x:c r="A66" s="16" t="str">
        <x:v>AUTO-7692003a616a</x:v>
      </x:c>
      <x:c r="B66" s="16" t="str">
        <x:v>2026-09-24-round1</x:v>
      </x:c>
      <x:c r="C66" s="16" t="str">
        <x:v>ja</x:v>
      </x:c>
      <x:c r="D66" s="16" t="str">
        <x:v>Ash vs Team Rocket Battle Set</x:v>
      </x:c>
      <x:c r="E66" s="16" t="str">
        <x:v>Physical product quantity</x:v>
      </x:c>
      <x:c r="F66" s="16" t="str">
        <x:v>60</x:v>
      </x:c>
      <x:c r="G66" s="16" t="str">
        <x:v>official</x:v>
      </x:c>
      <x:c r="H66" s="16" t="str">
        <x:v>https://www.pokemon-card.com/products/sm/smd.html</x:v>
      </x:c>
      <x:c r="I66" s="16" t="str">
        <x:v>Physical cards per retail deck product; repeated copies included</x:v>
      </x:c>
      <x:c r="J66" s="16" t="str">
        <x:v>2 × 30-card decks in this retail set; not 60 distinct printings.</x:v>
      </x:c>
      <x:c r="K66" s="16" t="str">
        <x:v>ja-b1764b4acecd</x:v>
      </x:c>
      <x:c r="L66" s="16" t="str">
        <x:v>product_card_quantity</x:v>
      </x:c>
    </x:row>
    <x:row r="67" ht="65" customHeight="1">
      <x:c r="A67" s="16" t="str">
        <x:v>AUTO-fb3ad3de3bc7</x:v>
      </x:c>
      <x:c r="B67" s="16" t="str">
        <x:v>2026-09-24-round1</x:v>
      </x:c>
      <x:c r="C67" s="16" t="str">
        <x:v>ja</x:v>
      </x:c>
      <x:c r="D67" s="16" t="str">
        <x:v>Hyper Metal Chain Deck</x:v>
      </x:c>
      <x:c r="E67" s="16" t="str">
        <x:v>Native name</x:v>
      </x:c>
      <x:c r="F67" s="16" t="str">
        <x:v>ハイパーメタルチェーンデッキ60「ディアルガEX+ギルガルドEX」</x:v>
      </x:c>
      <x:c r="G67" s="16" t="str">
        <x:v>official</x:v>
      </x:c>
      <x:c r="H67" s="16" t="str">
        <x:v>https://www.pokemon-card.com/products/xy/metal60.html</x:v>
      </x:c>
      <x:c r="I67" s="16" t="str">
        <x:v>Japanese product; Japan</x:v>
      </x:c>
      <x:c r="J67" s="16" t="str">
        <x:v>Official product/page title. Mega deck headings use メガ; some body text omits that prefix. Series branding omitted from the stored short native name.</x:v>
      </x:c>
      <x:c r="K67" s="16" t="str">
        <x:v>ja-8fdc44f9f846</x:v>
      </x:c>
      <x:c r="L67" s="16" t="str">
        <x:v>name_native</x:v>
      </x:c>
    </x:row>
    <x:row r="68" ht="65" customHeight="1">
      <x:c r="A68" s="16" t="str">
        <x:v>AUTO-449ba7047847</x:v>
      </x:c>
      <x:c r="B68" s="16" t="str">
        <x:v>2026-09-24-round1</x:v>
      </x:c>
      <x:c r="C68" s="16" t="str">
        <x:v>ja</x:v>
      </x:c>
      <x:c r="D68" s="16" t="str">
        <x:v>Hyper Metal Chain Deck</x:v>
      </x:c>
      <x:c r="E68" s="16" t="str">
        <x:v>Physical product quantity</x:v>
      </x:c>
      <x:c r="F68" s="16" t="str">
        <x:v>60</x:v>
      </x:c>
      <x:c r="G68" s="16" t="str">
        <x:v>official</x:v>
      </x:c>
      <x:c r="H68" s="16" t="str">
        <x:v>https://www.pokemon-card.com/products/xy/metal60.html</x:v>
      </x:c>
      <x:c r="I68" s="16" t="str">
        <x:v>Physical cards per retail deck product; repeated copies included</x:v>
      </x:c>
      <x:c r="J68" s="16" t="str">
        <x:v>Official product contents state one 60-card deck; repeated copies are included and this does not establish the unique numbered checklist.</x:v>
      </x:c>
      <x:c r="K68" s="16" t="str">
        <x:v>ja-8fdc44f9f846</x:v>
      </x:c>
      <x:c r="L68" s="16" t="str">
        <x:v>product_card_quantity</x:v>
      </x:c>
    </x:row>
    <x:row r="69" ht="65" customHeight="1">
      <x:c r="A69" s="16" t="str">
        <x:v>AUTO-0fb3e1756844</x:v>
      </x:c>
      <x:c r="B69" s="16" t="str">
        <x:v>2026-09-24-round1</x:v>
      </x:c>
      <x:c r="C69" s="16" t="str">
        <x:v>ja</x:v>
      </x:c>
      <x:c r="D69" s="16" t="str">
        <x:v>Mega Audino-EX Mega Battle Deck</x:v>
      </x:c>
      <x:c r="E69" s="16" t="str">
        <x:v>Native name</x:v>
      </x:c>
      <x:c r="F69" s="16" t="str">
        <x:v>メガバトルデッキ60「メガタブンネEX」</x:v>
      </x:c>
      <x:c r="G69" s="16" t="str">
        <x:v>official</x:v>
      </x:c>
      <x:c r="H69" s="16" t="str">
        <x:v>https://www.pokemon-card.com/products/xy/xygh.html</x:v>
      </x:c>
      <x:c r="I69" s="16" t="str">
        <x:v>Japanese product; Japan</x:v>
      </x:c>
      <x:c r="J69" s="16" t="str">
        <x:v>Official product/page title. Mega deck headings use メガ; some body text omits that prefix. Series branding omitted from the stored short native name.</x:v>
      </x:c>
      <x:c r="K69" s="16" t="str">
        <x:v>ja-3305a29da758</x:v>
      </x:c>
      <x:c r="L69" s="16" t="str">
        <x:v>name_native</x:v>
      </x:c>
    </x:row>
    <x:row r="70" ht="65" customHeight="1">
      <x:c r="A70" s="16" t="str">
        <x:v>AUTO-ad1f0a7989b8</x:v>
      </x:c>
      <x:c r="B70" s="16" t="str">
        <x:v>2026-09-24-round1</x:v>
      </x:c>
      <x:c r="C70" s="16" t="str">
        <x:v>ja</x:v>
      </x:c>
      <x:c r="D70" s="16" t="str">
        <x:v>Mega Audino-EX Mega Battle Deck</x:v>
      </x:c>
      <x:c r="E70" s="16" t="str">
        <x:v>Physical product quantity</x:v>
      </x:c>
      <x:c r="F70" s="16" t="str">
        <x:v>60</x:v>
      </x:c>
      <x:c r="G70" s="16" t="str">
        <x:v>official</x:v>
      </x:c>
      <x:c r="H70" s="16" t="str">
        <x:v>https://www.pokemon-card.com/products/xy/xygh.html</x:v>
      </x:c>
      <x:c r="I70" s="16" t="str">
        <x:v>Physical cards per retail deck product; repeated copies included</x:v>
      </x:c>
      <x:c r="J70" s="16" t="str">
        <x:v>Official product contents state one 60-card deck; repeated copies are included and this does not establish the unique numbered checklist.</x:v>
      </x:c>
      <x:c r="K70" s="16" t="str">
        <x:v>ja-3305a29da758</x:v>
      </x:c>
      <x:c r="L70" s="16" t="str">
        <x:v>product_card_quantity</x:v>
      </x:c>
    </x:row>
    <x:row r="71" ht="65" customHeight="1">
      <x:c r="A71" s="16" t="str">
        <x:v>AUTO-9cc40302fc21</x:v>
      </x:c>
      <x:c r="B71" s="16" t="str">
        <x:v>2026-09-24-round1</x:v>
      </x:c>
      <x:c r="C71" s="16" t="str">
        <x:v>ja</x:v>
      </x:c>
      <x:c r="D71" s="16" t="str">
        <x:v>Zygarde-EX Perfect Battle Deck</x:v>
      </x:c>
      <x:c r="E71" s="16" t="str">
        <x:v>Native name</x:v>
      </x:c>
      <x:c r="F71" s="16" t="str">
        <x:v>パーフェクトバトルデッキ60「ジガルデEX」</x:v>
      </x:c>
      <x:c r="G71" s="16" t="str">
        <x:v>official</x:v>
      </x:c>
      <x:c r="H71" s="16" t="str">
        <x:v>https://www.pokemon-card.com/products/xy/xygh.html</x:v>
      </x:c>
      <x:c r="I71" s="16" t="str">
        <x:v>Japanese product; Japan</x:v>
      </x:c>
      <x:c r="J71" s="16" t="str">
        <x:v>Official product/page title. Mega deck headings use メガ; some body text omits that prefix. Series branding omitted from the stored short native name.</x:v>
      </x:c>
      <x:c r="K71" s="16" t="str">
        <x:v>ja-5bd5bd4a3cbb</x:v>
      </x:c>
      <x:c r="L71" s="16" t="str">
        <x:v>name_native</x:v>
      </x:c>
    </x:row>
    <x:row r="72" ht="65" customHeight="1">
      <x:c r="A72" s="16" t="str">
        <x:v>AUTO-2c004299e48a</x:v>
      </x:c>
      <x:c r="B72" s="16" t="str">
        <x:v>2026-09-24-round1</x:v>
      </x:c>
      <x:c r="C72" s="16" t="str">
        <x:v>ja</x:v>
      </x:c>
      <x:c r="D72" s="16" t="str">
        <x:v>Zygarde-EX Perfect Battle Deck</x:v>
      </x:c>
      <x:c r="E72" s="16" t="str">
        <x:v>Physical product quantity</x:v>
      </x:c>
      <x:c r="F72" s="16" t="str">
        <x:v>60</x:v>
      </x:c>
      <x:c r="G72" s="16" t="str">
        <x:v>official</x:v>
      </x:c>
      <x:c r="H72" s="16" t="str">
        <x:v>https://www.pokemon-card.com/products/xy/xygh.html</x:v>
      </x:c>
      <x:c r="I72" s="16" t="str">
        <x:v>Physical cards per retail deck product; repeated copies included</x:v>
      </x:c>
      <x:c r="J72" s="16" t="str">
        <x:v>Official product contents state one 60-card deck; repeated copies are included and this does not establish the unique numbered checklist.</x:v>
      </x:c>
      <x:c r="K72" s="16" t="str">
        <x:v>ja-5bd5bd4a3cbb</x:v>
      </x:c>
      <x:c r="L72" s="16" t="str">
        <x:v>product_card_quantity</x:v>
      </x:c>
    </x:row>
    <x:row r="73" ht="65" customHeight="1">
      <x:c r="A73" s="16" t="str">
        <x:v>AUTO-10f717616b73</x:v>
      </x:c>
      <x:c r="B73" s="16" t="str">
        <x:v>2026-09-24-round1</x:v>
      </x:c>
      <x:c r="C73" s="16" t="str">
        <x:v>ja</x:v>
      </x:c>
      <x:c r="D73" s="16" t="str">
        <x:v>Golduck BREAK &amp; Palkia-EX Combo Deck</x:v>
      </x:c>
      <x:c r="E73" s="16" t="str">
        <x:v>Native name</x:v>
      </x:c>
      <x:c r="F73" s="16" t="str">
        <x:v>BREAKコンボデッキ60「ゴルダックBREAK+パルキアEX」</x:v>
      </x:c>
      <x:c r="G73" s="16" t="str">
        <x:v>official</x:v>
      </x:c>
      <x:c r="H73" s="16" t="str">
        <x:v>https://www.pokemon-card.com/products/xy/xyf.html</x:v>
      </x:c>
      <x:c r="I73" s="16" t="str">
        <x:v>Japanese product; Japan</x:v>
      </x:c>
      <x:c r="J73" s="16" t="str">
        <x:v>Official product/page title. Mega deck headings use メガ; some body text omits that prefix. Series branding omitted from the stored short native name.</x:v>
      </x:c>
      <x:c r="K73" s="16" t="str">
        <x:v>ja-354378f4f0c7</x:v>
      </x:c>
      <x:c r="L73" s="16" t="str">
        <x:v>name_native</x:v>
      </x:c>
    </x:row>
    <x:row r="74" ht="65" customHeight="1">
      <x:c r="A74" s="16" t="str">
        <x:v>AUTO-78af20308cae</x:v>
      </x:c>
      <x:c r="B74" s="16" t="str">
        <x:v>2026-09-24-round1</x:v>
      </x:c>
      <x:c r="C74" s="16" t="str">
        <x:v>ja</x:v>
      </x:c>
      <x:c r="D74" s="16" t="str">
        <x:v>Golduck BREAK &amp; Palkia-EX Combo Deck</x:v>
      </x:c>
      <x:c r="E74" s="16" t="str">
        <x:v>Physical product quantity</x:v>
      </x:c>
      <x:c r="F74" s="16" t="str">
        <x:v>60</x:v>
      </x:c>
      <x:c r="G74" s="16" t="str">
        <x:v>official</x:v>
      </x:c>
      <x:c r="H74" s="16" t="str">
        <x:v>https://www.pokemon-card.com/products/xy/xyf.html</x:v>
      </x:c>
      <x:c r="I74" s="16" t="str">
        <x:v>Physical cards per retail deck product; repeated copies included</x:v>
      </x:c>
      <x:c r="J74" s="16" t="str">
        <x:v>Official product contents state one 60-card deck; repeated copies are included and this does not establish the unique numbered checklist.</x:v>
      </x:c>
      <x:c r="K74" s="16" t="str">
        <x:v>ja-354378f4f0c7</x:v>
      </x:c>
      <x:c r="L74" s="16" t="str">
        <x:v>product_card_quantity</x:v>
      </x:c>
    </x:row>
    <x:row r="75" ht="65" customHeight="1">
      <x:c r="A75" s="16" t="str">
        <x:v>AUTO-c516d1b3c032</x:v>
      </x:c>
      <x:c r="B75" s="16" t="str">
        <x:v>2026-09-24-round1</x:v>
      </x:c>
      <x:c r="C75" s="16" t="str">
        <x:v>ja</x:v>
      </x:c>
      <x:c r="D75" s="16" t="str">
        <x:v>M Charizard-EX Mega Battle Deck</x:v>
      </x:c>
      <x:c r="E75" s="16" t="str">
        <x:v>Native name</x:v>
      </x:c>
      <x:c r="F75" s="16" t="str">
        <x:v>メガバトルデッキ60「メガリザードンEX」</x:v>
      </x:c>
      <x:c r="G75" s="16" t="str">
        <x:v>official</x:v>
      </x:c>
      <x:c r="H75" s="16" t="str">
        <x:v>https://www.pokemon-card.com/products/xy/xy2.html</x:v>
      </x:c>
      <x:c r="I75" s="16" t="str">
        <x:v>Japanese product; Japan</x:v>
      </x:c>
      <x:c r="J75" s="16" t="str">
        <x:v>Official product/page title. Mega deck headings use メガ; some body text omits that prefix. Series branding omitted from the stored short native name.</x:v>
      </x:c>
      <x:c r="K75" s="16" t="str">
        <x:v>ja-4a0cce65985c</x:v>
      </x:c>
      <x:c r="L75" s="16" t="str">
        <x:v>name_native</x:v>
      </x:c>
    </x:row>
    <x:row r="76" ht="65" customHeight="1">
      <x:c r="A76" s="16" t="str">
        <x:v>AUTO-4e4bba586050</x:v>
      </x:c>
      <x:c r="B76" s="16" t="str">
        <x:v>2026-09-24-round1</x:v>
      </x:c>
      <x:c r="C76" s="16" t="str">
        <x:v>ja</x:v>
      </x:c>
      <x:c r="D76" s="16" t="str">
        <x:v>M Charizard-EX Mega Battle Deck</x:v>
      </x:c>
      <x:c r="E76" s="16" t="str">
        <x:v>Physical product quantity</x:v>
      </x:c>
      <x:c r="F76" s="16" t="str">
        <x:v>60</x:v>
      </x:c>
      <x:c r="G76" s="16" t="str">
        <x:v>official</x:v>
      </x:c>
      <x:c r="H76" s="16" t="str">
        <x:v>https://www.pokemon-card.com/products/xy/xy2.html</x:v>
      </x:c>
      <x:c r="I76" s="16" t="str">
        <x:v>Physical cards per retail deck product; repeated copies included</x:v>
      </x:c>
      <x:c r="J76" s="16" t="str">
        <x:v>Official product contents state one 60-card deck; repeated copies are included and this does not establish the unique numbered checklist.</x:v>
      </x:c>
      <x:c r="K76" s="16" t="str">
        <x:v>ja-4a0cce65985c</x:v>
      </x:c>
      <x:c r="L76" s="16" t="str">
        <x:v>product_card_quantity</x:v>
      </x:c>
    </x:row>
    <x:row r="77" ht="65" customHeight="1">
      <x:c r="A77" s="16" t="str">
        <x:v>AUTO-995da97ca016</x:v>
      </x:c>
      <x:c r="B77" s="16" t="str">
        <x:v>2026-09-24-round1</x:v>
      </x:c>
      <x:c r="C77" s="16" t="str">
        <x:v>ja</x:v>
      </x:c>
      <x:c r="D77" s="16" t="str">
        <x:v>Blastoise &amp; Kyurem Combo Deck</x:v>
      </x:c>
      <x:c r="E77" s="16" t="str">
        <x:v>Native name</x:v>
      </x:c>
      <x:c r="F77" s="16" t="str">
        <x:v>最強爆流コンボデッキ60 カメックス＋キュレムEX</x:v>
      </x:c>
      <x:c r="G77" s="16" t="str">
        <x:v>official</x:v>
      </x:c>
      <x:c r="H77" s="16" t="str">
        <x:v>https://www.pokemon-card.com/card-search/details.php/card/28659/</x:v>
      </x:c>
      <x:c r="I77" s="16" t="str">
        <x:v>Japanese product; Japan</x:v>
      </x:c>
      <x:c r="J77" s="16" t="str">
        <x:v>Official product/page title. Mega deck headings use メガ; some body text omits that prefix. Series branding omitted from the stored short native name.</x:v>
      </x:c>
      <x:c r="K77" s="16" t="str">
        <x:v>ja-ed85c17ec216</x:v>
      </x:c>
      <x:c r="L77" s="16" t="str">
        <x:v>name_native</x:v>
      </x:c>
    </x:row>
    <x:row r="78" ht="65" customHeight="1">
      <x:c r="A78" s="16" t="str">
        <x:v>AUTO-998405dd1889</x:v>
      </x:c>
      <x:c r="B78" s="16" t="str">
        <x:v>2026-09-24-round1</x:v>
      </x:c>
      <x:c r="C78" s="16" t="str">
        <x:v>ja</x:v>
      </x:c>
      <x:c r="D78" s="16" t="str">
        <x:v>Mega Rayquaza-EX Battle Deck</x:v>
      </x:c>
      <x:c r="E78" s="16" t="str">
        <x:v>Native name</x:v>
      </x:c>
      <x:c r="F78" s="16" t="str">
        <x:v>メガバトルデッキ60「メガレックウザEX」</x:v>
      </x:c>
      <x:c r="G78" s="16" t="str">
        <x:v>official</x:v>
      </x:c>
      <x:c r="H78" s="16" t="str">
        <x:v>https://www.pokemon-card.com/products/xy/xyd.html</x:v>
      </x:c>
      <x:c r="I78" s="16" t="str">
        <x:v>Japanese product; Japan</x:v>
      </x:c>
      <x:c r="J78" s="16" t="str">
        <x:v>Official product/page title. Mega deck headings use メガ; some body text omits that prefix. Series branding omitted from the stored short native name.</x:v>
      </x:c>
      <x:c r="K78" s="16" t="str">
        <x:v>ja-f552fe7fd0ba</x:v>
      </x:c>
      <x:c r="L78" s="16" t="str">
        <x:v>name_native</x:v>
      </x:c>
    </x:row>
    <x:row r="79" ht="65" customHeight="1">
      <x:c r="A79" s="16" t="str">
        <x:v>AUTO-49c4a7d6666b</x:v>
      </x:c>
      <x:c r="B79" s="16" t="str">
        <x:v>2026-09-24-round1</x:v>
      </x:c>
      <x:c r="C79" s="16" t="str">
        <x:v>ja</x:v>
      </x:c>
      <x:c r="D79" s="16" t="str">
        <x:v>Mega Rayquaza-EX Battle Deck</x:v>
      </x:c>
      <x:c r="E79" s="16" t="str">
        <x:v>Physical product quantity</x:v>
      </x:c>
      <x:c r="F79" s="16" t="str">
        <x:v>60</x:v>
      </x:c>
      <x:c r="G79" s="16" t="str">
        <x:v>official</x:v>
      </x:c>
      <x:c r="H79" s="16" t="str">
        <x:v>https://www.pokemon-card.com/products/xy/xyd.html</x:v>
      </x:c>
      <x:c r="I79" s="16" t="str">
        <x:v>Physical cards per retail deck product; repeated copies included</x:v>
      </x:c>
      <x:c r="J79" s="16" t="str">
        <x:v>Official product contents state one 60-card deck; repeated copies are included and this does not establish the unique numbered checklist.</x:v>
      </x:c>
      <x:c r="K79" s="16" t="str">
        <x:v>ja-f552fe7fd0ba</x:v>
      </x:c>
      <x:c r="L79" s="16" t="str">
        <x:v>product_card_quantity</x:v>
      </x:c>
    </x:row>
    <x:row r="80" ht="65" customHeight="1">
      <x:c r="A80" s="16" t="str">
        <x:v>AUTO-f6118494dd1f</x:v>
      </x:c>
      <x:c r="B80" s="16" t="str">
        <x:v>2026-09-24-round1</x:v>
      </x:c>
      <x:c r="C80" s="16" t="str">
        <x:v>ja</x:v>
      </x:c>
      <x:c r="D80" s="16" t="str">
        <x:v>Tapu Bulu-GX Enhanced Starter Set</x:v>
      </x:c>
      <x:c r="E80" s="16" t="str">
        <x:v>Native name</x:v>
      </x:c>
      <x:c r="F80" s="16" t="str">
        <x:v>スターターセット改造「カプ・ブルルGX」</x:v>
      </x:c>
      <x:c r="G80" s="16" t="str">
        <x:v>official</x:v>
      </x:c>
      <x:c r="H80" s="16" t="str">
        <x:v>https://www.pokemon-card.com/products/sm/smc.html</x:v>
      </x:c>
      <x:c r="I80" s="16" t="str">
        <x:v>Japanese product; Japan</x:v>
      </x:c>
      <x:c r="J80" s="16" t="str">
        <x:v>Official product/page title. Mega deck headings use メガ; some body text omits that prefix. Series branding omitted from the stored short native name.</x:v>
      </x:c>
      <x:c r="K80" s="16" t="str">
        <x:v>ja-1d2fff8e3828</x:v>
      </x:c>
      <x:c r="L80" s="16" t="str">
        <x:v>name_native</x:v>
      </x:c>
    </x:row>
    <x:row r="81" ht="65" customHeight="1">
      <x:c r="A81" s="16" t="str">
        <x:v>AUTO-4bc88ca1b673</x:v>
      </x:c>
      <x:c r="B81" s="16" t="str">
        <x:v>2026-09-24-round1</x:v>
      </x:c>
      <x:c r="C81" s="16" t="str">
        <x:v>ja</x:v>
      </x:c>
      <x:c r="D81" s="16" t="str">
        <x:v>Tapu Bulu-GX Enhanced Starter Set</x:v>
      </x:c>
      <x:c r="E81" s="16" t="str">
        <x:v>Physical product quantity</x:v>
      </x:c>
      <x:c r="F81" s="16" t="str">
        <x:v>60</x:v>
      </x:c>
      <x:c r="G81" s="16" t="str">
        <x:v>official</x:v>
      </x:c>
      <x:c r="H81" s="16" t="str">
        <x:v>https://www.pokemon-card.com/products/sm/smc.html</x:v>
      </x:c>
      <x:c r="I81" s="16" t="str">
        <x:v>Physical cards per retail deck product; repeated copies included</x:v>
      </x:c>
      <x:c r="J81" s="16" t="str">
        <x:v>Official product contents state one 60-card deck; repeated copies are included and this does not establish the unique numbered checklist.</x:v>
      </x:c>
      <x:c r="K81" s="16" t="str">
        <x:v>ja-1d2fff8e3828</x:v>
      </x:c>
      <x:c r="L81" s="16" t="str">
        <x:v>product_card_quantity</x:v>
      </x:c>
    </x:row>
    <x:row r="82" ht="65" customHeight="1">
      <x:c r="A82" s="16" t="str">
        <x:v>AUTO-7e9df2de16e2</x:v>
      </x:c>
      <x:c r="B82" s="16" t="str">
        <x:v>2026-09-24-round1</x:v>
      </x:c>
      <x:c r="C82" s="16" t="str">
        <x:v>ja</x:v>
      </x:c>
      <x:c r="D82" s="16" t="str">
        <x:v>Xerneas Half Deck</x:v>
      </x:c>
      <x:c r="E82" s="16" t="str">
        <x:v>Native name</x:v>
      </x:c>
      <x:c r="F82" s="16" t="str">
        <x:v>ゼルネアスデッキ30</x:v>
      </x:c>
      <x:c r="G82" s="16" t="str">
        <x:v>official</x:v>
      </x:c>
      <x:c r="H82" s="16" t="str">
        <x:v>https://www.pokemon-card.com/products/xy/x30y30/x30y30_000282.html</x:v>
      </x:c>
      <x:c r="I82" s="16" t="str">
        <x:v>Japanese product; Japan</x:v>
      </x:c>
      <x:c r="J82" s="16" t="str">
        <x:v>Official product/page title. Mega deck headings use メガ; some body text omits that prefix. Series branding omitted from the stored short native name.</x:v>
      </x:c>
      <x:c r="K82" s="16" t="str">
        <x:v>ja-fed7090443ee</x:v>
      </x:c>
      <x:c r="L82" s="16" t="str">
        <x:v>name_native</x:v>
      </x:c>
    </x:row>
    <x:row r="83" ht="65" customHeight="1">
      <x:c r="A83" s="16" t="str">
        <x:v>AUTO-17e2318a937f</x:v>
      </x:c>
      <x:c r="B83" s="16" t="str">
        <x:v>2026-09-24-round1</x:v>
      </x:c>
      <x:c r="C83" s="16" t="str">
        <x:v>ja</x:v>
      </x:c>
      <x:c r="D83" s="16" t="str">
        <x:v>Yveltal Half Deck</x:v>
      </x:c>
      <x:c r="E83" s="16" t="str">
        <x:v>Native name</x:v>
      </x:c>
      <x:c r="F83" s="16" t="str">
        <x:v>イベルタルデッキ30</x:v>
      </x:c>
      <x:c r="G83" s="16" t="str">
        <x:v>official</x:v>
      </x:c>
      <x:c r="H83" s="16" t="str">
        <x:v>https://www.pokemon-card.com/products/xy/x30y30/x30y30_000282.html</x:v>
      </x:c>
      <x:c r="I83" s="16" t="str">
        <x:v>Japanese product; Japan</x:v>
      </x:c>
      <x:c r="J83" s="16" t="str">
        <x:v>Official product/page title. Mega deck headings use メガ; some body text omits that prefix. Series branding omitted from the stored short native name.</x:v>
      </x:c>
      <x:c r="K83" s="16" t="str">
        <x:v>ja-647e29f1f683</x:v>
      </x:c>
      <x:c r="L83" s="16" t="str">
        <x:v>name_native</x:v>
      </x:c>
    </x:row>
    <x:row r="84" ht="65" customHeight="1">
      <x:c r="A84" s="16" t="str">
        <x:v>AUTO-3e8051fa854b</x:v>
      </x:c>
      <x:c r="B84" s="16" t="str">
        <x:v>2026-09-24-round1</x:v>
      </x:c>
      <x:c r="C84" s="16" t="str">
        <x:v>ja</x:v>
      </x:c>
      <x:c r="D84" s="16" t="str">
        <x:v>Start Deck 100</x:v>
      </x:c>
      <x:c r="E84" s="16" t="str">
        <x:v>Release date</x:v>
      </x:c>
      <x:c r="F84" s="16" t="str">
        <x:v>2021-12-17</x:v>
      </x:c>
      <x:c r="G84" s="16" t="str">
        <x:v>official</x:v>
      </x:c>
      <x:c r="H84" s="16" t="str">
        <x:v>https://www.pokemon-card.com/info/003185.html</x:v>
      </x:c>
      <x:c r="I84" s="16" t="str">
        <x:v>Japan; first release of Start Deck 100</x:v>
      </x:c>
      <x:c r="J84" s="16" t="str">
        <x:v>Official announcement explicitly says the product launches on 17 December 2021.</x:v>
      </x:c>
      <x:c r="K84" s="16" t="str">
        <x:v>ja-db1b40ed6128</x:v>
      </x:c>
      <x:c r="L84" s="16" t="str">
        <x:v>release_date</x:v>
      </x:c>
    </x:row>
    <x:row r="85" ht="65" customHeight="1">
      <x:c r="A85" s="16" t="str">
        <x:v>AUTO2-d4572d452a78</x:v>
      </x:c>
      <x:c r="B85" s="16" t="str">
        <x:v>2026-09-24-round2</x:v>
      </x:c>
      <x:c r="C85" s="16" t="str">
        <x:v>zh-TW</x:v>
      </x:c>
      <x:c r="D85" s="16" t="str">
        <x:v>Tactical Deck: Mega Charizard X ex</x:v>
      </x:c>
      <x:c r="E85" s="16" t="str">
        <x:v>Catalogue code</x:v>
      </x:c>
      <x:c r="F85" s="16" t="str">
        <x:v>MTL</x:v>
      </x:c>
      <x:c r="G85" s="16" t="str">
        <x:v>official</x:v>
      </x:c>
      <x:c r="H85" s="16" t="str">
        <x:v>https://asia.pokemon-card.com/tw/card-search/</x:v>
      </x:c>
      <x:c r="I85" s="16" t="str">
        <x:v>Traditional Chinese / Taiwan official catalogue identifier</x:v>
      </x:c>
      <x:c r="J85" s="16" t="str">
        <x:v>Exact product label-to-filter link inspected. Destination fetched; no count inferred.</x:v>
      </x:c>
      <x:c r="K85" s="16" t="str">
        <x:v>zh-TW-860e5a5ea101</x:v>
      </x:c>
      <x:c r="L85" s="16" t="str">
        <x:v>set_code</x:v>
      </x:c>
    </x:row>
    <x:row r="86" ht="65" customHeight="1">
      <x:c r="A86" s="16" t="str">
        <x:v>AUTO2-127cd319630f</x:v>
      </x:c>
      <x:c r="B86" s="16" t="str">
        <x:v>2026-09-24-round2</x:v>
      </x:c>
      <x:c r="C86" s="16" t="str">
        <x:v>zh-TW</x:v>
      </x:c>
      <x:c r="D86" s="16" t="str">
        <x:v>Tactical Deck: Mega Dragonite ex</x:v>
      </x:c>
      <x:c r="E86" s="16" t="str">
        <x:v>Catalogue code</x:v>
      </x:c>
      <x:c r="F86" s="16" t="str">
        <x:v>MTK</x:v>
      </x:c>
      <x:c r="G86" s="16" t="str">
        <x:v>official</x:v>
      </x:c>
      <x:c r="H86" s="16" t="str">
        <x:v>https://asia.pokemon-card.com/tw/card-search/</x:v>
      </x:c>
      <x:c r="I86" s="16" t="str">
        <x:v>Traditional Chinese / Taiwan official catalogue identifier</x:v>
      </x:c>
      <x:c r="J86" s="16" t="str">
        <x:v>Exact product label-to-filter link inspected. Destination fetched; no count inferred.</x:v>
      </x:c>
      <x:c r="K86" s="16" t="str">
        <x:v>zh-TW-77c7d2bfb26b</x:v>
      </x:c>
      <x:c r="L86" s="16" t="str">
        <x:v>set_code</x:v>
      </x:c>
    </x:row>
    <x:row r="87" ht="65" customHeight="1">
      <x:c r="A87" s="16" t="str">
        <x:v>AUTO2-2b7057ba3682</x:v>
      </x:c>
      <x:c r="B87" s="16" t="str">
        <x:v>2026-09-24-round2</x:v>
      </x:c>
      <x:c r="C87" s="16" t="str">
        <x:v>zh-TW</x:v>
      </x:c>
      <x:c r="D87" s="16" t="str">
        <x:v>Challenge Deck: Mega Gengar ex</x:v>
      </x:c>
      <x:c r="E87" s="16" t="str">
        <x:v>Catalogue code</x:v>
      </x:c>
      <x:c r="F87" s="16" t="str">
        <x:v>MBG</x:v>
      </x:c>
      <x:c r="G87" s="16" t="str">
        <x:v>official</x:v>
      </x:c>
      <x:c r="H87" s="16" t="str">
        <x:v>https://asia.pokemon-card.com/tw/card-search/</x:v>
      </x:c>
      <x:c r="I87" s="16" t="str">
        <x:v>Traditional Chinese / Taiwan official catalogue identifier</x:v>
      </x:c>
      <x:c r="J87" s="16" t="str">
        <x:v>Exact product label-to-filter link inspected. Destination fetched; no count inferred.</x:v>
      </x:c>
      <x:c r="K87" s="16" t="str">
        <x:v>zh-TW-4e5a9002b259</x:v>
      </x:c>
      <x:c r="L87" s="16" t="str">
        <x:v>set_code</x:v>
      </x:c>
    </x:row>
    <x:row r="88" ht="65" customHeight="1">
      <x:c r="A88" s="16" t="str">
        <x:v>AUTO2-91d757d72625</x:v>
      </x:c>
      <x:c r="B88" s="16" t="str">
        <x:v>2026-09-24-round2</x:v>
      </x:c>
      <x:c r="C88" s="16" t="str">
        <x:v>zh-TW</x:v>
      </x:c>
      <x:c r="D88" s="16" t="str">
        <x:v>Challenge Deck: Mega Diancie ex</x:v>
      </x:c>
      <x:c r="E88" s="16" t="str">
        <x:v>Catalogue code</x:v>
      </x:c>
      <x:c r="F88" s="16" t="str">
        <x:v>MBD</x:v>
      </x:c>
      <x:c r="G88" s="16" t="str">
        <x:v>official</x:v>
      </x:c>
      <x:c r="H88" s="16" t="str">
        <x:v>https://asia.pokemon-card.com/tw/card-search/</x:v>
      </x:c>
      <x:c r="I88" s="16" t="str">
        <x:v>Traditional Chinese / Taiwan official catalogue identifier</x:v>
      </x:c>
      <x:c r="J88" s="16" t="str">
        <x:v>Exact product label-to-filter link inspected. Destination fetched; no count inferred.</x:v>
      </x:c>
      <x:c r="K88" s="16" t="str">
        <x:v>zh-TW-a1a18e45b7d6</x:v>
      </x:c>
      <x:c r="L88" s="16" t="str">
        <x:v>set_code</x:v>
      </x:c>
    </x:row>
    <x:row r="89" ht="65" customHeight="1">
      <x:c r="A89" s="16" t="str">
        <x:v>AUTO2-4968d9f82ff0</x:v>
      </x:c>
      <x:c r="B89" s="16" t="str">
        <x:v>2026-09-24-round2</x:v>
      </x:c>
      <x:c r="C89" s="16" t="str">
        <x:v>zh-TW</x:v>
      </x:c>
      <x:c r="D89" s="16" t="str">
        <x:v>Mega Brave</x:v>
      </x:c>
      <x:c r="E89" s="16" t="str">
        <x:v>Catalogue code</x:v>
      </x:c>
      <x:c r="F89" s="16" t="str">
        <x:v>M1L</x:v>
      </x:c>
      <x:c r="G89" s="16" t="str">
        <x:v>official</x:v>
      </x:c>
      <x:c r="H89" s="16" t="str">
        <x:v>https://asia.pokemon-card.com/tw/card-search/</x:v>
      </x:c>
      <x:c r="I89" s="16" t="str">
        <x:v>Traditional Chinese / Taiwan official catalogue identifier</x:v>
      </x:c>
      <x:c r="J89" s="16" t="str">
        <x:v>Exact product label-to-filter link inspected. Destination fetched; no count inferred.</x:v>
      </x:c>
      <x:c r="K89" s="16" t="str">
        <x:v>zh-TW-5cd724144f1f</x:v>
      </x:c>
      <x:c r="L89" s="16" t="str">
        <x:v>set_code</x:v>
      </x:c>
    </x:row>
    <x:row r="90" ht="65" customHeight="1">
      <x:c r="A90" s="16" t="str">
        <x:v>AUTO2-5136ee9be334</x:v>
      </x:c>
      <x:c r="B90" s="16" t="str">
        <x:v>2026-09-24-round2</x:v>
      </x:c>
      <x:c r="C90" s="16" t="str">
        <x:v>zh-TW</x:v>
      </x:c>
      <x:c r="D90" s="16" t="str">
        <x:v>Mega Symphonia</x:v>
      </x:c>
      <x:c r="E90" s="16" t="str">
        <x:v>Catalogue code</x:v>
      </x:c>
      <x:c r="F90" s="16" t="str">
        <x:v>M1S</x:v>
      </x:c>
      <x:c r="G90" s="16" t="str">
        <x:v>official</x:v>
      </x:c>
      <x:c r="H90" s="16" t="str">
        <x:v>https://asia.pokemon-card.com/tw/card-search/</x:v>
      </x:c>
      <x:c r="I90" s="16" t="str">
        <x:v>Traditional Chinese / Taiwan official catalogue identifier</x:v>
      </x:c>
      <x:c r="J90" s="16" t="str">
        <x:v>Exact product label-to-filter link inspected. Destination fetched; no count inferred.</x:v>
      </x:c>
      <x:c r="K90" s="16" t="str">
        <x:v>zh-TW-0f37c5f8c336</x:v>
      </x:c>
      <x:c r="L90" s="16" t="str">
        <x:v>set_code</x:v>
      </x:c>
    </x:row>
    <x:row r="91" ht="65" customHeight="1">
      <x:c r="A91" s="16" t="str">
        <x:v>AUTO2-2341507824dc</x:v>
      </x:c>
      <x:c r="B91" s="16" t="str">
        <x:v>2026-09-24-round2</x:v>
      </x:c>
      <x:c r="C91" s="16" t="str">
        <x:v>zh-TW</x:v>
      </x:c>
      <x:c r="D91" s="16" t="str">
        <x:v>Mega Evolution Promotional cards</x:v>
      </x:c>
      <x:c r="E91" s="16" t="str">
        <x:v>Catalogue code</x:v>
      </x:c>
      <x:c r="F91" s="16" t="str">
        <x:v>M-P</x:v>
      </x:c>
      <x:c r="G91" s="16" t="str">
        <x:v>official</x:v>
      </x:c>
      <x:c r="H91" s="16" t="str">
        <x:v>https://asia.pokemon-card.com/tw/card-search/</x:v>
      </x:c>
      <x:c r="I91" s="16" t="str">
        <x:v>Traditional Chinese / Taiwan official catalogue identifier</x:v>
      </x:c>
      <x:c r="J91" s="16" t="str">
        <x:v>Exact product label-to-filter link inspected. Destination fetched; no count inferred.</x:v>
      </x:c>
      <x:c r="K91" s="16" t="str">
        <x:v>zh-TW-43aee0909785</x:v>
      </x:c>
      <x:c r="L91" s="16" t="str">
        <x:v>set_code</x:v>
      </x:c>
    </x:row>
    <x:row r="92" ht="65" customHeight="1">
      <x:c r="A92" s="16" t="str">
        <x:v>AUTO2-8e40d53b7814</x:v>
      </x:c>
      <x:c r="B92" s="16" t="str">
        <x:v>2026-09-24-round2</x:v>
      </x:c>
      <x:c r="C92" s="16" t="str">
        <x:v>zh-TW</x:v>
      </x:c>
      <x:c r="D92" s="16" t="str">
        <x:v>ex Start Deck: Pikachu</x:v>
      </x:c>
      <x:c r="E92" s="16" t="str">
        <x:v>Catalogue code</x:v>
      </x:c>
      <x:c r="F92" s="16" t="str">
        <x:v>SVQP</x:v>
      </x:c>
      <x:c r="G92" s="16" t="str">
        <x:v>official</x:v>
      </x:c>
      <x:c r="H92" s="16" t="str">
        <x:v>https://asia.pokemon-card.com/tw/card-search/</x:v>
      </x:c>
      <x:c r="I92" s="16" t="str">
        <x:v>Traditional Chinese / Taiwan official catalogue identifier</x:v>
      </x:c>
      <x:c r="J92" s="16" t="str">
        <x:v>Exact product label-to-filter link inspected. Destination fetched; no count inferred.</x:v>
      </x:c>
      <x:c r="K92" s="16" t="str">
        <x:v>zh-TW-949def28022a</x:v>
      </x:c>
      <x:c r="L92" s="16" t="str">
        <x:v>set_code</x:v>
      </x:c>
    </x:row>
    <x:row r="93" ht="65" customHeight="1">
      <x:c r="A93" s="16" t="str">
        <x:v>AUTO2-879ba0e08bcb</x:v>
      </x:c>
      <x:c r="B93" s="16" t="str">
        <x:v>2026-09-24-round2</x:v>
      </x:c>
      <x:c r="C93" s="16" t="str">
        <x:v>zh-TW</x:v>
      </x:c>
      <x:c r="D93" s="16" t="str">
        <x:v>ex Start Deck: Charizard</x:v>
      </x:c>
      <x:c r="E93" s="16" t="str">
        <x:v>Catalogue code</x:v>
      </x:c>
      <x:c r="F93" s="16" t="str">
        <x:v>SVQL</x:v>
      </x:c>
      <x:c r="G93" s="16" t="str">
        <x:v>official</x:v>
      </x:c>
      <x:c r="H93" s="16" t="str">
        <x:v>https://asia.pokemon-card.com/tw/card-search/</x:v>
      </x:c>
      <x:c r="I93" s="16" t="str">
        <x:v>Traditional Chinese / Taiwan official catalogue identifier</x:v>
      </x:c>
      <x:c r="J93" s="16" t="str">
        <x:v>Exact product label-to-filter link inspected. Destination fetched; no count inferred.</x:v>
      </x:c>
      <x:c r="K93" s="16" t="str">
        <x:v>zh-TW-e124fcba7d1d</x:v>
      </x:c>
      <x:c r="L93" s="16" t="str">
        <x:v>set_code</x:v>
      </x:c>
    </x:row>
    <x:row r="94" ht="65" customHeight="1">
      <x:c r="A94" s="16" t="str">
        <x:v>AUTO2-aa9ef2d450b1</x:v>
      </x:c>
      <x:c r="B94" s="16" t="str">
        <x:v>2026-09-24-round2</x:v>
      </x:c>
      <x:c r="C94" s="16" t="str">
        <x:v>zh-TW</x:v>
      </x:c>
      <x:c r="D94" s="16" t="str">
        <x:v>White Flare</x:v>
      </x:c>
      <x:c r="E94" s="16" t="str">
        <x:v>Catalogue code</x:v>
      </x:c>
      <x:c r="F94" s="16" t="str">
        <x:v>SV11W</x:v>
      </x:c>
      <x:c r="G94" s="16" t="str">
        <x:v>official</x:v>
      </x:c>
      <x:c r="H94" s="16" t="str">
        <x:v>https://asia.pokemon-card.com/tw/card-search/</x:v>
      </x:c>
      <x:c r="I94" s="16" t="str">
        <x:v>Traditional Chinese / Taiwan official catalogue identifier</x:v>
      </x:c>
      <x:c r="J94" s="16" t="str">
        <x:v>Exact product label-to-filter link inspected. Destination fetched; no count inferred.</x:v>
      </x:c>
      <x:c r="K94" s="16" t="str">
        <x:v>zh-TW-f6512185fc4f</x:v>
      </x:c>
      <x:c r="L94" s="16" t="str">
        <x:v>set_code</x:v>
      </x:c>
    </x:row>
    <x:row r="95" ht="65" customHeight="1">
      <x:c r="A95" s="16" t="str">
        <x:v>AUTO2-33445abadcb4</x:v>
      </x:c>
      <x:c r="B95" s="16" t="str">
        <x:v>2026-09-24-round2</x:v>
      </x:c>
      <x:c r="C95" s="16" t="str">
        <x:v>zh-TW</x:v>
      </x:c>
      <x:c r="D95" s="16" t="str">
        <x:v>Deck Build Box Paradise Dragona</x:v>
      </x:c>
      <x:c r="E95" s="16" t="str">
        <x:v>Catalogue code</x:v>
      </x:c>
      <x:c r="F95" s="16" t="str">
        <x:v>SVK</x:v>
      </x:c>
      <x:c r="G95" s="16" t="str">
        <x:v>official</x:v>
      </x:c>
      <x:c r="H95" s="16" t="str">
        <x:v>https://asia.pokemon-card.com/tw/card-search/?pageNo=2</x:v>
      </x:c>
      <x:c r="I95" s="16" t="str">
        <x:v>Traditional Chinese / Taiwan official catalogue identifier</x:v>
      </x:c>
      <x:c r="J95" s="16" t="str">
        <x:v>Exact product label-to-filter link inspected. Destination fetched; no count inferred.</x:v>
      </x:c>
      <x:c r="K95" s="16" t="str">
        <x:v>zh-TW-7ed5d482e561</x:v>
      </x:c>
      <x:c r="L95" s="16" t="str">
        <x:v>set_code</x:v>
      </x:c>
    </x:row>
    <x:row r="96" ht="65" customHeight="1">
      <x:c r="A96" s="16" t="str">
        <x:v>AUTO2-32055d6efd68</x:v>
      </x:c>
      <x:c r="B96" s="16" t="str">
        <x:v>2026-09-24-round2</x:v>
      </x:c>
      <x:c r="C96" s="16" t="str">
        <x:v>zh-TW</x:v>
      </x:c>
      <x:c r="D96" s="16" t="str">
        <x:v>Starter Set: Ancient Koraidon ex</x:v>
      </x:c>
      <x:c r="E96" s="16" t="str">
        <x:v>Catalogue code</x:v>
      </x:c>
      <x:c r="F96" s="16" t="str">
        <x:v>SVHK</x:v>
      </x:c>
      <x:c r="G96" s="16" t="str">
        <x:v>official</x:v>
      </x:c>
      <x:c r="H96" s="16" t="str">
        <x:v>https://asia.pokemon-card.com/tw/card-search/?pageNo=3</x:v>
      </x:c>
      <x:c r="I96" s="16" t="str">
        <x:v>Traditional Chinese / Taiwan official catalogue identifier</x:v>
      </x:c>
      <x:c r="J96" s="16" t="str">
        <x:v>Exact product label-to-filter link inspected. Link target URL observed, but destination page could not be retrieved. No contents or totals inferred.</x:v>
      </x:c>
      <x:c r="K96" s="16" t="str">
        <x:v>zh-TW-ce9c29c7e2f0</x:v>
      </x:c>
      <x:c r="L96" s="16" t="str">
        <x:v>set_code</x:v>
      </x:c>
    </x:row>
    <x:row r="97" ht="65" customHeight="1">
      <x:c r="A97" s="16" t="str">
        <x:v>AUTO2-f7cfdc38a438</x:v>
      </x:c>
      <x:c r="B97" s="16" t="str">
        <x:v>2026-09-24-round2</x:v>
      </x:c>
      <x:c r="C97" s="16" t="str">
        <x:v>zh-TW</x:v>
      </x:c>
      <x:c r="D97" s="16" t="str">
        <x:v>Starter Set: Future Miraidon ex</x:v>
      </x:c>
      <x:c r="E97" s="16" t="str">
        <x:v>Catalogue code</x:v>
      </x:c>
      <x:c r="F97" s="16" t="str">
        <x:v>SVHM</x:v>
      </x:c>
      <x:c r="G97" s="16" t="str">
        <x:v>official</x:v>
      </x:c>
      <x:c r="H97" s="16" t="str">
        <x:v>https://asia.pokemon-card.com/tw/card-search/?pageNo=3</x:v>
      </x:c>
      <x:c r="I97" s="16" t="str">
        <x:v>Traditional Chinese / Taiwan official catalogue identifier</x:v>
      </x:c>
      <x:c r="J97" s="16" t="str">
        <x:v>Exact product label-to-filter link inspected. Link target URL observed, but destination page could not be retrieved. No contents or totals inferred.</x:v>
      </x:c>
      <x:c r="K97" s="16" t="str">
        <x:v>zh-TW-016cca521d10</x:v>
      </x:c>
      <x:c r="L97" s="16" t="str">
        <x:v>set_code</x:v>
      </x:c>
    </x:row>
    <x:row r="98" ht="65" customHeight="1">
      <x:c r="A98" s="16" t="str">
        <x:v>AUTO2-ea59f1d2c935</x:v>
      </x:c>
      <x:c r="B98" s="16" t="str">
        <x:v>2026-09-24-round2</x:v>
      </x:c>
      <x:c r="C98" s="16" t="str">
        <x:v>zh-TW</x:v>
      </x:c>
      <x:c r="D98" s="16" t="str">
        <x:v>Starter Set: Tera Skeledirge ex</x:v>
      </x:c>
      <x:c r="E98" s="16" t="str">
        <x:v>Catalogue code</x:v>
      </x:c>
      <x:c r="F98" s="16" t="str">
        <x:v>SVEL</x:v>
      </x:c>
      <x:c r="G98" s="16" t="str">
        <x:v>official</x:v>
      </x:c>
      <x:c r="H98" s="16" t="str">
        <x:v>https://asia.pokemon-card.com/tw/card-search/?pageNo=3</x:v>
      </x:c>
      <x:c r="I98" s="16" t="str">
        <x:v>Traditional Chinese / Taiwan official catalogue identifier</x:v>
      </x:c>
      <x:c r="J98" s="16" t="str">
        <x:v>Exact product label-to-filter link inspected. Link target URL observed, but destination page could not be retrieved. No contents or totals inferred.</x:v>
      </x:c>
      <x:c r="K98" s="16" t="str">
        <x:v>zh-TW-223009b1f580</x:v>
      </x:c>
      <x:c r="L98" s="16" t="str">
        <x:v>set_code</x:v>
      </x:c>
    </x:row>
    <x:row r="99" ht="65" customHeight="1">
      <x:c r="A99" s="16" t="str">
        <x:v>AUTO2-16e4adf7ee5e</x:v>
      </x:c>
      <x:c r="B99" s="16" t="str">
        <x:v>2026-09-24-round2</x:v>
      </x:c>
      <x:c r="C99" s="16" t="str">
        <x:v>zh-TW</x:v>
      </x:c>
      <x:c r="D99" s="16" t="str">
        <x:v>Starter Set: Tera Mewtwo ex</x:v>
      </x:c>
      <x:c r="E99" s="16" t="str">
        <x:v>Catalogue code</x:v>
      </x:c>
      <x:c r="F99" s="16" t="str">
        <x:v>SVEM</x:v>
      </x:c>
      <x:c r="G99" s="16" t="str">
        <x:v>official</x:v>
      </x:c>
      <x:c r="H99" s="16" t="str">
        <x:v>https://asia.pokemon-card.com/tw/card-search/?pageNo=3</x:v>
      </x:c>
      <x:c r="I99" s="16" t="str">
        <x:v>Traditional Chinese / Taiwan official catalogue identifier</x:v>
      </x:c>
      <x:c r="J99" s="16" t="str">
        <x:v>Exact product label-to-filter link inspected. Link target URL observed, but destination page could not be retrieved. No contents or totals inferred.</x:v>
      </x:c>
      <x:c r="K99" s="16" t="str">
        <x:v>zh-TW-dd10ca3114e3</x:v>
      </x:c>
      <x:c r="L99" s="16" t="str">
        <x:v>set_code</x:v>
      </x:c>
    </x:row>
    <x:row r="100" ht="65" customHeight="1">
      <x:c r="A100" s="16" t="str">
        <x:v>AUTO2-318723d3e7a3</x:v>
      </x:c>
      <x:c r="B100" s="16" t="str">
        <x:v>2026-09-24-round2</x:v>
      </x:c>
      <x:c r="C100" s="16" t="str">
        <x:v>zh-TW</x:v>
      </x:c>
      <x:c r="D100" s="16" t="str">
        <x:v>Raging Surf</x:v>
      </x:c>
      <x:c r="E100" s="16" t="str">
        <x:v>Catalogue code</x:v>
      </x:c>
      <x:c r="F100" s="16" t="str">
        <x:v>SV3a</x:v>
      </x:c>
      <x:c r="G100" s="16" t="str">
        <x:v>official</x:v>
      </x:c>
      <x:c r="H100" s="16" t="str">
        <x:v>https://asia.pokemon-card.com/tw/card-search/?pageNo=3</x:v>
      </x:c>
      <x:c r="I100" s="16" t="str">
        <x:v>Traditional Chinese / Taiwan official catalogue identifier</x:v>
      </x:c>
      <x:c r="J100" s="16" t="str">
        <x:v>Exact product label-to-filter link inspected. Link target URL observed, but destination page could not be retrieved. No contents or totals inferred.</x:v>
      </x:c>
      <x:c r="K100" s="16" t="str">
        <x:v>zh-TW-a993463f10a7</x:v>
      </x:c>
      <x:c r="L100" s="16" t="str">
        <x:v>set_code</x:v>
      </x:c>
    </x:row>
    <x:row r="101" ht="65" customHeight="1">
      <x:c r="A101" s="16" t="str">
        <x:v>AUTO2-03c90aca2b4a</x:v>
      </x:c>
      <x:c r="B101" s="16" t="str">
        <x:v>2026-09-24-round2</x:v>
      </x:c>
      <x:c r="C101" s="16" t="str">
        <x:v>zh-TW</x:v>
      </x:c>
      <x:c r="D101" s="16" t="str">
        <x:v>Deck Build Box Ruler of the Black Flame</x:v>
      </x:c>
      <x:c r="E101" s="16" t="str">
        <x:v>Catalogue code</x:v>
      </x:c>
      <x:c r="F101" s="16" t="str">
        <x:v>SVF</x:v>
      </x:c>
      <x:c r="G101" s="16" t="str">
        <x:v>official</x:v>
      </x:c>
      <x:c r="H101" s="16" t="str">
        <x:v>https://asia.pokemon-card.com/tw/card-search/?pageNo=3</x:v>
      </x:c>
      <x:c r="I101" s="16" t="str">
        <x:v>Traditional Chinese / Taiwan official catalogue identifier</x:v>
      </x:c>
      <x:c r="J101" s="16" t="str">
        <x:v>Exact product label-to-filter link inspected. Destination fetched; no count inferred.</x:v>
      </x:c>
      <x:c r="K101" s="16" t="str">
        <x:v>zh-TW-17bf7041d61f</x:v>
      </x:c>
      <x:c r="L101" s="16" t="str">
        <x:v>set_code</x:v>
      </x:c>
    </x:row>
    <x:row r="102" ht="65" customHeight="1">
      <x:c r="A102" s="16" t="str">
        <x:v>AUTO2-bb96c2cd745e</x:v>
      </x:c>
      <x:c r="B102" s="16" t="str">
        <x:v>2026-09-24-round2</x:v>
      </x:c>
      <x:c r="C102" s="16" t="str">
        <x:v>zh-TW</x:v>
      </x:c>
      <x:c r="D102" s="16" t="str">
        <x:v>ex Start Decks</x:v>
      </x:c>
      <x:c r="E102" s="16" t="str">
        <x:v>Catalogue code</x:v>
      </x:c>
      <x:c r="F102" s="16" t="str">
        <x:v>SVD</x:v>
      </x:c>
      <x:c r="G102" s="16" t="str">
        <x:v>official</x:v>
      </x:c>
      <x:c r="H102" s="16" t="str">
        <x:v>https://asia.pokemon-card.com/tw/card-search/?pageNo=3</x:v>
      </x:c>
      <x:c r="I102" s="16" t="str">
        <x:v>Traditional Chinese / Taiwan official catalogue identifier</x:v>
      </x:c>
      <x:c r="J102" s="16" t="str">
        <x:v>Exact product label-to-filter link inspected. Destination fetched; no count inferred.</x:v>
      </x:c>
      <x:c r="K102" s="16" t="str">
        <x:v>zh-TW-16c34ed22967</x:v>
      </x:c>
      <x:c r="L102" s="16" t="str">
        <x:v>set_code</x:v>
      </x:c>
    </x:row>
    <x:row r="103" ht="65" customHeight="1">
      <x:c r="A103" s="16" t="str">
        <x:v>AUTO2-ec85f04378c3</x:v>
      </x:c>
      <x:c r="B103" s="16" t="str">
        <x:v>2026-09-24-round2</x:v>
      </x:c>
      <x:c r="C103" s="16" t="str">
        <x:v>zh-TW</x:v>
      </x:c>
      <x:c r="D103" s="16" t="str">
        <x:v>ex Special Set</x:v>
      </x:c>
      <x:c r="E103" s="16" t="str">
        <x:v>Catalogue code</x:v>
      </x:c>
      <x:c r="F103" s="16" t="str">
        <x:v>SVP1</x:v>
      </x:c>
      <x:c r="G103" s="16" t="str">
        <x:v>official</x:v>
      </x:c>
      <x:c r="H103" s="16" t="str">
        <x:v>https://asia.pokemon-card.com/tw/card-search/?pageNo=3</x:v>
      </x:c>
      <x:c r="I103" s="16" t="str">
        <x:v>Traditional Chinese / Taiwan official catalogue identifier</x:v>
      </x:c>
      <x:c r="J103" s="16" t="str">
        <x:v>Exact product label-to-filter link inspected. Destination fetched; no count inferred.</x:v>
      </x:c>
      <x:c r="K103" s="16" t="str">
        <x:v>zh-TW-2bde775c2fe4</x:v>
      </x:c>
      <x:c r="L103" s="16" t="str">
        <x:v>set_code</x:v>
      </x:c>
    </x:row>
    <x:row r="104" ht="65" customHeight="1">
      <x:c r="A104" s="16" t="str">
        <x:v>AUTO2-dc445d1df0f7</x:v>
      </x:c>
      <x:c r="B104" s="16" t="str">
        <x:v>2026-09-24-round2</x:v>
      </x:c>
      <x:c r="C104" s="16" t="str">
        <x:v>zh-TW</x:v>
      </x:c>
      <x:c r="D104" s="16" t="str">
        <x:v>Starter Set ex: Pikachu Special Set</x:v>
      </x:c>
      <x:c r="E104" s="16" t="str">
        <x:v>Catalogue code</x:v>
      </x:c>
      <x:c r="F104" s="16" t="str">
        <x:v>SVC</x:v>
      </x:c>
      <x:c r="G104" s="16" t="str">
        <x:v>official</x:v>
      </x:c>
      <x:c r="H104" s="16" t="str">
        <x:v>https://asia.pokemon-card.com/tw/card-search/?pageNo=3</x:v>
      </x:c>
      <x:c r="I104" s="16" t="str">
        <x:v>Traditional Chinese / Taiwan official catalogue identifier</x:v>
      </x:c>
      <x:c r="J104" s="16" t="str">
        <x:v>Exact product label-to-filter link inspected. Destination fetched; no count inferred.</x:v>
      </x:c>
      <x:c r="K104" s="16" t="str">
        <x:v>zh-TW-51bdd451cf9e</x:v>
      </x:c>
      <x:c r="L104" s="16" t="str">
        <x:v>set_code</x:v>
      </x:c>
    </x:row>
    <x:row r="105" ht="65" customHeight="1">
      <x:c r="A105" s="16" t="str">
        <x:v>AUTO2-60ce31278671</x:v>
      </x:c>
      <x:c r="B105" s="16" t="str">
        <x:v>2026-09-24-round2</x:v>
      </x:c>
      <x:c r="C105" s="16" t="str">
        <x:v>zh-TW</x:v>
      </x:c>
      <x:c r="D105" s="16" t="str">
        <x:v>Premium Trainer Box ex</x:v>
      </x:c>
      <x:c r="E105" s="16" t="str">
        <x:v>Catalogue code</x:v>
      </x:c>
      <x:c r="F105" s="16" t="str">
        <x:v>SVB</x:v>
      </x:c>
      <x:c r="G105" s="16" t="str">
        <x:v>official</x:v>
      </x:c>
      <x:c r="H105" s="16" t="str">
        <x:v>https://asia.pokemon-card.com/tw/card-search/?pageNo=3</x:v>
      </x:c>
      <x:c r="I105" s="16" t="str">
        <x:v>Traditional Chinese / Taiwan official catalogue identifier</x:v>
      </x:c>
      <x:c r="J105" s="16" t="str">
        <x:v>Exact product label-to-filter link inspected. Destination fetched; no count inferred.</x:v>
      </x:c>
      <x:c r="K105" s="16" t="str">
        <x:v>zh-TW-ad64ada63d4e</x:v>
      </x:c>
      <x:c r="L105" s="16" t="str">
        <x:v>set_code</x:v>
      </x:c>
    </x:row>
    <x:row r="106" ht="65" customHeight="1">
      <x:c r="A106" s="16" t="str">
        <x:v>AUTO2-c4bc9405600d</x:v>
      </x:c>
      <x:c r="B106" s="16" t="str">
        <x:v>2026-09-24-round2</x:v>
      </x:c>
      <x:c r="C106" s="16" t="str">
        <x:v>zh-TW</x:v>
      </x:c>
      <x:c r="D106" s="16" t="str">
        <x:v>Starter Set ex: Sprigatito &amp; Lucario ex</x:v>
      </x:c>
      <x:c r="E106" s="16" t="str">
        <x:v>Catalogue code</x:v>
      </x:c>
      <x:c r="F106" s="16" t="str">
        <x:v>SVAM</x:v>
      </x:c>
      <x:c r="G106" s="16" t="str">
        <x:v>official</x:v>
      </x:c>
      <x:c r="H106" s="16" t="str">
        <x:v>https://asia.pokemon-card.com/tw/card-search/?pageNo=4</x:v>
      </x:c>
      <x:c r="I106" s="16" t="str">
        <x:v>Traditional Chinese / Taiwan official catalogue identifier</x:v>
      </x:c>
      <x:c r="J106" s="16" t="str">
        <x:v>Exact product label-to-filter link inspected. Destination fetched; no count inferred.</x:v>
      </x:c>
      <x:c r="K106" s="16" t="str">
        <x:v>zh-TW-097b4570ee69</x:v>
      </x:c>
      <x:c r="L106" s="16" t="str">
        <x:v>set_code</x:v>
      </x:c>
    </x:row>
    <x:row r="107" ht="65" customHeight="1">
      <x:c r="A107" s="16" t="str">
        <x:v>AUTO2-6d18ab1f78d8</x:v>
      </x:c>
      <x:c r="B107" s="16" t="str">
        <x:v>2026-09-24-round2</x:v>
      </x:c>
      <x:c r="C107" s="16" t="str">
        <x:v>zh-TW</x:v>
      </x:c>
      <x:c r="D107" s="16" t="str">
        <x:v>Paradigm Trigger</x:v>
      </x:c>
      <x:c r="E107" s="16" t="str">
        <x:v>Catalogue code</x:v>
      </x:c>
      <x:c r="F107" s="16" t="str">
        <x:v>S12</x:v>
      </x:c>
      <x:c r="G107" s="16" t="str">
        <x:v>official</x:v>
      </x:c>
      <x:c r="H107" s="16" t="str">
        <x:v>https://asia.pokemon-card.com/tw/card-search/?pageNo=4</x:v>
      </x:c>
      <x:c r="I107" s="16" t="str">
        <x:v>Traditional Chinese / Taiwan official catalogue identifier</x:v>
      </x:c>
      <x:c r="J107" s="16" t="str">
        <x:v>Exact product label-to-filter link inspected. Destination fetched; no count inferred.</x:v>
      </x:c>
      <x:c r="K107" s="16" t="str">
        <x:v>zh-TW-5be09528cd62</x:v>
      </x:c>
      <x:c r="L107" s="16" t="str">
        <x:v>set_code</x:v>
      </x:c>
    </x:row>
    <x:row r="108" ht="65" customHeight="1">
      <x:c r="A108" s="16" t="str">
        <x:v>AUTO2-9e8b8c8ae3e3</x:v>
      </x:c>
      <x:c r="B108" s="16" t="str">
        <x:v>2026-09-24-round2</x:v>
      </x:c>
      <x:c r="C108" s="16" t="str">
        <x:v>zh-TW</x:v>
      </x:c>
      <x:c r="D108" s="16" t="str">
        <x:v>Special Deck Set: Charizard VSTAR vs Rayquaza VMAX</x:v>
      </x:c>
      <x:c r="E108" s="16" t="str">
        <x:v>Catalogue code</x:v>
      </x:c>
      <x:c r="F108" s="16" t="str">
        <x:v>SO</x:v>
      </x:c>
      <x:c r="G108" s="16" t="str">
        <x:v>official</x:v>
      </x:c>
      <x:c r="H108" s="16" t="str">
        <x:v>https://asia.pokemon-card.com/tw/card-search/?pageNo=4</x:v>
      </x:c>
      <x:c r="I108" s="16" t="str">
        <x:v>Traditional Chinese / Taiwan official catalogue identifier</x:v>
      </x:c>
      <x:c r="J108" s="16" t="str">
        <x:v>Exact product label-to-filter link inspected. Destination fetched; no count inferred.</x:v>
      </x:c>
      <x:c r="K108" s="16" t="str">
        <x:v>zh-TW-6213b9de84cd</x:v>
      </x:c>
      <x:c r="L108" s="16" t="str">
        <x:v>set_code</x:v>
      </x:c>
    </x:row>
    <x:row r="109" ht="65" customHeight="1">
      <x:c r="A109" s="16" t="str">
        <x:v>AUTO2-42774025c7b5</x:v>
      </x:c>
      <x:c r="B109" s="16" t="str">
        <x:v>2026-09-24-round2</x:v>
      </x:c>
      <x:c r="C109" s="16" t="str">
        <x:v>zh-TW</x:v>
      </x:c>
      <x:c r="D109" s="16" t="str">
        <x:v>VSTAR &amp; VMAX High-Class Deck: Zeraora</x:v>
      </x:c>
      <x:c r="E109" s="16" t="str">
        <x:v>Catalogue code</x:v>
      </x:c>
      <x:c r="F109" s="16" t="str">
        <x:v>SPZ</x:v>
      </x:c>
      <x:c r="G109" s="16" t="str">
        <x:v>official</x:v>
      </x:c>
      <x:c r="H109" s="16" t="str">
        <x:v>https://asia.pokemon-card.com/tw/card-search/?pageNo=4</x:v>
      </x:c>
      <x:c r="I109" s="16" t="str">
        <x:v>Traditional Chinese / Taiwan official catalogue identifier</x:v>
      </x:c>
      <x:c r="J109" s="16" t="str">
        <x:v>Exact product label-to-filter link inspected. Destination fetched; no count inferred.</x:v>
      </x:c>
      <x:c r="K109" s="16" t="str">
        <x:v>zh-TW-d5f405f1ae6f</x:v>
      </x:c>
      <x:c r="L109" s="16" t="str">
        <x:v>set_code</x:v>
      </x:c>
    </x:row>
    <x:row r="110" ht="65" customHeight="1">
      <x:c r="A110" s="16" t="str">
        <x:v>AUTO2-987bf7b3745a</x:v>
      </x:c>
      <x:c r="B110" s="16" t="str">
        <x:v>2026-09-24-round2</x:v>
      </x:c>
      <x:c r="C110" s="16" t="str">
        <x:v>ja</x:v>
      </x:c>
      <x:c r="D110" s="16" t="str">
        <x:v>Raichu BREAK Evolution Pack</x:v>
      </x:c>
      <x:c r="E110" s="16" t="str">
        <x:v>Native name</x:v>
      </x:c>
      <x:c r="F110" s="16" t="str">
        <x:v>BREAK進化パック「ライチュウBREAK」</x:v>
      </x:c>
      <x:c r="G110" s="16" t="str">
        <x:v>official</x:v>
      </x:c>
      <x:c r="H110" s="16" t="str">
        <x:v>https://www.pokemon-card.com/products/xy/snp.html</x:v>
      </x:c>
      <x:c r="I110" s="16" t="str">
        <x:v>Japanese product title</x:v>
      </x:c>
      <x:c r="J110" s="16" t="str">
        <x:v>Native product title on the official page.</x:v>
      </x:c>
      <x:c r="K110" s="16" t="str">
        <x:v>ja-6ad21e162182</x:v>
      </x:c>
      <x:c r="L110" s="16" t="str">
        <x:v>name_native</x:v>
      </x:c>
    </x:row>
    <x:row r="111" ht="65" customHeight="1">
      <x:c r="A111" s="16" t="str">
        <x:v>AUTO2-ce7d10c5f680</x:v>
      </x:c>
      <x:c r="B111" s="16" t="str">
        <x:v>2026-09-24-round2</x:v>
      </x:c>
      <x:c r="C111" s="16" t="str">
        <x:v>ja</x:v>
      </x:c>
      <x:c r="D111" s="16" t="str">
        <x:v>Raichu BREAK Evolution Pack</x:v>
      </x:c>
      <x:c r="E111" s="16" t="str">
        <x:v>Physical product quantity</x:v>
      </x:c>
      <x:c r="F111" s="16" t="str">
        <x:v>12</x:v>
      </x:c>
      <x:c r="G111" s="16" t="str">
        <x:v>official</x:v>
      </x:c>
      <x:c r="H111" s="16" t="str">
        <x:v>https://www.pokemon-card.com/products/xy/snp.html</x:v>
      </x:c>
      <x:c r="I111" s="16" t="str">
        <x:v>Physical cards in one fixed-content BREAK Evolution Pack, including repeats</x:v>
      </x:c>
      <x:c r="J111" s="16" t="str">
        <x:v>Official package content specifies 12 cards. Not a unique or numbered-card total.</x:v>
      </x:c>
      <x:c r="K111" s="16" t="str">
        <x:v>ja-6ad21e162182</x:v>
      </x:c>
      <x:c r="L111" s="16" t="str">
        <x:v>product_card_quantity</x:v>
      </x:c>
    </x:row>
    <x:row r="112" ht="65" customHeight="1">
      <x:c r="A112" s="16" t="str">
        <x:v>AUTO2-ceb2623c7c25</x:v>
      </x:c>
      <x:c r="B112" s="16" t="str">
        <x:v>2026-09-24-round2</x:v>
      </x:c>
      <x:c r="C112" s="16" t="str">
        <x:v>ja</x:v>
      </x:c>
      <x:c r="D112" s="16" t="str">
        <x:v>Noivern BREAK Evolution Pack</x:v>
      </x:c>
      <x:c r="E112" s="16" t="str">
        <x:v>Native name</x:v>
      </x:c>
      <x:c r="F112" s="16" t="str">
        <x:v>BREAK進化パック「オンバーンBREAK」</x:v>
      </x:c>
      <x:c r="G112" s="16" t="str">
        <x:v>official</x:v>
      </x:c>
      <x:c r="H112" s="16" t="str">
        <x:v>https://www.pokemon-card.com/products/xy/snp.html</x:v>
      </x:c>
      <x:c r="I112" s="16" t="str">
        <x:v>Japanese product title</x:v>
      </x:c>
      <x:c r="J112" s="16" t="str">
        <x:v>Native product title on the official page.</x:v>
      </x:c>
      <x:c r="K112" s="16" t="str">
        <x:v>ja-5f9ba7db5890</x:v>
      </x:c>
      <x:c r="L112" s="16" t="str">
        <x:v>name_native</x:v>
      </x:c>
    </x:row>
    <x:row r="113" ht="65" customHeight="1">
      <x:c r="A113" s="16" t="str">
        <x:v>AUTO2-062efc39465a</x:v>
      </x:c>
      <x:c r="B113" s="16" t="str">
        <x:v>2026-09-24-round2</x:v>
      </x:c>
      <x:c r="C113" s="16" t="str">
        <x:v>ja</x:v>
      </x:c>
      <x:c r="D113" s="16" t="str">
        <x:v>Noivern BREAK Evolution Pack</x:v>
      </x:c>
      <x:c r="E113" s="16" t="str">
        <x:v>Physical product quantity</x:v>
      </x:c>
      <x:c r="F113" s="16" t="str">
        <x:v>12</x:v>
      </x:c>
      <x:c r="G113" s="16" t="str">
        <x:v>official</x:v>
      </x:c>
      <x:c r="H113" s="16" t="str">
        <x:v>https://www.pokemon-card.com/products/xy/snp.html</x:v>
      </x:c>
      <x:c r="I113" s="16" t="str">
        <x:v>Physical cards in one fixed-content BREAK Evolution Pack, including repeats</x:v>
      </x:c>
      <x:c r="J113" s="16" t="str">
        <x:v>Official package content specifies 12 cards. Not a unique or numbered-card total.</x:v>
      </x:c>
      <x:c r="K113" s="16" t="str">
        <x:v>ja-5f9ba7db5890</x:v>
      </x:c>
      <x:c r="L113" s="16" t="str">
        <x:v>product_card_quantity</x:v>
      </x:c>
    </x:row>
    <x:row r="114" ht="65" customHeight="1">
      <x:c r="A114" s="16" t="str">
        <x:v>AUTO2-d3e01430a655</x:v>
      </x:c>
      <x:c r="B114" s="16" t="str">
        <x:v>2026-09-24-round2</x:v>
      </x:c>
      <x:c r="C114" s="16" t="str">
        <x:v>zh-CN</x:v>
      </x:c>
      <x:c r="D114" s="16" t="str">
        <x:v>Start Deck 100</x:v>
      </x:c>
      <x:c r="E114" s="16" t="str">
        <x:v>Native name</x:v>
      </x:c>
      <x:c r="F114" s="16" t="str">
        <x:v>起始卡组100</x:v>
      </x:c>
      <x:c r="G114" s="16" t="str">
        <x:v>official</x:v>
      </x:c>
      <x:c r="H114" s="16" t="str">
        <x:v>https://www.pokemon.cn/tcg/product/15882.html</x:v>
      </x:c>
      <x:c r="I114" s="16" t="str">
        <x:v>Mainland China / Simplified Chinese product</x:v>
      </x:c>
      <x:c r="J114" s="16" t="str">
        <x:v>Official product name.</x:v>
      </x:c>
      <x:c r="K114" s="16" t="str">
        <x:v>zh-CN-f17188026f82</x:v>
      </x:c>
      <x:c r="L114" s="16" t="str">
        <x:v>name_native</x:v>
      </x:c>
    </x:row>
    <x:row r="115" ht="65" customHeight="1">
      <x:c r="A115" s="16" t="str">
        <x:v>AUTO2-f56fa3ed9091</x:v>
      </x:c>
      <x:c r="B115" s="16" t="str">
        <x:v>2026-09-24-round2</x:v>
      </x:c>
      <x:c r="C115" s="16" t="str">
        <x:v>zh-CN</x:v>
      </x:c>
      <x:c r="D115" s="16" t="str">
        <x:v>Start Deck 100</x:v>
      </x:c>
      <x:c r="E115" s="16" t="str">
        <x:v>Release date</x:v>
      </x:c>
      <x:c r="F115" s="16" t="str">
        <x:v>2024-05-17</x:v>
      </x:c>
      <x:c r="G115" s="16" t="str">
        <x:v>official</x:v>
      </x:c>
      <x:c r="H115" s="16" t="str">
        <x:v>https://www.pokemon.cn/tcg/product/15882.html</x:v>
      </x:c>
      <x:c r="I115" s="16" t="str">
        <x:v>Mainland China retail release</x:v>
      </x:c>
      <x:c r="J115" s="16" t="str">
        <x:v>Product specifications provide the complete release date; not the article publication date.</x:v>
      </x:c>
      <x:c r="K115" s="16" t="str">
        <x:v>zh-CN-f17188026f82</x:v>
      </x:c>
      <x:c r="L115" s="16" t="str">
        <x:v>release_date</x:v>
      </x:c>
    </x:row>
    <x:row r="116" ht="65" customHeight="1">
      <x:c r="A116" s="16" t="str">
        <x:v>AUTO2-61096338adc3</x:v>
      </x:c>
      <x:c r="B116" s="16" t="str">
        <x:v>2026-09-24-round2</x:v>
      </x:c>
      <x:c r="C116" s="16" t="str">
        <x:v>zh-CN</x:v>
      </x:c>
      <x:c r="D116" s="16" t="str">
        <x:v>Start Deck 100</x:v>
      </x:c>
      <x:c r="E116" s="16" t="str">
        <x:v>Physical product quantity</x:v>
      </x:c>
      <x:c r="F116" s="16" t="str">
        <x:v>60</x:v>
      </x:c>
      <x:c r="G116" s="16" t="str">
        <x:v>official</x:v>
      </x:c>
      <x:c r="H116" s="16" t="str">
        <x:v>https://www.pokemon.cn/tcg/product/15882.html</x:v>
      </x:c>
      <x:c r="I116" s="16" t="str">
        <x:v>Physical cards per purchased Start Deck 100 deck, including repeats</x:v>
      </x:c>
      <x:c r="J116" s="16" t="str">
        <x:v>Official content specifies one constructed 60-card deck; not 60 unique cards across the product family.</x:v>
      </x:c>
      <x:c r="K116" s="16" t="str">
        <x:v>zh-CN-f17188026f82</x:v>
      </x:c>
      <x:c r="L116" s="16" t="str">
        <x:v>product_card_quantity</x:v>
      </x:c>
    </x:row>
    <x:row r="117" ht="65" customHeight="1">
      <x:c r="A117" s="16" t="str">
        <x:v>AUTO2-e3e25eb05636</x:v>
      </x:c>
      <x:c r="B117" s="16" t="str">
        <x:v>2026-09-24-round2</x:v>
      </x:c>
      <x:c r="C117" s="16" t="str">
        <x:v>zh-CN</x:v>
      </x:c>
      <x:c r="D117" s="16" t="str">
        <x:v>Shining Synergy GX Starter Decks</x:v>
      </x:c>
      <x:c r="E117" s="16" t="str">
        <x:v>Native name</x:v>
      </x:c>
      <x:c r="F117" s="16" t="str">
        <x:v>起始卡组 交相辉映GX</x:v>
      </x:c>
      <x:c r="G117" s="16" t="str">
        <x:v>official</x:v>
      </x:c>
      <x:c r="H117" s="16" t="str">
        <x:v>https://www.pokemon.cn/tcg/other/17172.html</x:v>
      </x:c>
      <x:c r="I117" s="16" t="str">
        <x:v>Mainland China / Shining Synergy GX starter family</x:v>
      </x:c>
      <x:c r="J117" s="16" t="str">
        <x:v>Official erratum identifies the starter product, release date and a CSM2D 339/342 card. Denominator is not used as evidence of a complete checklist.</x:v>
      </x:c>
      <x:c r="K117" s="16" t="str">
        <x:v>zh-CN-bbdfaf4b06d8</x:v>
      </x:c>
      <x:c r="L117" s="16" t="str">
        <x:v>name_native</x:v>
      </x:c>
    </x:row>
    <x:row r="118" ht="65" customHeight="1">
      <x:c r="A118" s="16" t="str">
        <x:v>AUTO2-bb8e2d7b19ae</x:v>
      </x:c>
      <x:c r="B118" s="16" t="str">
        <x:v>2026-09-24-round2</x:v>
      </x:c>
      <x:c r="C118" s="16" t="str">
        <x:v>zh-CN</x:v>
      </x:c>
      <x:c r="D118" s="16" t="str">
        <x:v>Shining Synergy GX Starter Decks</x:v>
      </x:c>
      <x:c r="E118" s="16" t="str">
        <x:v>Release date</x:v>
      </x:c>
      <x:c r="F118" s="16" t="str">
        <x:v>2023-01-18</x:v>
      </x:c>
      <x:c r="G118" s="16" t="str">
        <x:v>official</x:v>
      </x:c>
      <x:c r="H118" s="16" t="str">
        <x:v>https://www.pokemon.cn/tcg/other/17172.html</x:v>
      </x:c>
      <x:c r="I118" s="16" t="str">
        <x:v>Mainland China / Shining Synergy GX starter family</x:v>
      </x:c>
      <x:c r="J118" s="16" t="str">
        <x:v>Official erratum identifies the starter product, release date and a CSM2D 339/342 card. Denominator is not used as evidence of a complete checklist.</x:v>
      </x:c>
      <x:c r="K118" s="16" t="str">
        <x:v>zh-CN-bbdfaf4b06d8</x:v>
      </x:c>
      <x:c r="L118" s="16" t="str">
        <x:v>release_date</x:v>
      </x:c>
    </x:row>
    <x:row r="119" ht="65" customHeight="1">
      <x:c r="A119" s="16" t="str">
        <x:v>AUTO2-88c01e6a7ad6</x:v>
      </x:c>
      <x:c r="B119" s="16" t="str">
        <x:v>2026-09-24-round2</x:v>
      </x:c>
      <x:c r="C119" s="16" t="str">
        <x:v>zh-CN</x:v>
      </x:c>
      <x:c r="D119" s="16" t="str">
        <x:v>Shining Synergy GX Starter Decks</x:v>
      </x:c>
      <x:c r="E119" s="16" t="str">
        <x:v>Catalogue code</x:v>
      </x:c>
      <x:c r="F119" s="16" t="str">
        <x:v>CSM2D</x:v>
      </x:c>
      <x:c r="G119" s="16" t="str">
        <x:v>official</x:v>
      </x:c>
      <x:c r="H119" s="16" t="str">
        <x:v>https://www.pokemon.cn/tcg/other/17172.html</x:v>
      </x:c>
      <x:c r="I119" s="16" t="str">
        <x:v>Mainland China / Shining Synergy GX starter family</x:v>
      </x:c>
      <x:c r="J119" s="16" t="str">
        <x:v>Official erratum identifies the starter product, release date and a CSM2D 339/342 card. Denominator is not used as evidence of a complete checklist.</x:v>
      </x:c>
      <x:c r="K119" s="16" t="str">
        <x:v>zh-CN-bbdfaf4b06d8</x:v>
      </x:c>
      <x:c r="L119" s="16" t="str">
        <x:v>set_code</x:v>
      </x:c>
    </x:row>
    <x:row r="120" ht="65" customHeight="1">
      <x:c r="A120" s="16" t="str">
        <x:v>AUTO2-ed285465ae29</x:v>
      </x:c>
      <x:c r="B120" s="16" t="str">
        <x:v>2026-09-24-round2</x:v>
      </x:c>
      <x:c r="C120" s="16" t="str">
        <x:v>zh-CN</x:v>
      </x:c>
      <x:c r="D120" s="16" t="str">
        <x:v>Storming Emergence GX Starter Decks</x:v>
      </x:c>
      <x:c r="E120" s="16" t="str">
        <x:v>Native name</x:v>
      </x:c>
      <x:c r="F120" s="16" t="str">
        <x:v>横空出世GX起始卡组</x:v>
      </x:c>
      <x:c r="G120" s="16" t="str">
        <x:v>official</x:v>
      </x:c>
      <x:c r="H120" s="16" t="str">
        <x:v>https://www.pokemon.cn/tcg/product/16368.html</x:v>
      </x:c>
      <x:c r="I120" s="16" t="str">
        <x:v>Mainland China / Simplified Chinese product family</x:v>
      </x:c>
      <x:c r="J120" s="16" t="str">
        <x:v>Product named in the dated official launch-day announcement.</x:v>
      </x:c>
      <x:c r="K120" s="16" t="str">
        <x:v>zh-CN-0fba1dd957df</x:v>
      </x:c>
      <x:c r="L120" s="16" t="str">
        <x:v>name_native</x:v>
      </x:c>
    </x:row>
    <x:row r="121" ht="65" customHeight="1">
      <x:c r="A121" s="16" t="str">
        <x:v>AUTO2-19b28626a946</x:v>
      </x:c>
      <x:c r="B121" s="16" t="str">
        <x:v>2026-09-24-round2</x:v>
      </x:c>
      <x:c r="C121" s="16" t="str">
        <x:v>zh-CN</x:v>
      </x:c>
      <x:c r="D121" s="16" t="str">
        <x:v>Storming Emergence GX Starter Decks</x:v>
      </x:c>
      <x:c r="E121" s="16" t="str">
        <x:v>Release date</x:v>
      </x:c>
      <x:c r="F121" s="16" t="str">
        <x:v>2022-10-28</x:v>
      </x:c>
      <x:c r="G121" s="16" t="str">
        <x:v>official</x:v>
      </x:c>
      <x:c r="H121" s="16" t="str">
        <x:v>https://www.pokemon.cn/tcg/product/16368.html</x:v>
      </x:c>
      <x:c r="I121" s="16" t="str">
        <x:v>Mainland China retail launch</x:v>
      </x:c>
      <x:c r="J121" s="16" t="str">
        <x:v>Announcement dated 2022-10-28 states the products are released today and explicitly includes these starter decks.</x:v>
      </x:c>
      <x:c r="K121" s="16" t="str">
        <x:v>zh-CN-0fba1dd957df</x:v>
      </x:c>
      <x:c r="L121" s="16" t="str">
        <x:v>release_date</x:v>
      </x:c>
    </x:row>
    <x:row r="122" ht="65" customHeight="1">
      <x:c r="A122" s="16" t="str">
        <x:v>AUTO2-c3aad1d73df9</x:v>
      </x:c>
      <x:c r="B122" s="16" t="str">
        <x:v>2026-09-24-round2</x:v>
      </x:c>
      <x:c r="C122" s="16" t="str">
        <x:v>ja</x:v>
      </x:c>
      <x:c r="D122" s="16" t="str">
        <x:v>Garchomp Half Deck</x:v>
      </x:c>
      <x:c r="E122" s="16" t="str">
        <x:v>Native name</x:v>
      </x:c>
      <x:c r="F122" s="16" t="str">
        <x:v>ガブリアスデッキ30</x:v>
      </x:c>
      <x:c r="G122" s="16" t="str">
        <x:v>official</x:v>
      </x:c>
      <x:c r="H122" s="16" t="str">
        <x:v>https://www.pokemon-card.com/card-search/details.php/card/27982</x:v>
      </x:c>
      <x:c r="I122" s="16" t="str">
        <x:v>Japanese deck product</x:v>
      </x:c>
      <x:c r="J122" s="16" t="str">
        <x:v>Official card page labels its source product as Garchomp Deck 30; physical quantity not inferred from title alone.</x:v>
      </x:c>
      <x:c r="K122" s="16" t="str">
        <x:v>ja-cc38166449ff</x:v>
      </x:c>
      <x:c r="L122" s="16" t="str">
        <x:v>name_native</x:v>
      </x:c>
    </x:row>
    <x:row r="123" ht="65" customHeight="1">
      <x:c r="A123" s="16" t="str">
        <x:v>AUTO2-9fbf3d0cf8bc</x:v>
      </x:c>
      <x:c r="B123" s="16" t="str">
        <x:v>2026-09-24-round2</x:v>
      </x:c>
      <x:c r="C123" s="16" t="str">
        <x:v>ja</x:v>
      </x:c>
      <x:c r="D123" s="16" t="str">
        <x:v>Exciting Battle for Everyone</x:v>
      </x:c>
      <x:c r="E123" s="16" t="str">
        <x:v>Native name</x:v>
      </x:c>
      <x:c r="F123" s="16" t="str">
        <x:v>みんなのWAKUWAKUバトル</x:v>
      </x:c>
      <x:c r="G123" s="16" t="str">
        <x:v>official</x:v>
      </x:c>
      <x:c r="H123" s="16" t="str">
        <x:v>https://www.pokemon-card.com/card-search/details.php/card/28455</x:v>
      </x:c>
      <x:c r="I123" s="16" t="str">
        <x:v>Japanese product</x:v>
      </x:c>
      <x:c r="J123" s="16" t="str">
        <x:v>Official card page explicitly names the product.</x:v>
      </x:c>
      <x:c r="K123" s="16" t="str">
        <x:v>ja-fb8b80ed6a17</x:v>
      </x:c>
      <x:c r="L123" s="16" t="str">
        <x:v>name_native</x:v>
      </x:c>
    </x:row>
    <x:row r="124" ht="65" customHeight="1">
      <x:c r="A124" s="16" t="str">
        <x:v>AUTO2-edd9fba14ff1</x:v>
      </x:c>
      <x:c r="B124" s="16" t="str">
        <x:v>2026-09-24-round2</x:v>
      </x:c>
      <x:c r="C124" s="16" t="str">
        <x:v>ja</x:v>
      </x:c>
      <x:c r="D124" s="16" t="str">
        <x:v>Eevee Heroes VMAX Special Set</x:v>
      </x:c>
      <x:c r="E124" s="16" t="str">
        <x:v>Native name</x:v>
      </x:c>
      <x:c r="F124" s="16" t="str">
        <x:v>VMAXスペシャルセット イーブイヒーローズ</x:v>
      </x:c>
      <x:c r="G124" s="16" t="str">
        <x:v>official</x:v>
      </x:c>
      <x:c r="H124" s="16" t="str">
        <x:v>https://www.pokemon-card.com/products/s/sp4.html</x:v>
      </x:c>
      <x:c r="I124" s="16" t="str">
        <x:v>Japanese product</x:v>
      </x:c>
      <x:c r="J124" s="16" t="str">
        <x:v>Official product title. No whole-product quantity inferred from one internal promo pack.</x:v>
      </x:c>
      <x:c r="K124" s="16" t="str">
        <x:v>ja-25e1785bd838</x:v>
      </x:c>
      <x:c r="L124" s="16" t="str">
        <x:v>name_native</x:v>
      </x:c>
    </x:row>
    <x:row r="125" ht="65" customHeight="1">
      <x:c r="A125" s="16" t="str">
        <x:v>AUTO2-2f702b4493e7</x:v>
      </x:c>
      <x:c r="B125" s="16" t="str">
        <x:v>2026-09-24-round2</x:v>
      </x:c>
      <x:c r="C125" s="16" t="str">
        <x:v>ja</x:v>
      </x:c>
      <x:c r="D125" s="16" t="str">
        <x:v>Hydreigon Half Deck</x:v>
      </x:c>
      <x:c r="E125" s="16" t="str">
        <x:v>Native name</x:v>
      </x:c>
      <x:c r="F125" s="16" t="str">
        <x:v>サザンドラデッキ30</x:v>
      </x:c>
      <x:c r="G125" s="16" t="str">
        <x:v>official</x:v>
      </x:c>
      <x:c r="H125" s="16" t="str">
        <x:v>https://www.pokemon-card.com/ex/25th/chronicle/</x:v>
      </x:c>
      <x:c r="I125" s="16" t="str">
        <x:v>Japanese historical product title</x:v>
      </x:c>
      <x:c r="J125" s="16" t="str">
        <x:v>Explicitly listed in the official 2009 or 2012 product chronicle. Dates and card totals not inferred from the year heading or product title.</x:v>
      </x:c>
      <x:c r="K125" s="16" t="str">
        <x:v>ja-b505cc9dc7df</x:v>
      </x:c>
      <x:c r="L125" s="16" t="str">
        <x:v>name_native</x:v>
      </x:c>
    </x:row>
    <x:row r="126" ht="65" customHeight="1">
      <x:c r="A126" s="16" t="str">
        <x:v>AUTO2-974003ceb600</x:v>
      </x:c>
      <x:c r="B126" s="16" t="str">
        <x:v>2026-09-24-round2</x:v>
      </x:c>
      <x:c r="C126" s="16" t="str">
        <x:v>ja</x:v>
      </x:c>
      <x:c r="D126" s="16" t="str">
        <x:v>Keldeo Battle Strength Deck</x:v>
      </x:c>
      <x:c r="E126" s="16" t="str">
        <x:v>Native name</x:v>
      </x:c>
      <x:c r="F126" s="16" t="str">
        <x:v>バトル強化デッキ30「ケルディオ」</x:v>
      </x:c>
      <x:c r="G126" s="16" t="str">
        <x:v>official</x:v>
      </x:c>
      <x:c r="H126" s="16" t="str">
        <x:v>https://www.pokemon-card.com/ex/25th/chronicle/</x:v>
      </x:c>
      <x:c r="I126" s="16" t="str">
        <x:v>Japanese historical product title</x:v>
      </x:c>
      <x:c r="J126" s="16" t="str">
        <x:v>Explicitly listed in the official 2009 or 2012 product chronicle. Dates and card totals not inferred from the year heading or product title.</x:v>
      </x:c>
      <x:c r="K126" s="16" t="str">
        <x:v>ja-1e32a0d9a484</x:v>
      </x:c>
      <x:c r="L126" s="16" t="str">
        <x:v>name_native</x:v>
      </x:c>
    </x:row>
    <x:row r="127" ht="65" customHeight="1">
      <x:c r="A127" s="16" t="str">
        <x:v>AUTO2-86da550d4c56</x:v>
      </x:c>
      <x:c r="B127" s="16" t="str">
        <x:v>2026-09-24-round2</x:v>
      </x:c>
      <x:c r="C127" s="16" t="str">
        <x:v>ja</x:v>
      </x:c>
      <x:c r="D127" s="16" t="str">
        <x:v>Team Plasma Battle Gift Set</x:v>
      </x:c>
      <x:c r="E127" s="16" t="str">
        <x:v>Native name</x:v>
      </x:c>
      <x:c r="F127" s="16" t="str">
        <x:v>プラズマ団バトルギフトセット</x:v>
      </x:c>
      <x:c r="G127" s="16" t="str">
        <x:v>official</x:v>
      </x:c>
      <x:c r="H127" s="16" t="str">
        <x:v>https://www.pokemon-card.com/ex/25th/chronicle/</x:v>
      </x:c>
      <x:c r="I127" s="16" t="str">
        <x:v>Japanese historical product title</x:v>
      </x:c>
      <x:c r="J127" s="16" t="str">
        <x:v>Explicitly listed in the official 2009 or 2012 product chronicle. Dates and card totals not inferred from the year heading or product title.</x:v>
      </x:c>
      <x:c r="K127" s="16" t="str">
        <x:v>ja-6b114003e2b1</x:v>
      </x:c>
      <x:c r="L127" s="16" t="str">
        <x:v>name_native</x:v>
      </x:c>
    </x:row>
    <x:row r="128" ht="65" customHeight="1">
      <x:c r="A128" s="16" t="str">
        <x:v>AUTO2-bceb3c664748</x:v>
      </x:c>
      <x:c r="B128" s="16" t="str">
        <x:v>2026-09-24-round2</x:v>
      </x:c>
      <x:c r="C128" s="16" t="str">
        <x:v>ja</x:v>
      </x:c>
      <x:c r="D128" s="16" t="str">
        <x:v>Shaymin LV.X Collection Pack</x:v>
      </x:c>
      <x:c r="E128" s="16" t="str">
        <x:v>Native name</x:v>
      </x:c>
      <x:c r="F128" s="16" t="str">
        <x:v>コレクションパック シェイミLV．X</x:v>
      </x:c>
      <x:c r="G128" s="16" t="str">
        <x:v>official</x:v>
      </x:c>
      <x:c r="H128" s="16" t="str">
        <x:v>https://www.pokemon-card.com/ex/25th/chronicle/</x:v>
      </x:c>
      <x:c r="I128" s="16" t="str">
        <x:v>Japanese historical product title</x:v>
      </x:c>
      <x:c r="J128" s="16" t="str">
        <x:v>Explicitly listed in the official 2009 or 2012 product chronicle. Dates and card totals not inferred from the year heading or product title.</x:v>
      </x:c>
      <x:c r="K128" s="16" t="str">
        <x:v>ja-6610d1bc091c</x:v>
      </x:c>
      <x:c r="L128" s="16" t="str">
        <x:v>name_native</x:v>
      </x:c>
    </x:row>
    <x:row r="129" ht="65" customHeight="1">
      <x:c r="A129" s="16" t="str">
        <x:v>AUTO2-2c071f124e99</x:v>
      </x:c>
      <x:c r="B129" s="16" t="str">
        <x:v>2026-09-24-round2</x:v>
      </x:c>
      <x:c r="C129" s="16" t="str">
        <x:v>ja</x:v>
      </x:c>
      <x:c r="D129" s="16" t="str">
        <x:v>Premium Trainer Box</x:v>
      </x:c>
      <x:c r="E129" s="16" t="str">
        <x:v>Native name</x:v>
      </x:c>
      <x:c r="F129" s="16" t="str">
        <x:v>プレミアムトレーナーボックス</x:v>
      </x:c>
      <x:c r="G129" s="16" t="str">
        <x:v>official</x:v>
      </x:c>
      <x:c r="H129" s="16" t="str">
        <x:v>https://www.pokemon-card.com/products/sm/pt-box.html</x:v>
      </x:c>
      <x:c r="I129" s="16" t="str">
        <x:v>Japanese product title</x:v>
      </x:c>
      <x:c r="J129" s="16" t="str">
        <x:v>Official product title. The 154 fixed physical cards and 20 booster packs are deliberately not used to overwrite the existing 18-entry reference count.</x:v>
      </x:c>
      <x:c r="K129" s="16" t="str">
        <x:v>ja-b6fd25eade16</x:v>
      </x:c>
      <x:c r="L129" s="16" t="str">
        <x:v>name_native</x:v>
      </x:c>
    </x:row>
    <x:row r="130" ht="65" customHeight="1">
      <x:c r="A130" s="16" t="str">
        <x:v>AUTO2-9ad3fbafb672</x:v>
      </x:c>
      <x:c r="B130" s="16" t="str">
        <x:v>2026-09-24-round2</x:v>
      </x:c>
      <x:c r="C130" s="16" t="str">
        <x:v>ja</x:v>
      </x:c>
      <x:c r="D130" s="16" t="str">
        <x:v>XY Beginning Set</x:v>
      </x:c>
      <x:c r="E130" s="16" t="str">
        <x:v>Native name</x:v>
      </x:c>
      <x:c r="F130" s="16" t="str">
        <x:v>はじめてセット</x:v>
      </x:c>
      <x:c r="G130" s="16" t="str">
        <x:v>official</x:v>
      </x:c>
      <x:c r="H130" s="16" t="str">
        <x:v>https://www.pokemon-card.com/products/xy/hs.html</x:v>
      </x:c>
      <x:c r="I130" s="16" t="str">
        <x:v>Japanese regular XY Beginning Set product title</x:v>
      </x:c>
      <x:c r="J130" s="16" t="str">
        <x:v>The regular title is used. The companion for Girls version is explicitly distinct; shared catalogue code HXY is not proof of identical contents.</x:v>
      </x:c>
      <x:c r="K130" s="16" t="str">
        <x:v>ja-f8a1666d0bc0</x:v>
      </x:c>
      <x:c r="L130" s="16" t="str">
        <x:v>name_native</x:v>
      </x:c>
    </x:row>
    <x:row r="131" ht="65" customHeight="1">
      <x:c r="A131" s="16" t="str">
        <x:v>AUTO2-35d8d0453b39</x:v>
      </x:c>
      <x:c r="B131" s="16" t="str">
        <x:v>2026-09-24-round2</x:v>
      </x:c>
      <x:c r="C131" s="16" t="str">
        <x:v>ja</x:v>
      </x:c>
      <x:c r="D131" s="16" t="str">
        <x:v>XY Beginning Set</x:v>
      </x:c>
      <x:c r="E131" s="16" t="str">
        <x:v>Physical product quantity</x:v>
      </x:c>
      <x:c r="F131" s="16" t="str">
        <x:v>90</x:v>
      </x:c>
      <x:c r="G131" s="16" t="str">
        <x:v>official</x:v>
      </x:c>
      <x:c r="H131" s="16" t="str">
        <x:v>https://www.pokemon-card.com/products/xy/hs.html</x:v>
      </x:c>
      <x:c r="I131" s="16" t="str">
        <x:v>Physical cards per retail Beginning Set, including repeats</x:v>
      </x:c>
      <x:c r="J131" s="16" t="str">
        <x:v>Calculated from three constructed 30-card half decks. Both regular and for Girls products have this physical quantity; their card contents differ. Not a unique-card total.</x:v>
      </x:c>
      <x:c r="K131" s="16" t="str">
        <x:v>ja-f8a1666d0bc0</x:v>
      </x:c>
      <x:c r="L131" s="16" t="str">
        <x:v>product_card_quantity</x:v>
      </x:c>
    </x:row>
    <x:row r="132" ht="65" customHeight="1">
      <x:c r="A132" s="16" t="str">
        <x:v>AUTO2-2aca277902a1</x:v>
      </x:c>
      <x:c r="B132" s="16" t="str">
        <x:v>2026-09-24-round2</x:v>
      </x:c>
      <x:c r="C132" s="16" t="str">
        <x:v>ja</x:v>
      </x:c>
      <x:c r="D132" s="16" t="str">
        <x:v>VMAX Special Set</x:v>
      </x:c>
      <x:c r="E132" s="16" t="str">
        <x:v>Native name</x:v>
      </x:c>
      <x:c r="F132" s="16" t="str">
        <x:v>VMAXスペシャルセット</x:v>
      </x:c>
      <x:c r="G132" s="16" t="str">
        <x:v>official</x:v>
      </x:c>
      <x:c r="H132" s="16" t="str">
        <x:v>https://www.pokemon-card.com/products/s/sp2.html</x:v>
      </x:c>
      <x:c r="I132" s="16" t="str">
        <x:v>Japanese 2020 product title</x:v>
      </x:c>
      <x:c r="J132" s="16" t="str">
        <x:v>Official product specification. The four-card promo pack is not treated as the whole retail-product quantity.</x:v>
      </x:c>
      <x:c r="K132" s="16" t="str">
        <x:v>ja-dd7a387ccc7e</x:v>
      </x:c>
      <x:c r="L132" s="16" t="str">
        <x:v>name_native</x:v>
      </x:c>
    </x:row>
    <x:row r="133" ht="65" customHeight="1">
      <x:c r="A133" s="16" t="str">
        <x:v>AUTO2-8ad534e461d1</x:v>
      </x:c>
      <x:c r="B133" s="16" t="str">
        <x:v>2026-09-24-round2</x:v>
      </x:c>
      <x:c r="C133" s="16" t="str">
        <x:v>ja</x:v>
      </x:c>
      <x:c r="D133" s="16" t="str">
        <x:v>Silver Lance &amp; Jet-Black Spirit Promo Set</x:v>
      </x:c>
      <x:c r="E133" s="16" t="str">
        <x:v>Native name</x:v>
      </x:c>
      <x:c r="F133" s="16" t="str">
        <x:v>ジャンボパックセット 白銀のランス＆漆黒のガイスト</x:v>
      </x:c>
      <x:c r="G133" s="16" t="str">
        <x:v>official</x:v>
      </x:c>
      <x:c r="H133" s="16" t="str">
        <x:v>https://www.pokemon-card.com/info/2021/20210312_002830.html</x:v>
      </x:c>
      <x:c r="I133" s="16" t="str">
        <x:v>Japanese retail product containing the SP3 promo-card component</x:v>
      </x:c>
      <x:c r="J133" s="16" t="str">
        <x:v>Official retail product title linked to the six-card promo component. The numbered-card total excludes booster-pack cards.</x:v>
      </x:c>
      <x:c r="K133" s="16" t="str">
        <x:v>ja-5e3231638035</x:v>
      </x:c>
      <x:c r="L133" s="16" t="str">
        <x:v>name_native</x:v>
      </x:c>
    </x:row>
    <x:row r="134" ht="65" customHeight="1">
      <x:c r="A134" s="16" t="str">
        <x:v>AUTO2-5cab2f60490b</x:v>
      </x:c>
      <x:c r="B134" s="16" t="str">
        <x:v>2026-09-24-round2</x:v>
      </x:c>
      <x:c r="C134" s="16" t="str">
        <x:v>ja</x:v>
      </x:c>
      <x:c r="D134" s="16" t="str">
        <x:v>Silver Lance &amp; Jet-Black Spirit Promo Set</x:v>
      </x:c>
      <x:c r="E134" s="16" t="str">
        <x:v>Base cards / denominator</x:v>
      </x:c>
      <x:c r="F134" s="16" t="str">
        <x:v>6</x:v>
      </x:c>
      <x:c r="G134" s="16" t="str">
        <x:v>secondary_checklist</x:v>
      </x:c>
      <x:c r="H134" s="16" t="str">
        <x:v>https://bulbapedia.bulbagarden.net/wiki/Silver_Lance_%26_Jet-Black_Spirit_Jumbo_Pack_Set_%28TCG%29</x:v>
      </x:c>
      <x:c r="I134" s="16" t="str">
        <x:v>Japanese SP3 numbered component checklist only, excluding boosters</x:v>
      </x:c>
      <x:c r="J134" s="16" t="str">
        <x:v>Six explicit unique rows 001/006 to 006/006. No beyond-denominator or separately numbered subset rows in this itemised component list. Official announcement independently names the two three-card selections.</x:v>
      </x:c>
      <x:c r="K134" s="16" t="str">
        <x:v>ja-5e3231638035</x:v>
      </x:c>
      <x:c r="L134" s="16" t="str">
        <x:v>base_cards</x:v>
      </x:c>
    </x:row>
    <x:row r="135" ht="65" customHeight="1">
      <x:c r="A135" s="16" t="str">
        <x:v>AUTO2-4bd1de5193e3</x:v>
      </x:c>
      <x:c r="B135" s="16" t="str">
        <x:v>2026-09-24-round2</x:v>
      </x:c>
      <x:c r="C135" s="16" t="str">
        <x:v>ja</x:v>
      </x:c>
      <x:c r="D135" s="16" t="str">
        <x:v>Silver Lance &amp; Jet-Black Spirit Promo Set</x:v>
      </x:c>
      <x:c r="E135" s="16" t="str">
        <x:v>Beyond denominator</x:v>
      </x:c>
      <x:c r="F135" s="16" t="str">
        <x:v>0</x:v>
      </x:c>
      <x:c r="G135" s="16" t="str">
        <x:v>secondary_checklist</x:v>
      </x:c>
      <x:c r="H135" s="16" t="str">
        <x:v>https://bulbapedia.bulbagarden.net/wiki/Silver_Lance_%26_Jet-Black_Spirit_Jumbo_Pack_Set_%28TCG%29</x:v>
      </x:c>
      <x:c r="I135" s="16" t="str">
        <x:v>Japanese SP3 numbered component checklist only, excluding boosters</x:v>
      </x:c>
      <x:c r="J135" s="16" t="str">
        <x:v>Six explicit unique rows 001/006 to 006/006. No beyond-denominator or separately numbered subset rows in this itemised component list. Official announcement independently names the two three-card selections.</x:v>
      </x:c>
      <x:c r="K135" s="16" t="str">
        <x:v>ja-5e3231638035</x:v>
      </x:c>
      <x:c r="L135" s="16" t="str">
        <x:v>extra_cards</x:v>
      </x:c>
    </x:row>
    <x:row r="136" ht="65" customHeight="1">
      <x:c r="A136" s="16" t="str">
        <x:v>AUTO2-816822ad6925</x:v>
      </x:c>
      <x:c r="B136" s="16" t="str">
        <x:v>2026-09-24-round2</x:v>
      </x:c>
      <x:c r="C136" s="16" t="str">
        <x:v>ja</x:v>
      </x:c>
      <x:c r="D136" s="16" t="str">
        <x:v>Silver Lance &amp; Jet-Black Spirit Promo Set</x:v>
      </x:c>
      <x:c r="E136" s="16" t="str">
        <x:v>Subset cards</x:v>
      </x:c>
      <x:c r="F136" s="16" t="str">
        <x:v>0</x:v>
      </x:c>
      <x:c r="G136" s="16" t="str">
        <x:v>secondary_checklist</x:v>
      </x:c>
      <x:c r="H136" s="16" t="str">
        <x:v>https://bulbapedia.bulbagarden.net/wiki/Silver_Lance_%26_Jet-Black_Spirit_Jumbo_Pack_Set_%28TCG%29</x:v>
      </x:c>
      <x:c r="I136" s="16" t="str">
        <x:v>Japanese SP3 numbered component checklist only, excluding boosters</x:v>
      </x:c>
      <x:c r="J136" s="16" t="str">
        <x:v>Six explicit unique rows 001/006 to 006/006. No beyond-denominator or separately numbered subset rows in this itemised component list. Official announcement independently names the two three-card selections.</x:v>
      </x:c>
      <x:c r="K136" s="16" t="str">
        <x:v>ja-5e3231638035</x:v>
      </x:c>
      <x:c r="L136" s="16" t="str">
        <x:v>subset_cards</x:v>
      </x:c>
    </x:row>
    <x:row r="137" ht="65" customHeight="1">
      <x:c r="A137" s="16" t="str">
        <x:v>AUTO2-2f1e11b5e31e</x:v>
      </x:c>
      <x:c r="B137" s="16" t="str">
        <x:v>2026-09-24-round2</x:v>
      </x:c>
      <x:c r="C137" s="16" t="str">
        <x:v>ja</x:v>
      </x:c>
      <x:c r="D137" s="16" t="str">
        <x:v>Silver Lance &amp; Jet-Black Spirit Promo Set</x:v>
      </x:c>
      <x:c r="E137" s="16" t="str">
        <x:v>Numbered total</x:v>
      </x:c>
      <x:c r="F137" s="16" t="str">
        <x:v>6</x:v>
      </x:c>
      <x:c r="G137" s="16" t="str">
        <x:v>secondary_checklist</x:v>
      </x:c>
      <x:c r="H137" s="16" t="str">
        <x:v>https://bulbapedia.bulbagarden.net/wiki/Silver_Lance_%26_Jet-Black_Spirit_Jumbo_Pack_Set_%28TCG%29</x:v>
      </x:c>
      <x:c r="I137" s="16" t="str">
        <x:v>Japanese SP3 numbered component checklist only, excluding boosters</x:v>
      </x:c>
      <x:c r="J137" s="16" t="str">
        <x:v>Six explicit unique rows 001/006 to 006/006. No beyond-denominator or separately numbered subset rows in this itemised component list. Official announcement independently names the two three-card selections.</x:v>
      </x:c>
      <x:c r="K137" s="16" t="str">
        <x:v>ja-5e3231638035</x:v>
      </x:c>
      <x:c r="L137" s="16" t="str">
        <x:v>numbered_total</x:v>
      </x:c>
    </x:row>
    <x:row r="138" ht="65" customHeight="1">
      <x:c r="A138" s="16" t="str">
        <x:v>AUTO2-e4959000e73f</x:v>
      </x:c>
      <x:c r="B138" s="16" t="str">
        <x:v>2026-09-24-round2</x:v>
      </x:c>
      <x:c r="C138" s="16" t="str">
        <x:v>ja</x:v>
      </x:c>
      <x:c r="D138" s="16" t="str">
        <x:v>Silver Lance &amp; Jet-Black Spirit Promo Set</x:v>
      </x:c>
      <x:c r="E138" s="16" t="str">
        <x:v>Last listed number</x:v>
      </x:c>
      <x:c r="F138" s="16" t="str">
        <x:v>006/006</x:v>
      </x:c>
      <x:c r="G138" s="16" t="str">
        <x:v>secondary_checklist</x:v>
      </x:c>
      <x:c r="H138" s="16" t="str">
        <x:v>https://bulbapedia.bulbagarden.net/wiki/Silver_Lance_%26_Jet-Black_Spirit_Jumbo_Pack_Set_%28TCG%29</x:v>
      </x:c>
      <x:c r="I138" s="16" t="str">
        <x:v>Japanese SP3 numbered component checklist only, excluding boosters</x:v>
      </x:c>
      <x:c r="J138" s="16" t="str">
        <x:v>Six explicit unique rows 001/006 to 006/006. No beyond-denominator or separately numbered subset rows in this itemised component list. Official announcement independently names the two three-card selections.</x:v>
      </x:c>
      <x:c r="K138" s="16" t="str">
        <x:v>ja-5e3231638035</x:v>
      </x:c>
      <x:c r="L138" s="16" t="str">
        <x:v>terminal_number</x:v>
      </x:c>
    </x:row>
    <x:row r="139" ht="65" customHeight="1">
      <x:c r="A139" s="16" t="str">
        <x:v>AUTO2-6b81bf3aaa0c</x:v>
      </x:c>
      <x:c r="B139" s="16" t="str">
        <x:v>2026-09-24-round2</x:v>
      </x:c>
      <x:c r="C139" s="16" t="str">
        <x:v>zh-CN</x:v>
      </x:c>
      <x:c r="D139" s="16" t="str">
        <x:v>Pokémon Card Game Battle Academy</x:v>
      </x:c>
      <x:c r="E139" s="16" t="str">
        <x:v>Native name</x:v>
      </x:c>
      <x:c r="F139" s="16" t="str">
        <x:v>对战学院</x:v>
      </x:c>
      <x:c r="G139" s="16" t="str">
        <x:v>official</x:v>
      </x:c>
      <x:c r="H139" s="16" t="str">
        <x:v>https://www.pokemon.cn/tcg/product/15476.html</x:v>
      </x:c>
      <x:c r="I139" s="16" t="str">
        <x:v>Mainland China / Scarlet &amp; Violet Battle Academy 2026</x:v>
      </x:c>
      <x:c r="J139" s="16" t="str">
        <x:v>Exact product name in the official specification. Not the earlier English or Japanese product.</x:v>
      </x:c>
      <x:c r="K139" s="16" t="str">
        <x:v>zh-CN-17407eca3331</x:v>
      </x:c>
      <x:c r="L139" s="16" t="str">
        <x:v>name_native</x:v>
      </x:c>
    </x:row>
    <x:row r="140" ht="65" customHeight="1">
      <x:c r="A140" s="16" t="str">
        <x:v>AUTO2-9624478f8f56</x:v>
      </x:c>
      <x:c r="B140" s="16" t="str">
        <x:v>2026-09-24-round2</x:v>
      </x:c>
      <x:c r="C140" s="16" t="str">
        <x:v>zh-CN</x:v>
      </x:c>
      <x:c r="D140" s="16" t="str">
        <x:v>Pokémon Card Game Battle Academy</x:v>
      </x:c>
      <x:c r="E140" s="16" t="str">
        <x:v>Release date</x:v>
      </x:c>
      <x:c r="F140" s="16" t="str">
        <x:v>2026-01-16</x:v>
      </x:c>
      <x:c r="G140" s="16" t="str">
        <x:v>official</x:v>
      </x:c>
      <x:c r="H140" s="16" t="str">
        <x:v>https://www.pokemon.cn/tcg/product/15476.html</x:v>
      </x:c>
      <x:c r="I140" s="16" t="str">
        <x:v>Mainland China release</x:v>
      </x:c>
      <x:c r="J140" s="16" t="str">
        <x:v>Official product specification says 16 January 2026. The article publication date of 25 December 2025 is not used.</x:v>
      </x:c>
      <x:c r="K140" s="16" t="str">
        <x:v>zh-CN-17407eca3331</x:v>
      </x:c>
      <x:c r="L140" s="16" t="str">
        <x:v>release_date</x:v>
      </x:c>
    </x:row>
    <x:row r="141" ht="65" customHeight="1">
      <x:c r="A141" s="16" t="str">
        <x:v>AUTO2-de7646cfd642</x:v>
      </x:c>
      <x:c r="B141" s="16" t="str">
        <x:v>2026-09-24-round2</x:v>
      </x:c>
      <x:c r="C141" s="16" t="str">
        <x:v>zh-CN</x:v>
      </x:c>
      <x:c r="D141" s="16" t="str">
        <x:v>Pokémon Card Game Battle Academy</x:v>
      </x:c>
      <x:c r="E141" s="16" t="str">
        <x:v>Physical product quantity</x:v>
      </x:c>
      <x:c r="F141" s="16" t="str">
        <x:v>240</x:v>
      </x:c>
      <x:c r="G141" s="16" t="str">
        <x:v>official</x:v>
      </x:c>
      <x:c r="H141" s="16" t="str">
        <x:v>https://www.pokemon.cn/tcg/product/15476.html</x:v>
      </x:c>
      <x:c r="I141" s="16" t="str">
        <x:v>Physical cards across the four constructed decks in one retail product, including repeats</x:v>
      </x:c>
      <x:c r="J141" s="16" t="str">
        <x:v>Calculated from four explicitly listed 60-card decks: Sprigatito ex, Pikachu ex, Greninja ex and Lucario ex. Not 240 unique numbered cards.</x:v>
      </x:c>
      <x:c r="K141" s="16" t="str">
        <x:v>zh-CN-17407eca3331</x:v>
      </x:c>
      <x:c r="L141" s="16" t="str">
        <x:v>product_card_quantity</x:v>
      </x:c>
    </x:row>
    <x:row r="142">
      <x:c r="A142" t="str">
        <x:v>CAN-430ed7764d6b</x:v>
      </x:c>
      <x:c r="B142" t="str">
        <x:v>2026-09-26-canonical-codes</x:v>
      </x:c>
      <x:c r="C142" t="str">
        <x:v>en</x:v>
      </x:c>
      <x:c r="D142" t="str">
        <x:v>Best of Game</x:v>
      </x:c>
      <x:c r="E142" t="str">
        <x:v>Catalogue code</x:v>
      </x:c>
      <x:c r="F142" t="str">
        <x:v>BOG</x:v>
      </x:c>
      <x:c r="G142" t="str">
        <x:v>internal_alias</x:v>
      </x:c>
      <x:c r="H142" t="str">
        <x:v>https://pkmncards.com/sets/</x:v>
      </x:c>
      <x:c r="I142" t="str">
        <x:v>en; canonical/database identifier</x:v>
      </x:c>
      <x:c r="J142" t="str">
        <x:v>Stackr canonical abbreviation; BP retained as external/community alias</x:v>
      </x:c>
      <x:c r="K142" t="str">
        <x:v>en-6b8ea434ff3c</x:v>
      </x:c>
      <x:c r="L142" t="str">
        <x:v>set_code</x:v>
      </x:c>
    </x:row>
    <x:row r="143">
      <x:c r="A143" t="str">
        <x:v>CAN-f858f2bfadef</x:v>
      </x:c>
      <x:c r="B143" t="str">
        <x:v>2026-09-26-canonical-codes</x:v>
      </x:c>
      <x:c r="C143" t="str">
        <x:v>en</x:v>
      </x:c>
      <x:c r="D143" t="str">
        <x:v>Black &amp; White Trainer Kit</x:v>
      </x:c>
      <x:c r="E143" t="str">
        <x:v>Catalogue code</x:v>
      </x:c>
      <x:c r="F143" t="str">
        <x:v>TK5</x:v>
      </x:c>
      <x:c r="G143" t="str">
        <x:v>internal_alias</x:v>
      </x:c>
      <x:c r="H143" t="str">
        <x:v>https://pkmncards.com/sets/</x:v>
      </x:c>
      <x:c r="I143" t="str">
        <x:v>en; canonical/database identifier</x:v>
      </x:c>
      <x:c r="J143" t="str">
        <x:v>Database/trainer-kit designator; component aliases TK5E/TK5Z</x:v>
      </x:c>
      <x:c r="K143" t="str">
        <x:v>en-21b02872eb20</x:v>
      </x:c>
      <x:c r="L143" t="str">
        <x:v>set_code</x:v>
      </x:c>
    </x:row>
    <x:row r="144">
      <x:c r="A144" t="str">
        <x:v>CAN-f9766dcaf886</x:v>
      </x:c>
      <x:c r="B144" t="str">
        <x:v>2026-09-26-canonical-codes</x:v>
      </x:c>
      <x:c r="C144" t="str">
        <x:v>en</x:v>
      </x:c>
      <x:c r="D144" t="str">
        <x:v>Diamond &amp; Pearl Trainer Kit</x:v>
      </x:c>
      <x:c r="E144" t="str">
        <x:v>Catalogue code</x:v>
      </x:c>
      <x:c r="F144" t="str">
        <x:v>DP-TK</x:v>
      </x:c>
      <x:c r="G144" t="str">
        <x:v>internal_alias</x:v>
      </x:c>
      <x:c r="H144" t="str">
        <x:v>https://pkmncards.com/sets/</x:v>
      </x:c>
      <x:c r="I144" t="str">
        <x:v>en; canonical/database identifier</x:v>
      </x:c>
      <x:c r="J144" t="str">
        <x:v>Stackr canonical trainer-kit designator; alias TK-DP</x:v>
      </x:c>
      <x:c r="K144" t="str">
        <x:v>en-6f8abbba436c</x:v>
      </x:c>
      <x:c r="L144" t="str">
        <x:v>set_code</x:v>
      </x:c>
    </x:row>
    <x:row r="145">
      <x:c r="A145" t="str">
        <x:v>CAN-19e1cf210870</x:v>
      </x:c>
      <x:c r="B145" t="str">
        <x:v>2026-09-26-canonical-codes</x:v>
      </x:c>
      <x:c r="C145" t="str">
        <x:v>en</x:v>
      </x:c>
      <x:c r="D145" t="str">
        <x:v>EX Trainer Kit</x:v>
      </x:c>
      <x:c r="E145" t="str">
        <x:v>Catalogue code</x:v>
      </x:c>
      <x:c r="F145" t="str">
        <x:v>EX-TK</x:v>
      </x:c>
      <x:c r="G145" t="str">
        <x:v>internal_alias</x:v>
      </x:c>
      <x:c r="H145" t="str">
        <x:v>https://pkmncards.com/sets/</x:v>
      </x:c>
      <x:c r="I145" t="str">
        <x:v>en; canonical/database identifier</x:v>
      </x:c>
      <x:c r="J145" t="str">
        <x:v>Stackr canonical trainer-kit designator; alias TK1</x:v>
      </x:c>
      <x:c r="K145" t="str">
        <x:v>en-e2138469cc4d</x:v>
      </x:c>
      <x:c r="L145" t="str">
        <x:v>set_code</x:v>
      </x:c>
    </x:row>
    <x:row r="146">
      <x:c r="A146" t="str">
        <x:v>CAN-2723c1641980</x:v>
      </x:c>
      <x:c r="B146" t="str">
        <x:v>2026-09-26-canonical-codes</x:v>
      </x:c>
      <x:c r="C146" t="str">
        <x:v>en</x:v>
      </x:c>
      <x:c r="D146" t="str">
        <x:v>EX Trainer Kit 2</x:v>
      </x:c>
      <x:c r="E146" t="str">
        <x:v>Catalogue code</x:v>
      </x:c>
      <x:c r="F146" t="str">
        <x:v>EX-TK2</x:v>
      </x:c>
      <x:c r="G146" t="str">
        <x:v>internal_alias</x:v>
      </x:c>
      <x:c r="H146" t="str">
        <x:v>https://pkmncards.com/sets/</x:v>
      </x:c>
      <x:c r="I146" t="str">
        <x:v>en; canonical/database identifier</x:v>
      </x:c>
      <x:c r="J146" t="str">
        <x:v>Stackr canonical trainer-kit designator; alias TK2</x:v>
      </x:c>
      <x:c r="K146" t="str">
        <x:v>en-f5c65c7b0a45</x:v>
      </x:c>
      <x:c r="L146" t="str">
        <x:v>set_code</x:v>
      </x:c>
    </x:row>
    <x:row r="147">
      <x:c r="A147" t="str">
        <x:v>CAN-7ccf0667aa53</x:v>
      </x:c>
      <x:c r="B147" t="str">
        <x:v>2026-09-26-canonical-codes</x:v>
      </x:c>
      <x:c r="C147" t="str">
        <x:v>en</x:v>
      </x:c>
      <x:c r="D147" t="str">
        <x:v>HS Trainer Kit</x:v>
      </x:c>
      <x:c r="E147" t="str">
        <x:v>Catalogue code</x:v>
      </x:c>
      <x:c r="F147" t="str">
        <x:v>HS-TK</x:v>
      </x:c>
      <x:c r="G147" t="str">
        <x:v>internal_alias</x:v>
      </x:c>
      <x:c r="H147" t="str">
        <x:v>https://pkmncards.com/sets/</x:v>
      </x:c>
      <x:c r="I147" t="str">
        <x:v>en; canonical/database identifier</x:v>
      </x:c>
      <x:c r="J147" t="str">
        <x:v>Stackr canonical trainer-kit designator; alias TK-HGSS</x:v>
      </x:c>
      <x:c r="K147" t="str">
        <x:v>en-3b501faa2faf</x:v>
      </x:c>
      <x:c r="L147" t="str">
        <x:v>set_code</x:v>
      </x:c>
    </x:row>
    <x:row r="148">
      <x:c r="A148" t="str">
        <x:v>CAN-38939ad490f1</x:v>
      </x:c>
      <x:c r="B148" t="str">
        <x:v>2026-09-26-canonical-codes</x:v>
      </x:c>
      <x:c r="C148" t="str">
        <x:v>en</x:v>
      </x:c>
      <x:c r="D148" t="str">
        <x:v>Sun &amp; Moon Trainer Kit: Lycanroc &amp; Alolan Raichu</x:v>
      </x:c>
      <x:c r="E148" t="str">
        <x:v>Catalogue code</x:v>
      </x:c>
      <x:c r="F148" t="str">
        <x:v>SM-TK</x:v>
      </x:c>
      <x:c r="G148" t="str">
        <x:v>internal_alias</x:v>
      </x:c>
      <x:c r="H148" t="str">
        <x:v>https://pkmncards.com/sets/</x:v>
      </x:c>
      <x:c r="I148" t="str">
        <x:v>en; canonical/database identifier</x:v>
      </x:c>
      <x:c r="J148" t="str">
        <x:v>Stackr canonical trainer-kit designator; alias TK-SM3</x:v>
      </x:c>
      <x:c r="K148" t="str">
        <x:v>en-ecc3b9bb3ca7</x:v>
      </x:c>
      <x:c r="L148" t="str">
        <x:v>set_code</x:v>
      </x:c>
    </x:row>
    <x:row r="149">
      <x:c r="A149" t="str">
        <x:v>CAN-8f73bee9f571</x:v>
      </x:c>
      <x:c r="B149" t="str">
        <x:v>2026-09-26-canonical-codes</x:v>
      </x:c>
      <x:c r="C149" t="str">
        <x:v>en</x:v>
      </x:c>
      <x:c r="D149" t="str">
        <x:v>XY Trainer Kit: Bisharp &amp; Wigglytuff</x:v>
      </x:c>
      <x:c r="E149" t="str">
        <x:v>Catalogue code</x:v>
      </x:c>
      <x:c r="F149" t="str">
        <x:v>TK7</x:v>
      </x:c>
      <x:c r="G149" t="str">
        <x:v>internal_alias</x:v>
      </x:c>
      <x:c r="H149" t="str">
        <x:v>https://pkmncards.com/sets/</x:v>
      </x:c>
      <x:c r="I149" t="str">
        <x:v>en; canonical/database identifier</x:v>
      </x:c>
      <x:c r="J149" t="str">
        <x:v>Database/trainer-kit designator; component aliases TK7A/TK7B</x:v>
      </x:c>
      <x:c r="K149" t="str">
        <x:v>en-07817e7127e4</x:v>
      </x:c>
      <x:c r="L149" t="str">
        <x:v>set_code</x:v>
      </x:c>
    </x:row>
    <x:row r="150">
      <x:c r="A150" t="str">
        <x:v>CAN-58fa082d8d4d</x:v>
      </x:c>
      <x:c r="B150" t="str">
        <x:v>2026-09-26-canonical-codes</x:v>
      </x:c>
      <x:c r="C150" t="str">
        <x:v>en</x:v>
      </x:c>
      <x:c r="D150" t="str">
        <x:v>XY Trainer Kit: Pikachu Libre &amp; Suicune</x:v>
      </x:c>
      <x:c r="E150" t="str">
        <x:v>Catalogue code</x:v>
      </x:c>
      <x:c r="F150" t="str">
        <x:v>TK8</x:v>
      </x:c>
      <x:c r="G150" t="str">
        <x:v>internal_alias</x:v>
      </x:c>
      <x:c r="H150" t="str">
        <x:v>https://pkmncards.com/sets/</x:v>
      </x:c>
      <x:c r="I150" t="str">
        <x:v>en; canonical/database identifier</x:v>
      </x:c>
      <x:c r="J150" t="str">
        <x:v>Database/trainer-kit designator</x:v>
      </x:c>
      <x:c r="K150" t="str">
        <x:v>en-302071e0cf37</x:v>
      </x:c>
      <x:c r="L150" t="str">
        <x:v>set_code</x:v>
      </x:c>
    </x:row>
    <x:row r="151">
      <x:c r="A151" t="str">
        <x:v>CAN-eba01c35112b</x:v>
      </x:c>
      <x:c r="B151" t="str">
        <x:v>2026-09-26-canonical-codes</x:v>
      </x:c>
      <x:c r="C151" t="str">
        <x:v>en</x:v>
      </x:c>
      <x:c r="D151" t="str">
        <x:v>XY Trainer Kit: Sylveon &amp; Noivern</x:v>
      </x:c>
      <x:c r="E151" t="str">
        <x:v>Catalogue code</x:v>
      </x:c>
      <x:c r="F151" t="str">
        <x:v>TK6</x:v>
      </x:c>
      <x:c r="G151" t="str">
        <x:v>internal_alias</x:v>
      </x:c>
      <x:c r="H151" t="str">
        <x:v>https://pkmncards.com/sets/</x:v>
      </x:c>
      <x:c r="I151" t="str">
        <x:v>en; canonical/database identifier</x:v>
      </x:c>
      <x:c r="J151" t="str">
        <x:v>Database/trainer-kit designator; component aliases TK6N/TK6S</x:v>
      </x:c>
      <x:c r="K151" t="str">
        <x:v>en-6acc5b28480e</x:v>
      </x:c>
      <x:c r="L151" t="str">
        <x:v>set_code</x:v>
      </x:c>
    </x:row>
    <x:row r="152">
      <x:c r="A152" t="str">
        <x:v>CAN-33c09289b7da</x:v>
      </x:c>
      <x:c r="B152" t="str">
        <x:v>2026-09-26-canonical-codes</x:v>
      </x:c>
      <x:c r="C152" t="str">
        <x:v>ja</x:v>
      </x:c>
      <x:c r="D152" t="str">
        <x:v>Expansion Pack</x:v>
      </x:c>
      <x:c r="E152" t="str">
        <x:v>Catalogue code</x:v>
      </x:c>
      <x:c r="F152" t="str">
        <x:v>PMCG1</x:v>
      </x:c>
      <x:c r="G152" t="str">
        <x:v>official_or_established</x:v>
      </x:c>
      <x:c r="H152" t="str">
        <x:v>https://bulbapedia.bulbagarden.net/wiki/List_of_Japanese_TCG_Expansions</x:v>
      </x:c>
      <x:c r="I152" t="str">
        <x:v>ja; canonical/database identifier</x:v>
      </x:c>
      <x:c r="J152" t="str">
        <x:v>Stackr/database series designator; official Japanese expansion no. 1</x:v>
      </x:c>
      <x:c r="K152" t="str">
        <x:v>ja-d722650df667</x:v>
      </x:c>
      <x:c r="L152" t="str">
        <x:v>set_code</x:v>
      </x:c>
    </x:row>
    <x:row r="153">
      <x:c r="A153" t="str">
        <x:v>CAN-99ac49997ead</x:v>
      </x:c>
      <x:c r="B153" t="str">
        <x:v>2026-09-26-canonical-codes</x:v>
      </x:c>
      <x:c r="C153" t="str">
        <x:v>ja</x:v>
      </x:c>
      <x:c r="D153" t="str">
        <x:v>Pokémon Jungle</x:v>
      </x:c>
      <x:c r="E153" t="str">
        <x:v>Catalogue code</x:v>
      </x:c>
      <x:c r="F153" t="str">
        <x:v>PMCG2</x:v>
      </x:c>
      <x:c r="G153" t="str">
        <x:v>official_or_established</x:v>
      </x:c>
      <x:c r="H153" t="str">
        <x:v>https://bulbapedia.bulbagarden.net/wiki/List_of_Japanese_TCG_Expansions</x:v>
      </x:c>
      <x:c r="I153" t="str">
        <x:v>ja; canonical/database identifier</x:v>
      </x:c>
      <x:c r="J153" t="str">
        <x:v>Stackr/database series designator; official Japanese expansion no. 2</x:v>
      </x:c>
      <x:c r="K153" t="str">
        <x:v>ja-e7895419dae9</x:v>
      </x:c>
      <x:c r="L153" t="str">
        <x:v>set_code</x:v>
      </x:c>
    </x:row>
    <x:row r="154">
      <x:c r="A154" t="str">
        <x:v>CAN-350deb278097</x:v>
      </x:c>
      <x:c r="B154" t="str">
        <x:v>2026-09-26-canonical-codes</x:v>
      </x:c>
      <x:c r="C154" t="str">
        <x:v>ja</x:v>
      </x:c>
      <x:c r="D154" t="str">
        <x:v>Mystery of the Fossils</x:v>
      </x:c>
      <x:c r="E154" t="str">
        <x:v>Catalogue code</x:v>
      </x:c>
      <x:c r="F154" t="str">
        <x:v>PMCG3</x:v>
      </x:c>
      <x:c r="G154" t="str">
        <x:v>official_or_established</x:v>
      </x:c>
      <x:c r="H154" t="str">
        <x:v>https://bulbapedia.bulbagarden.net/wiki/List_of_Japanese_TCG_Expansions</x:v>
      </x:c>
      <x:c r="I154" t="str">
        <x:v>ja; canonical/database identifier</x:v>
      </x:c>
      <x:c r="J154" t="str">
        <x:v>Stackr/database series designator; official Japanese expansion no. 3</x:v>
      </x:c>
      <x:c r="K154" t="str">
        <x:v>ja-96cbc157b1b7</x:v>
      </x:c>
      <x:c r="L154" t="str">
        <x:v>set_code</x:v>
      </x:c>
    </x:row>
    <x:row r="155">
      <x:c r="A155" t="str">
        <x:v>CAN-f85e5f35ced3</x:v>
      </x:c>
      <x:c r="B155" t="str">
        <x:v>2026-09-26-canonical-codes</x:v>
      </x:c>
      <x:c r="C155" t="str">
        <x:v>ja</x:v>
      </x:c>
      <x:c r="D155" t="str">
        <x:v>Rocket Gang</x:v>
      </x:c>
      <x:c r="E155" t="str">
        <x:v>Catalogue code</x:v>
      </x:c>
      <x:c r="F155" t="str">
        <x:v>PMCG4</x:v>
      </x:c>
      <x:c r="G155" t="str">
        <x:v>official_or_established</x:v>
      </x:c>
      <x:c r="H155" t="str">
        <x:v>https://bulbapedia.bulbagarden.net/wiki/List_of_Japanese_TCG_Expansions</x:v>
      </x:c>
      <x:c r="I155" t="str">
        <x:v>ja; canonical/database identifier</x:v>
      </x:c>
      <x:c r="J155" t="str">
        <x:v>Stackr/database series designator; official Japanese expansion no. 4</x:v>
      </x:c>
      <x:c r="K155" t="str">
        <x:v>ja-f556d02e1e51</x:v>
      </x:c>
      <x:c r="L155" t="str">
        <x:v>set_code</x:v>
      </x:c>
    </x:row>
    <x:row r="156">
      <x:c r="A156" t="str">
        <x:v>CAN-202f23451144</x:v>
      </x:c>
      <x:c r="B156" t="str">
        <x:v>2026-09-26-canonical-codes</x:v>
      </x:c>
      <x:c r="C156" t="str">
        <x:v>ja</x:v>
      </x:c>
      <x:c r="D156" t="str">
        <x:v>Expansion Sheet: Vending Series 1 (Blue)</x:v>
      </x:c>
      <x:c r="E156" t="str">
        <x:v>Catalogue code</x:v>
      </x:c>
      <x:c r="F156" t="str">
        <x:v>Vending1</x:v>
      </x:c>
      <x:c r="G156" t="str">
        <x:v>internal_alias</x:v>
      </x:c>
      <x:c r="H156" t="str">
        <x:v>https://bulbapedia.bulbagarden.net/wiki/List_of_Japanese_TCG_Expansions</x:v>
      </x:c>
      <x:c r="I156" t="str">
        <x:v>ja; canonical/database identifier</x:v>
      </x:c>
      <x:c r="J156" t="str">
        <x:v>Stackr canonical alias; promotional Vending Series 1</x:v>
      </x:c>
      <x:c r="K156" t="str">
        <x:v>ja-67f6283ec86c</x:v>
      </x:c>
      <x:c r="L156" t="str">
        <x:v>set_code</x:v>
      </x:c>
    </x:row>
    <x:row r="157">
      <x:c r="A157" t="str">
        <x:v>CAN-8c913d05a812</x:v>
      </x:c>
      <x:c r="B157" t="str">
        <x:v>2026-09-26-canonical-codes</x:v>
      </x:c>
      <x:c r="C157" t="str">
        <x:v>ja</x:v>
      </x:c>
      <x:c r="D157" t="str">
        <x:v>Expansion Sheet: Vending Series 2 (Red)</x:v>
      </x:c>
      <x:c r="E157" t="str">
        <x:v>Catalogue code</x:v>
      </x:c>
      <x:c r="F157" t="str">
        <x:v>Vending2</x:v>
      </x:c>
      <x:c r="G157" t="str">
        <x:v>internal_alias</x:v>
      </x:c>
      <x:c r="H157" t="str">
        <x:v>https://bulbapedia.bulbagarden.net/wiki/List_of_Japanese_TCG_Expansions</x:v>
      </x:c>
      <x:c r="I157" t="str">
        <x:v>ja; canonical/database identifier</x:v>
      </x:c>
      <x:c r="J157" t="str">
        <x:v>Stackr canonical alias; promotional Vending Series 2</x:v>
      </x:c>
      <x:c r="K157" t="str">
        <x:v>ja-9bd76242f73f</x:v>
      </x:c>
      <x:c r="L157" t="str">
        <x:v>set_code</x:v>
      </x:c>
    </x:row>
    <x:row r="158">
      <x:c r="A158" t="str">
        <x:v>CAN-569aa3d20972</x:v>
      </x:c>
      <x:c r="B158" t="str">
        <x:v>2026-09-26-canonical-codes</x:v>
      </x:c>
      <x:c r="C158" t="str">
        <x:v>ja</x:v>
      </x:c>
      <x:c r="D158" t="str">
        <x:v>Leaders' Stadium</x:v>
      </x:c>
      <x:c r="E158" t="str">
        <x:v>Catalogue code</x:v>
      </x:c>
      <x:c r="F158" t="str">
        <x:v>PMCG5</x:v>
      </x:c>
      <x:c r="G158" t="str">
        <x:v>official_or_established</x:v>
      </x:c>
      <x:c r="H158" t="str">
        <x:v>https://bulbapedia.bulbagarden.net/wiki/List_of_Japanese_TCG_Expansions</x:v>
      </x:c>
      <x:c r="I158" t="str">
        <x:v>ja; canonical/database identifier</x:v>
      </x:c>
      <x:c r="J158" t="str">
        <x:v>Stackr/database series designator; official Japanese expansion no. 5; alias Gym1</x:v>
      </x:c>
      <x:c r="K158" t="str">
        <x:v>ja-f18120dbfa37</x:v>
      </x:c>
      <x:c r="L158" t="str">
        <x:v>set_code</x:v>
      </x:c>
    </x:row>
    <x:row r="159">
      <x:c r="A159" t="str">
        <x:v>CAN-57e539f41b82</x:v>
      </x:c>
      <x:c r="B159" t="str">
        <x:v>2026-09-26-canonical-codes</x:v>
      </x:c>
      <x:c r="C159" t="str">
        <x:v>ja</x:v>
      </x:c>
      <x:c r="D159" t="str">
        <x:v>Expansion Sheet: Vending Series 3 (Green)</x:v>
      </x:c>
      <x:c r="E159" t="str">
        <x:v>Catalogue code</x:v>
      </x:c>
      <x:c r="F159" t="str">
        <x:v>Vending3</x:v>
      </x:c>
      <x:c r="G159" t="str">
        <x:v>internal_alias</x:v>
      </x:c>
      <x:c r="H159" t="str">
        <x:v>https://bulbapedia.bulbagarden.net/wiki/List_of_Japanese_TCG_Expansions</x:v>
      </x:c>
      <x:c r="I159" t="str">
        <x:v>ja; canonical/database identifier</x:v>
      </x:c>
      <x:c r="J159" t="str">
        <x:v>Stackr canonical alias; promotional Vending Series 3</x:v>
      </x:c>
      <x:c r="K159" t="str">
        <x:v>ja-5bdb5008be38</x:v>
      </x:c>
      <x:c r="L159" t="str">
        <x:v>set_code</x:v>
      </x:c>
    </x:row>
    <x:row r="160">
      <x:c r="A160" t="str">
        <x:v>CAN-366bbe04e5d5</x:v>
      </x:c>
      <x:c r="B160" t="str">
        <x:v>2026-09-26-canonical-codes</x:v>
      </x:c>
      <x:c r="C160" t="str">
        <x:v>ja</x:v>
      </x:c>
      <x:c r="D160" t="str">
        <x:v>Challenge from the Darkness</x:v>
      </x:c>
      <x:c r="E160" t="str">
        <x:v>Catalogue code</x:v>
      </x:c>
      <x:c r="F160" t="str">
        <x:v>PMCG6</x:v>
      </x:c>
      <x:c r="G160" t="str">
        <x:v>official_or_established</x:v>
      </x:c>
      <x:c r="H160" t="str">
        <x:v>https://bulbapedia.bulbagarden.net/wiki/List_of_Japanese_TCG_Expansions</x:v>
      </x:c>
      <x:c r="I160" t="str">
        <x:v>ja; canonical/database identifier</x:v>
      </x:c>
      <x:c r="J160" t="str">
        <x:v>Stackr/database series designator; official Japanese expansion no. 6; alias Gym2</x:v>
      </x:c>
      <x:c r="K160" t="str">
        <x:v>ja-f204abc8bf9b</x:v>
      </x:c>
      <x:c r="L160" t="str">
        <x:v>set_code</x:v>
      </x:c>
    </x:row>
    <x:row r="161">
      <x:c r="A161" t="str">
        <x:v>CAN-93feef9d63ec</x:v>
      </x:c>
      <x:c r="B161" t="str">
        <x:v>2026-09-26-canonical-codes</x:v>
      </x:c>
      <x:c r="C161" t="str">
        <x:v>ja</x:v>
      </x:c>
      <x:c r="D161" t="str">
        <x:v>Southern Islands</x:v>
      </x:c>
      <x:c r="E161" t="str">
        <x:v>Catalogue code</x:v>
      </x:c>
      <x:c r="F161" t="str">
        <x:v>SI</x:v>
      </x:c>
      <x:c r="G161" t="str">
        <x:v>official_or_established</x:v>
      </x:c>
      <x:c r="H161" t="str">
        <x:v>https://bulbapedia.bulbagarden.net/wiki/List_of_Japanese_TCG_Expansions</x:v>
      </x:c>
      <x:c r="I161" t="str">
        <x:v>ja; canonical/database identifier</x:v>
      </x:c>
      <x:c r="J161" t="str">
        <x:v>Established database shorthand; promotional collection</x:v>
      </x:c>
      <x:c r="K161" t="str">
        <x:v>ja-c8ebd015e6c7</x:v>
      </x:c>
      <x:c r="L161" t="str">
        <x:v>set_code</x:v>
      </x:c>
    </x:row>
    <x:row r="162">
      <x:c r="A162" t="str">
        <x:v>CAN-d5cc2cf1d4f1</x:v>
      </x:c>
      <x:c r="B162" t="str">
        <x:v>2026-09-26-canonical-codes</x:v>
      </x:c>
      <x:c r="C162" t="str">
        <x:v>ja</x:v>
      </x:c>
      <x:c r="D162" t="str">
        <x:v>Gold, Silver, to a New World...</x:v>
      </x:c>
      <x:c r="E162" t="str">
        <x:v>Catalogue code</x:v>
      </x:c>
      <x:c r="F162" t="str">
        <x:v>Neo1</x:v>
      </x:c>
      <x:c r="G162" t="str">
        <x:v>official_or_established</x:v>
      </x:c>
      <x:c r="H162" t="str">
        <x:v>https://bulbapedia.bulbagarden.net/wiki/List_of_Japanese_TCG_Expansions</x:v>
      </x:c>
      <x:c r="I162" t="str">
        <x:v>ja; canonical/database identifier</x:v>
      </x:c>
      <x:c r="J162" t="str">
        <x:v>Series designator; Neo main expansion no. 1</x:v>
      </x:c>
      <x:c r="K162" t="str">
        <x:v>ja-a532d3dde077</x:v>
      </x:c>
      <x:c r="L162" t="str">
        <x:v>set_code</x:v>
      </x:c>
    </x:row>
    <x:row r="163">
      <x:c r="A163" t="str">
        <x:v>CAN-ebc782acaf64</x:v>
      </x:c>
      <x:c r="B163" t="str">
        <x:v>2026-09-26-canonical-codes</x:v>
      </x:c>
      <x:c r="C163" t="str">
        <x:v>ja</x:v>
      </x:c>
      <x:c r="D163" t="str">
        <x:v>Crossing the Ruins...</x:v>
      </x:c>
      <x:c r="E163" t="str">
        <x:v>Catalogue code</x:v>
      </x:c>
      <x:c r="F163" t="str">
        <x:v>Neo2</x:v>
      </x:c>
      <x:c r="G163" t="str">
        <x:v>official_or_established</x:v>
      </x:c>
      <x:c r="H163" t="str">
        <x:v>https://bulbapedia.bulbagarden.net/wiki/List_of_Japanese_TCG_Expansions</x:v>
      </x:c>
      <x:c r="I163" t="str">
        <x:v>ja; canonical/database identifier</x:v>
      </x:c>
      <x:c r="J163" t="str">
        <x:v>Series designator; Neo main expansion no. 2</x:v>
      </x:c>
      <x:c r="K163" t="str">
        <x:v>ja-4c0b4b1b444a</x:v>
      </x:c>
      <x:c r="L163" t="str">
        <x:v>set_code</x:v>
      </x:c>
    </x:row>
    <x:row r="164">
      <x:c r="A164" t="str">
        <x:v>CAN-d3d666a71b4b</x:v>
      </x:c>
      <x:c r="B164" t="str">
        <x:v>2026-09-26-canonical-codes</x:v>
      </x:c>
      <x:c r="C164" t="str">
        <x:v>ja</x:v>
      </x:c>
      <x:c r="D164" t="str">
        <x:v>Awakening Legends</x:v>
      </x:c>
      <x:c r="E164" t="str">
        <x:v>Catalogue code</x:v>
      </x:c>
      <x:c r="F164" t="str">
        <x:v>Neo3</x:v>
      </x:c>
      <x:c r="G164" t="str">
        <x:v>official_or_established</x:v>
      </x:c>
      <x:c r="H164" t="str">
        <x:v>https://bulbapedia.bulbagarden.net/wiki/List_of_Japanese_TCG_Expansions</x:v>
      </x:c>
      <x:c r="I164" t="str">
        <x:v>ja; canonical/database identifier</x:v>
      </x:c>
      <x:c r="J164" t="str">
        <x:v>Series designator; Neo main expansion no. 3</x:v>
      </x:c>
      <x:c r="K164" t="str">
        <x:v>ja-14ecd336f6c4</x:v>
      </x:c>
      <x:c r="L164" t="str">
        <x:v>set_code</x:v>
      </x:c>
    </x:row>
    <x:row r="165">
      <x:c r="A165" t="str">
        <x:v>CAN-35d4e6ee98da</x:v>
      </x:c>
      <x:c r="B165" t="str">
        <x:v>2026-09-26-canonical-codes</x:v>
      </x:c>
      <x:c r="C165" t="str">
        <x:v>ja</x:v>
      </x:c>
      <x:c r="D165" t="str">
        <x:v>Darkness, and to Light...</x:v>
      </x:c>
      <x:c r="E165" t="str">
        <x:v>Catalogue code</x:v>
      </x:c>
      <x:c r="F165" t="str">
        <x:v>Neo4</x:v>
      </x:c>
      <x:c r="G165" t="str">
        <x:v>official_or_established</x:v>
      </x:c>
      <x:c r="H165" t="str">
        <x:v>https://bulbapedia.bulbagarden.net/wiki/List_of_Japanese_TCG_Expansions</x:v>
      </x:c>
      <x:c r="I165" t="str">
        <x:v>ja; canonical/database identifier</x:v>
      </x:c>
      <x:c r="J165" t="str">
        <x:v>Series designator; Neo main expansion no. 4</x:v>
      </x:c>
      <x:c r="K165" t="str">
        <x:v>ja-1ab5b2841927</x:v>
      </x:c>
      <x:c r="L165" t="str">
        <x:v>set_code</x:v>
      </x:c>
    </x:row>
    <x:row r="166">
      <x:c r="A166" t="str">
        <x:v>CAN-3f94b33c3ed9</x:v>
      </x:c>
      <x:c r="B166" t="str">
        <x:v>2026-09-26-canonical-codes</x:v>
      </x:c>
      <x:c r="C166" t="str">
        <x:v>ja</x:v>
      </x:c>
      <x:c r="D166" t="str">
        <x:v>Pokémon Card★VS</x:v>
      </x:c>
      <x:c r="E166" t="str">
        <x:v>Catalogue code</x:v>
      </x:c>
      <x:c r="F166" t="str">
        <x:v>VS</x:v>
      </x:c>
      <x:c r="G166" t="str">
        <x:v>official_or_established</x:v>
      </x:c>
      <x:c r="H166" t="str">
        <x:v>https://bulbapedia.bulbagarden.net/wiki/List_of_Japanese_TCG_Expansions</x:v>
      </x:c>
      <x:c r="I166" t="str">
        <x:v>ja; canonical/database identifier</x:v>
      </x:c>
      <x:c r="J166" t="str">
        <x:v>Series designator; VS era</x:v>
      </x:c>
      <x:c r="K166" t="str">
        <x:v>ja-6e4fae6e522b</x:v>
      </x:c>
      <x:c r="L166" t="str">
        <x:v>set_code</x:v>
      </x:c>
    </x:row>
    <x:row r="167">
      <x:c r="A167" t="str">
        <x:v>CAN-e371d57c44b8</x:v>
      </x:c>
      <x:c r="B167" t="str">
        <x:v>2026-09-26-canonical-codes</x:v>
      </x:c>
      <x:c r="C167" t="str">
        <x:v>ja</x:v>
      </x:c>
      <x:c r="D167" t="str">
        <x:v>Pokémon Card★web</x:v>
      </x:c>
      <x:c r="E167" t="str">
        <x:v>Catalogue code</x:v>
      </x:c>
      <x:c r="F167" t="str">
        <x:v>Web</x:v>
      </x:c>
      <x:c r="G167" t="str">
        <x:v>official_or_established</x:v>
      </x:c>
      <x:c r="H167" t="str">
        <x:v>https://bulbapedia.bulbagarden.net/wiki/List_of_Japanese_TCG_Expansions</x:v>
      </x:c>
      <x:c r="I167" t="str">
        <x:v>ja; canonical/database identifier</x:v>
      </x:c>
      <x:c r="J167" t="str">
        <x:v>Established database shorthand; Web collection</x:v>
      </x:c>
      <x:c r="K167" t="str">
        <x:v>ja-bd87aa858368</x:v>
      </x:c>
      <x:c r="L167" t="str">
        <x:v>set_code</x:v>
      </x:c>
    </x:row>
    <x:row r="168">
      <x:c r="A168" t="str">
        <x:v>CAN-708e980a5266</x:v>
      </x:c>
      <x:c r="B168" t="str">
        <x:v>2026-09-26-canonical-codes</x:v>
      </x:c>
      <x:c r="C168" t="str">
        <x:v>ja</x:v>
      </x:c>
      <x:c r="D168" t="str">
        <x:v>Base Expansion Pack</x:v>
      </x:c>
      <x:c r="E168" t="str">
        <x:v>Catalogue code</x:v>
      </x:c>
      <x:c r="F168" t="str">
        <x:v>e1</x:v>
      </x:c>
      <x:c r="G168" t="str">
        <x:v>official_or_established</x:v>
      </x:c>
      <x:c r="H168" t="str">
        <x:v>https://bulbapedia.bulbagarden.net/wiki/List_of_Japanese_TCG_Expansions</x:v>
      </x:c>
      <x:c r="I168" t="str">
        <x:v>ja; canonical/database identifier</x:v>
      </x:c>
      <x:c r="J168" t="str">
        <x:v>Series designator; e-Card main expansion no. 1</x:v>
      </x:c>
      <x:c r="K168" t="str">
        <x:v>ja-19b0125d0ef2</x:v>
      </x:c>
      <x:c r="L168" t="str">
        <x:v>set_code</x:v>
      </x:c>
    </x:row>
    <x:row r="169">
      <x:c r="A169" t="str">
        <x:v>CAN-e0cdd738f0f0</x:v>
      </x:c>
      <x:c r="B169" t="str">
        <x:v>2026-09-26-canonical-codes</x:v>
      </x:c>
      <x:c r="C169" t="str">
        <x:v>ja</x:v>
      </x:c>
      <x:c r="D169" t="str">
        <x:v>The Town on No Map</x:v>
      </x:c>
      <x:c r="E169" t="str">
        <x:v>Catalogue code</x:v>
      </x:c>
      <x:c r="F169" t="str">
        <x:v>e2</x:v>
      </x:c>
      <x:c r="G169" t="str">
        <x:v>official_or_established</x:v>
      </x:c>
      <x:c r="H169" t="str">
        <x:v>https://bulbapedia.bulbagarden.net/wiki/List_of_Japanese_TCG_Expansions</x:v>
      </x:c>
      <x:c r="I169" t="str">
        <x:v>ja; canonical/database identifier</x:v>
      </x:c>
      <x:c r="J169" t="str">
        <x:v>Series designator; e-Card main expansion no. 2</x:v>
      </x:c>
      <x:c r="K169" t="str">
        <x:v>ja-1b38a138c59c</x:v>
      </x:c>
      <x:c r="L169" t="str">
        <x:v>set_code</x:v>
      </x:c>
    </x:row>
    <x:row r="170">
      <x:c r="A170" t="str">
        <x:v>CAN-82a6e8bf8990</x:v>
      </x:c>
      <x:c r="B170" t="str">
        <x:v>2026-09-26-canonical-codes</x:v>
      </x:c>
      <x:c r="C170" t="str">
        <x:v>ja</x:v>
      </x:c>
      <x:c r="D170" t="str">
        <x:v>Wind from the Sea</x:v>
      </x:c>
      <x:c r="E170" t="str">
        <x:v>Catalogue code</x:v>
      </x:c>
      <x:c r="F170" t="str">
        <x:v>e3</x:v>
      </x:c>
      <x:c r="G170" t="str">
        <x:v>official_or_established</x:v>
      </x:c>
      <x:c r="H170" t="str">
        <x:v>https://bulbapedia.bulbagarden.net/wiki/List_of_Japanese_TCG_Expansions</x:v>
      </x:c>
      <x:c r="I170" t="str">
        <x:v>ja; canonical/database identifier</x:v>
      </x:c>
      <x:c r="J170" t="str">
        <x:v>Series designator; e-Card main expansion no. 3</x:v>
      </x:c>
      <x:c r="K170" t="str">
        <x:v>ja-61b293a47b88</x:v>
      </x:c>
      <x:c r="L170" t="str">
        <x:v>set_code</x:v>
      </x:c>
    </x:row>
    <x:row r="171">
      <x:c r="A171" t="str">
        <x:v>CAN-69968638bfab</x:v>
      </x:c>
      <x:c r="B171" t="str">
        <x:v>2026-09-26-canonical-codes</x:v>
      </x:c>
      <x:c r="C171" t="str">
        <x:v>ja</x:v>
      </x:c>
      <x:c r="D171" t="str">
        <x:v>Split Earth</x:v>
      </x:c>
      <x:c r="E171" t="str">
        <x:v>Catalogue code</x:v>
      </x:c>
      <x:c r="F171" t="str">
        <x:v>e4</x:v>
      </x:c>
      <x:c r="G171" t="str">
        <x:v>official_or_established</x:v>
      </x:c>
      <x:c r="H171" t="str">
        <x:v>https://bulbapedia.bulbagarden.net/wiki/List_of_Japanese_TCG_Expansions</x:v>
      </x:c>
      <x:c r="I171" t="str">
        <x:v>ja; canonical/database identifier</x:v>
      </x:c>
      <x:c r="J171" t="str">
        <x:v>Series designator; e-Card main expansion no. 4</x:v>
      </x:c>
      <x:c r="K171" t="str">
        <x:v>ja-6a862845aa36</x:v>
      </x:c>
      <x:c r="L171" t="str">
        <x:v>set_code</x:v>
      </x:c>
    </x:row>
    <x:row r="172">
      <x:c r="A172" t="str">
        <x:v>CAN-2b264b3dec83</x:v>
      </x:c>
      <x:c r="B172" t="str">
        <x:v>2026-09-26-canonical-codes</x:v>
      </x:c>
      <x:c r="C172" t="str">
        <x:v>ja</x:v>
      </x:c>
      <x:c r="D172" t="str">
        <x:v>Mysterious Mountains</x:v>
      </x:c>
      <x:c r="E172" t="str">
        <x:v>Catalogue code</x:v>
      </x:c>
      <x:c r="F172" t="str">
        <x:v>e5</x:v>
      </x:c>
      <x:c r="G172" t="str">
        <x:v>official_or_established</x:v>
      </x:c>
      <x:c r="H172" t="str">
        <x:v>https://bulbapedia.bulbagarden.net/wiki/List_of_Japanese_TCG_Expansions</x:v>
      </x:c>
      <x:c r="I172" t="str">
        <x:v>ja; canonical/database identifier</x:v>
      </x:c>
      <x:c r="J172" t="str">
        <x:v>Series designator; e-Card main expansion no. 5</x:v>
      </x:c>
      <x:c r="K172" t="str">
        <x:v>ja-e4c00d42f6bb</x:v>
      </x:c>
      <x:c r="L172" t="str">
        <x:v>set_code</x:v>
      </x:c>
    </x:row>
    <x:row r="173">
      <x:c r="A173" t="str">
        <x:v>CAN-2f858734d167</x:v>
      </x:c>
      <x:c r="B173" t="str">
        <x:v>2026-09-26-canonical-codes</x:v>
      </x:c>
      <x:c r="C173" t="str">
        <x:v>ja</x:v>
      </x:c>
      <x:c r="D173" t="str">
        <x:v>ADV Expansion Pack</x:v>
      </x:c>
      <x:c r="E173" t="str">
        <x:v>Catalogue code</x:v>
      </x:c>
      <x:c r="F173" t="str">
        <x:v>ADV1</x:v>
      </x:c>
      <x:c r="G173" t="str">
        <x:v>official_or_established</x:v>
      </x:c>
      <x:c r="H173" t="str">
        <x:v>https://bulbapedia.bulbagarden.net/wiki/List_of_Japanese_TCG_Expansions</x:v>
      </x:c>
      <x:c r="I173" t="str">
        <x:v>ja; canonical/database identifier</x:v>
      </x:c>
      <x:c r="J173" t="str">
        <x:v>Series designator; ADV main expansion no. 1</x:v>
      </x:c>
      <x:c r="K173" t="str">
        <x:v>ja-d5664388d43a</x:v>
      </x:c>
      <x:c r="L173" t="str">
        <x:v>set_code</x:v>
      </x:c>
    </x:row>
    <x:row r="174">
      <x:c r="A174" t="str">
        <x:v>CAN-7bf9dce69488</x:v>
      </x:c>
      <x:c r="B174" t="str">
        <x:v>2026-09-26-canonical-codes</x:v>
      </x:c>
      <x:c r="C174" t="str">
        <x:v>ja</x:v>
      </x:c>
      <x:c r="D174" t="str">
        <x:v>Miracle of the Desert</x:v>
      </x:c>
      <x:c r="E174" t="str">
        <x:v>Catalogue code</x:v>
      </x:c>
      <x:c r="F174" t="str">
        <x:v>ADV2</x:v>
      </x:c>
      <x:c r="G174" t="str">
        <x:v>official_or_established</x:v>
      </x:c>
      <x:c r="H174" t="str">
        <x:v>https://bulbapedia.bulbagarden.net/wiki/List_of_Japanese_TCG_Expansions</x:v>
      </x:c>
      <x:c r="I174" t="str">
        <x:v>ja; canonical/database identifier</x:v>
      </x:c>
      <x:c r="J174" t="str">
        <x:v>Series designator; ADV main expansion no. 2</x:v>
      </x:c>
      <x:c r="K174" t="str">
        <x:v>ja-b1f20b82870a</x:v>
      </x:c>
      <x:c r="L174" t="str">
        <x:v>set_code</x:v>
      </x:c>
    </x:row>
    <x:row r="175">
      <x:c r="A175" t="str">
        <x:v>CAN-aae87d0867d3</x:v>
      </x:c>
      <x:c r="B175" t="str">
        <x:v>2026-09-26-canonical-codes</x:v>
      </x:c>
      <x:c r="C175" t="str">
        <x:v>ja</x:v>
      </x:c>
      <x:c r="D175" t="str">
        <x:v>Rulers of the Heavens</x:v>
      </x:c>
      <x:c r="E175" t="str">
        <x:v>Catalogue code</x:v>
      </x:c>
      <x:c r="F175" t="str">
        <x:v>ADV3</x:v>
      </x:c>
      <x:c r="G175" t="str">
        <x:v>official_or_established</x:v>
      </x:c>
      <x:c r="H175" t="str">
        <x:v>https://bulbapedia.bulbagarden.net/wiki/List_of_Japanese_TCG_Expansions</x:v>
      </x:c>
      <x:c r="I175" t="str">
        <x:v>ja; canonical/database identifier</x:v>
      </x:c>
      <x:c r="J175" t="str">
        <x:v>Series designator; ADV main expansion no. 3</x:v>
      </x:c>
      <x:c r="K175" t="str">
        <x:v>ja-65c3523196a0</x:v>
      </x:c>
      <x:c r="L175" t="str">
        <x:v>set_code</x:v>
      </x:c>
    </x:row>
    <x:row r="176">
      <x:c r="A176" t="str">
        <x:v>CAN-2d3c3fac88d0</x:v>
      </x:c>
      <x:c r="B176" t="str">
        <x:v>2026-09-26-canonical-codes</x:v>
      </x:c>
      <x:c r="C176" t="str">
        <x:v>ja</x:v>
      </x:c>
      <x:c r="D176" t="str">
        <x:v>Magma VS Aqua: Two Ambitions</x:v>
      </x:c>
      <x:c r="E176" t="str">
        <x:v>Catalogue code</x:v>
      </x:c>
      <x:c r="F176" t="str">
        <x:v>ADV-MVA</x:v>
      </x:c>
      <x:c r="G176" t="str">
        <x:v>internal_alias</x:v>
      </x:c>
      <x:c r="H176" t="str">
        <x:v>https://bulbapedia.bulbagarden.net/wiki/List_of_Japanese_TCG_Expansions</x:v>
      </x:c>
      <x:c r="I176" t="str">
        <x:v>ja; canonical/database identifier</x:v>
      </x:c>
      <x:c r="J176" t="str">
        <x:v>Stackr canonical alias for ADV-era subset; not ADV4</x:v>
      </x:c>
      <x:c r="K176" t="str">
        <x:v>ja-ac97c5a93e93</x:v>
      </x:c>
      <x:c r="L176" t="str">
        <x:v>set_code</x:v>
      </x:c>
    </x:row>
    <x:row r="177">
      <x:c r="A177" t="str">
        <x:v>CAN-a1d7f9e98cec</x:v>
      </x:c>
      <x:c r="B177" t="str">
        <x:v>2026-09-26-canonical-codes</x:v>
      </x:c>
      <x:c r="C177" t="str">
        <x:v>ja</x:v>
      </x:c>
      <x:c r="D177" t="str">
        <x:v>Undone Seal</x:v>
      </x:c>
      <x:c r="E177" t="str">
        <x:v>Catalogue code</x:v>
      </x:c>
      <x:c r="F177" t="str">
        <x:v>ADV4</x:v>
      </x:c>
      <x:c r="G177" t="str">
        <x:v>official_or_established</x:v>
      </x:c>
      <x:c r="H177" t="str">
        <x:v>https://bulbapedia.bulbagarden.net/wiki/List_of_Japanese_TCG_Expansions</x:v>
      </x:c>
      <x:c r="I177" t="str">
        <x:v>ja; canonical/database identifier</x:v>
      </x:c>
      <x:c r="J177" t="str">
        <x:v>Series designator; ADV main expansion no. 4</x:v>
      </x:c>
      <x:c r="K177" t="str">
        <x:v>ja-c2fcd6909311</x:v>
      </x:c>
      <x:c r="L177" t="str">
        <x:v>set_code</x:v>
      </x:c>
    </x:row>
    <x:row r="178">
      <x:c r="A178" t="str">
        <x:v>CAN-588f187527ae</x:v>
      </x:c>
      <x:c r="B178" t="str">
        <x:v>2026-09-26-canonical-codes</x:v>
      </x:c>
      <x:c r="C178" t="str">
        <x:v>ja</x:v>
      </x:c>
      <x:c r="D178" t="str">
        <x:v>Flight of Legends</x:v>
      </x:c>
      <x:c r="E178" t="str">
        <x:v>Catalogue code</x:v>
      </x:c>
      <x:c r="F178" t="str">
        <x:v>PCG1</x:v>
      </x:c>
      <x:c r="G178" t="str">
        <x:v>official_or_established</x:v>
      </x:c>
      <x:c r="H178" t="str">
        <x:v>https://bulbapedia.bulbagarden.net/wiki/List_of_Japanese_TCG_Expansions</x:v>
      </x:c>
      <x:c r="I178" t="str">
        <x:v>ja; canonical/database identifier</x:v>
      </x:c>
      <x:c r="J178" t="str">
        <x:v>Series designator; PCG main expansion no. 1</x:v>
      </x:c>
      <x:c r="K178" t="str">
        <x:v>ja-f4ad1a5de8de</x:v>
      </x:c>
      <x:c r="L178" t="str">
        <x:v>set_code</x:v>
      </x:c>
    </x:row>
    <x:row r="179">
      <x:c r="A179" t="str">
        <x:v>CAN-1f146696ff9f</x:v>
      </x:c>
      <x:c r="B179" t="str">
        <x:v>2026-09-26-canonical-codes</x:v>
      </x:c>
      <x:c r="C179" t="str">
        <x:v>ja</x:v>
      </x:c>
      <x:c r="D179" t="str">
        <x:v>Clash of the Blue Sky</x:v>
      </x:c>
      <x:c r="E179" t="str">
        <x:v>Catalogue code</x:v>
      </x:c>
      <x:c r="F179" t="str">
        <x:v>PCG2</x:v>
      </x:c>
      <x:c r="G179" t="str">
        <x:v>official_or_established</x:v>
      </x:c>
      <x:c r="H179" t="str">
        <x:v>https://bulbapedia.bulbagarden.net/wiki/List_of_Japanese_TCG_Expansions</x:v>
      </x:c>
      <x:c r="I179" t="str">
        <x:v>ja; canonical/database identifier</x:v>
      </x:c>
      <x:c r="J179" t="str">
        <x:v>Series designator; PCG main expansion no. 2</x:v>
      </x:c>
      <x:c r="K179" t="str">
        <x:v>ja-fbdbd21d3497</x:v>
      </x:c>
      <x:c r="L179" t="str">
        <x:v>set_code</x:v>
      </x:c>
    </x:row>
    <x:row r="180">
      <x:c r="A180" t="str">
        <x:v>CAN-e37c5166ef88</x:v>
      </x:c>
      <x:c r="B180" t="str">
        <x:v>2026-09-26-canonical-codes</x:v>
      </x:c>
      <x:c r="C180" t="str">
        <x:v>ja</x:v>
      </x:c>
      <x:c r="D180" t="str">
        <x:v>Rocket Gang Strikes Back</x:v>
      </x:c>
      <x:c r="E180" t="str">
        <x:v>Catalogue code</x:v>
      </x:c>
      <x:c r="F180" t="str">
        <x:v>PCG3</x:v>
      </x:c>
      <x:c r="G180" t="str">
        <x:v>official_or_established</x:v>
      </x:c>
      <x:c r="H180" t="str">
        <x:v>https://bulbapedia.bulbagarden.net/wiki/List_of_Japanese_TCG_Expansions</x:v>
      </x:c>
      <x:c r="I180" t="str">
        <x:v>ja; canonical/database identifier</x:v>
      </x:c>
      <x:c r="J180" t="str">
        <x:v>Series designator; PCG main expansion no. 3</x:v>
      </x:c>
      <x:c r="K180" t="str">
        <x:v>ja-ad3e200bd99c</x:v>
      </x:c>
      <x:c r="L180" t="str">
        <x:v>set_code</x:v>
      </x:c>
    </x:row>
    <x:row r="181">
      <x:c r="A181" t="str">
        <x:v>CAN-36bb2dfbc3d4</x:v>
      </x:c>
      <x:c r="B181" t="str">
        <x:v>2026-09-26-canonical-codes</x:v>
      </x:c>
      <x:c r="C181" t="str">
        <x:v>ja</x:v>
      </x:c>
      <x:c r="D181" t="str">
        <x:v>Golden Sky, Silvery Ocean</x:v>
      </x:c>
      <x:c r="E181" t="str">
        <x:v>Catalogue code</x:v>
      </x:c>
      <x:c r="F181" t="str">
        <x:v>PCG4</x:v>
      </x:c>
      <x:c r="G181" t="str">
        <x:v>official_or_established</x:v>
      </x:c>
      <x:c r="H181" t="str">
        <x:v>https://bulbapedia.bulbagarden.net/wiki/List_of_Japanese_TCG_Expansions</x:v>
      </x:c>
      <x:c r="I181" t="str">
        <x:v>ja; canonical/database identifier</x:v>
      </x:c>
      <x:c r="J181" t="str">
        <x:v>Series designator; PCG main expansion no. 4</x:v>
      </x:c>
      <x:c r="K181" t="str">
        <x:v>ja-9dd6c248531c</x:v>
      </x:c>
      <x:c r="L181" t="str">
        <x:v>set_code</x:v>
      </x:c>
    </x:row>
    <x:row r="182">
      <x:c r="A182" t="str">
        <x:v>CAN-46e3896e0984</x:v>
      </x:c>
      <x:c r="B182" t="str">
        <x:v>2026-09-26-canonical-codes</x:v>
      </x:c>
      <x:c r="C182" t="str">
        <x:v>ja</x:v>
      </x:c>
      <x:c r="D182" t="str">
        <x:v>Mirage Forest</x:v>
      </x:c>
      <x:c r="E182" t="str">
        <x:v>Catalogue code</x:v>
      </x:c>
      <x:c r="F182" t="str">
        <x:v>PCG5</x:v>
      </x:c>
      <x:c r="G182" t="str">
        <x:v>official_or_established</x:v>
      </x:c>
      <x:c r="H182" t="str">
        <x:v>https://bulbapedia.bulbagarden.net/wiki/List_of_Japanese_TCG_Expansions</x:v>
      </x:c>
      <x:c r="I182" t="str">
        <x:v>ja; canonical/database identifier</x:v>
      </x:c>
      <x:c r="J182" t="str">
        <x:v>Series designator; PCG main expansion no. 5</x:v>
      </x:c>
      <x:c r="K182" t="str">
        <x:v>ja-9b8346044725</x:v>
      </x:c>
      <x:c r="L182" t="str">
        <x:v>set_code</x:v>
      </x:c>
    </x:row>
    <x:row r="183">
      <x:c r="A183" t="str">
        <x:v>CAN-e99c62a36a01</x:v>
      </x:c>
      <x:c r="B183" t="str">
        <x:v>2026-09-26-canonical-codes</x:v>
      </x:c>
      <x:c r="C183" t="str">
        <x:v>ja</x:v>
      </x:c>
      <x:c r="D183" t="str">
        <x:v>Holon Research Tower</x:v>
      </x:c>
      <x:c r="E183" t="str">
        <x:v>Catalogue code</x:v>
      </x:c>
      <x:c r="F183" t="str">
        <x:v>PCG6</x:v>
      </x:c>
      <x:c r="G183" t="str">
        <x:v>official_or_established</x:v>
      </x:c>
      <x:c r="H183" t="str">
        <x:v>https://bulbapedia.bulbagarden.net/wiki/List_of_Japanese_TCG_Expansions</x:v>
      </x:c>
      <x:c r="I183" t="str">
        <x:v>ja; canonical/database identifier</x:v>
      </x:c>
      <x:c r="J183" t="str">
        <x:v>Series designator; PCG main expansion no. 6</x:v>
      </x:c>
      <x:c r="K183" t="str">
        <x:v>ja-575fbe513ad9</x:v>
      </x:c>
      <x:c r="L183" t="str">
        <x:v>set_code</x:v>
      </x:c>
    </x:row>
    <x:row r="184">
      <x:c r="A184" t="str">
        <x:v>CAN-ac999e9cf797</x:v>
      </x:c>
      <x:c r="B184" t="str">
        <x:v>2026-09-26-canonical-codes</x:v>
      </x:c>
      <x:c r="C184" t="str">
        <x:v>ja</x:v>
      </x:c>
      <x:c r="D184" t="str">
        <x:v>Holon Phantom</x:v>
      </x:c>
      <x:c r="E184" t="str">
        <x:v>Catalogue code</x:v>
      </x:c>
      <x:c r="F184" t="str">
        <x:v>PCG7</x:v>
      </x:c>
      <x:c r="G184" t="str">
        <x:v>official_or_established</x:v>
      </x:c>
      <x:c r="H184" t="str">
        <x:v>https://bulbapedia.bulbagarden.net/wiki/List_of_Japanese_TCG_Expansions</x:v>
      </x:c>
      <x:c r="I184" t="str">
        <x:v>ja; canonical/database identifier</x:v>
      </x:c>
      <x:c r="J184" t="str">
        <x:v>Series designator; PCG main expansion no. 7</x:v>
      </x:c>
      <x:c r="K184" t="str">
        <x:v>ja-ee699b245332</x:v>
      </x:c>
      <x:c r="L184" t="str">
        <x:v>set_code</x:v>
      </x:c>
    </x:row>
    <x:row r="185">
      <x:c r="A185" t="str">
        <x:v>CAN-94128201f30e</x:v>
      </x:c>
      <x:c r="B185" t="str">
        <x:v>2026-09-26-canonical-codes</x:v>
      </x:c>
      <x:c r="C185" t="str">
        <x:v>ja</x:v>
      </x:c>
      <x:c r="D185" t="str">
        <x:v>Miracle Crystal</x:v>
      </x:c>
      <x:c r="E185" t="str">
        <x:v>Catalogue code</x:v>
      </x:c>
      <x:c r="F185" t="str">
        <x:v>PCG8</x:v>
      </x:c>
      <x:c r="G185" t="str">
        <x:v>official_or_established</x:v>
      </x:c>
      <x:c r="H185" t="str">
        <x:v>https://bulbapedia.bulbagarden.net/wiki/List_of_Japanese_TCG_Expansions</x:v>
      </x:c>
      <x:c r="I185" t="str">
        <x:v>ja; canonical/database identifier</x:v>
      </x:c>
      <x:c r="J185" t="str">
        <x:v>Series designator; PCG main expansion no. 8</x:v>
      </x:c>
      <x:c r="K185" t="str">
        <x:v>ja-18798a4981e5</x:v>
      </x:c>
      <x:c r="L185" t="str">
        <x:v>set_code</x:v>
      </x:c>
    </x:row>
    <x:row r="186">
      <x:c r="A186" t="str">
        <x:v>CAN-c7cf42bffda9</x:v>
      </x:c>
      <x:c r="B186" t="str">
        <x:v>2026-09-26-canonical-codes</x:v>
      </x:c>
      <x:c r="C186" t="str">
        <x:v>ja</x:v>
      </x:c>
      <x:c r="D186" t="str">
        <x:v>Offense and Defense of the Furthest Ends</x:v>
      </x:c>
      <x:c r="E186" t="str">
        <x:v>Catalogue code</x:v>
      </x:c>
      <x:c r="F186" t="str">
        <x:v>PCG9</x:v>
      </x:c>
      <x:c r="G186" t="str">
        <x:v>official_or_established</x:v>
      </x:c>
      <x:c r="H186" t="str">
        <x:v>https://bulbapedia.bulbagarden.net/wiki/List_of_Japanese_TCG_Expansions</x:v>
      </x:c>
      <x:c r="I186" t="str">
        <x:v>ja; canonical/database identifier</x:v>
      </x:c>
      <x:c r="J186" t="str">
        <x:v>Series designator; PCG main expansion no. 9</x:v>
      </x:c>
      <x:c r="K186" t="str">
        <x:v>ja-8052362cd40f</x:v>
      </x:c>
      <x:c r="L186" t="str">
        <x:v>set_code</x:v>
      </x:c>
    </x:row>
    <x:row r="187">
      <x:c r="A187" t="str">
        <x:v>CAN-f4d42fde5a9b</x:v>
      </x:c>
      <x:c r="B187" t="str">
        <x:v>2026-09-26-canonical-codes</x:v>
      </x:c>
      <x:c r="C187" t="str">
        <x:v>ja</x:v>
      </x:c>
      <x:c r="D187" t="str">
        <x:v>Space-Time Creation: Diamond Collection</x:v>
      </x:c>
      <x:c r="E187" t="str">
        <x:v>Catalogue code</x:v>
      </x:c>
      <x:c r="F187" t="str">
        <x:v>DP1-D</x:v>
      </x:c>
      <x:c r="G187" t="str">
        <x:v>internal_alias</x:v>
      </x:c>
      <x:c r="H187" t="str">
        <x:v>https://bulbapedia.bulbagarden.net/wiki/List_of_Japanese_TCG_Expansions</x:v>
      </x:c>
      <x:c r="I187" t="str">
        <x:v>ja; canonical/database identifier</x:v>
      </x:c>
      <x:c r="J187" t="str">
        <x:v>Stackr disambiguated code; one half of Japanese DP main expansion no. 1</x:v>
      </x:c>
      <x:c r="K187" t="str">
        <x:v>ja-ac539985be33</x:v>
      </x:c>
      <x:c r="L187" t="str">
        <x:v>set_code</x:v>
      </x:c>
    </x:row>
    <x:row r="188">
      <x:c r="A188" t="str">
        <x:v>CAN-95a7fe15f60d</x:v>
      </x:c>
      <x:c r="B188" t="str">
        <x:v>2026-09-26-canonical-codes</x:v>
      </x:c>
      <x:c r="C188" t="str">
        <x:v>ja</x:v>
      </x:c>
      <x:c r="D188" t="str">
        <x:v>Space-Time Creation: Pearl Collection</x:v>
      </x:c>
      <x:c r="E188" t="str">
        <x:v>Catalogue code</x:v>
      </x:c>
      <x:c r="F188" t="str">
        <x:v>DP1-P</x:v>
      </x:c>
      <x:c r="G188" t="str">
        <x:v>internal_alias</x:v>
      </x:c>
      <x:c r="H188" t="str">
        <x:v>https://bulbapedia.bulbagarden.net/wiki/List_of_Japanese_TCG_Expansions</x:v>
      </x:c>
      <x:c r="I188" t="str">
        <x:v>ja; canonical/database identifier</x:v>
      </x:c>
      <x:c r="J188" t="str">
        <x:v>Stackr disambiguated code; one half of Japanese DP main expansion no. 1</x:v>
      </x:c>
      <x:c r="K188" t="str">
        <x:v>ja-88bfb2a6b618</x:v>
      </x:c>
      <x:c r="L188" t="str">
        <x:v>set_code</x:v>
      </x:c>
    </x:row>
    <x:row r="189">
      <x:c r="A189" t="str">
        <x:v>CAN-492231c280a8</x:v>
      </x:c>
      <x:c r="B189" t="str">
        <x:v>2026-09-26-canonical-codes</x:v>
      </x:c>
      <x:c r="C189" t="str">
        <x:v>ja</x:v>
      </x:c>
      <x:c r="D189" t="str">
        <x:v>Secret of the Lakes</x:v>
      </x:c>
      <x:c r="E189" t="str">
        <x:v>Catalogue code</x:v>
      </x:c>
      <x:c r="F189" t="str">
        <x:v>DP2</x:v>
      </x:c>
      <x:c r="G189" t="str">
        <x:v>official_or_established</x:v>
      </x:c>
      <x:c r="H189" t="str">
        <x:v>https://bulbapedia.bulbagarden.net/wiki/List_of_Japanese_TCG_Expansions</x:v>
      </x:c>
      <x:c r="I189" t="str">
        <x:v>ja; canonical/database identifier</x:v>
      </x:c>
      <x:c r="J189" t="str">
        <x:v>Series designator; DP main expansion no. 2</x:v>
      </x:c>
      <x:c r="K189" t="str">
        <x:v>ja-e5de102d35c9</x:v>
      </x:c>
      <x:c r="L189" t="str">
        <x:v>set_code</x:v>
      </x:c>
    </x:row>
    <x:row r="190">
      <x:c r="A190" t="str">
        <x:v>CAN-0e0bd1087a11</x:v>
      </x:c>
      <x:c r="B190" t="str">
        <x:v>2026-09-26-canonical-codes</x:v>
      </x:c>
      <x:c r="C190" t="str">
        <x:v>ja</x:v>
      </x:c>
      <x:c r="D190" t="str">
        <x:v>Shining Darkness</x:v>
      </x:c>
      <x:c r="E190" t="str">
        <x:v>Catalogue code</x:v>
      </x:c>
      <x:c r="F190" t="str">
        <x:v>DP3</x:v>
      </x:c>
      <x:c r="G190" t="str">
        <x:v>official_or_established</x:v>
      </x:c>
      <x:c r="H190" t="str">
        <x:v>https://bulbapedia.bulbagarden.net/wiki/List_of_Japanese_TCG_Expansions</x:v>
      </x:c>
      <x:c r="I190" t="str">
        <x:v>ja; canonical/database identifier</x:v>
      </x:c>
      <x:c r="J190" t="str">
        <x:v>Series designator; DP main expansion no. 3</x:v>
      </x:c>
      <x:c r="K190" t="str">
        <x:v>ja-9f086f3cb6b7</x:v>
      </x:c>
      <x:c r="L190" t="str">
        <x:v>set_code</x:v>
      </x:c>
    </x:row>
    <x:row r="191">
      <x:c r="A191" t="str">
        <x:v>CAN-37a755547ad3</x:v>
      </x:c>
      <x:c r="B191" t="str">
        <x:v>2026-09-26-canonical-codes</x:v>
      </x:c>
      <x:c r="C191" t="str">
        <x:v>ja</x:v>
      </x:c>
      <x:c r="D191" t="str">
        <x:v>World Champions Pack</x:v>
      </x:c>
      <x:c r="E191" t="str">
        <x:v>Catalogue code</x:v>
      </x:c>
      <x:c r="F191" t="str">
        <x:v>PCG10</x:v>
      </x:c>
      <x:c r="G191" t="str">
        <x:v>official_or_established</x:v>
      </x:c>
      <x:c r="H191" t="str">
        <x:v>https://bulbapedia.bulbagarden.net/wiki/List_of_Japanese_TCG_Expansions</x:v>
      </x:c>
      <x:c r="I191" t="str">
        <x:v>ja; canonical/database identifier</x:v>
      </x:c>
      <x:c r="J191" t="str">
        <x:v>Series designator; PCG main expansion no. 10</x:v>
      </x:c>
      <x:c r="K191" t="str">
        <x:v>ja-f9484ea5a0db</x:v>
      </x:c>
      <x:c r="L191" t="str">
        <x:v>set_code</x:v>
      </x:c>
    </x:row>
    <x:row r="192">
      <x:c r="A192" t="str">
        <x:v>CAN-88e7b911ac69</x:v>
      </x:c>
      <x:c r="B192" t="str">
        <x:v>2026-09-26-canonical-codes</x:v>
      </x:c>
      <x:c r="C192" t="str">
        <x:v>ja</x:v>
      </x:c>
      <x:c r="D192" t="str">
        <x:v>Dawn Dash</x:v>
      </x:c>
      <x:c r="E192" t="str">
        <x:v>Catalogue code</x:v>
      </x:c>
      <x:c r="F192" t="str">
        <x:v>DP4-Dawn</x:v>
      </x:c>
      <x:c r="G192" t="str">
        <x:v>internal_alias</x:v>
      </x:c>
      <x:c r="H192" t="str">
        <x:v>https://bulbapedia.bulbagarden.net/wiki/List_of_Japanese_TCG_Expansions</x:v>
      </x:c>
      <x:c r="I192" t="str">
        <x:v>ja; canonical/database identifier</x:v>
      </x:c>
      <x:c r="J192" t="str">
        <x:v>Stackr disambiguated code; one half of Japanese DP main expansion no. 4</x:v>
      </x:c>
      <x:c r="K192" t="str">
        <x:v>ja-55740d850232</x:v>
      </x:c>
      <x:c r="L192" t="str">
        <x:v>set_code</x:v>
      </x:c>
    </x:row>
    <x:row r="193">
      <x:c r="A193" t="str">
        <x:v>CAN-53e4c5d25a2c</x:v>
      </x:c>
      <x:c r="B193" t="str">
        <x:v>2026-09-26-canonical-codes</x:v>
      </x:c>
      <x:c r="C193" t="str">
        <x:v>ja</x:v>
      </x:c>
      <x:c r="D193" t="str">
        <x:v>Moonlit Pursuit</x:v>
      </x:c>
      <x:c r="E193" t="str">
        <x:v>Catalogue code</x:v>
      </x:c>
      <x:c r="F193" t="str">
        <x:v>DP4-Moon</x:v>
      </x:c>
      <x:c r="G193" t="str">
        <x:v>internal_alias</x:v>
      </x:c>
      <x:c r="H193" t="str">
        <x:v>https://bulbapedia.bulbagarden.net/wiki/List_of_Japanese_TCG_Expansions</x:v>
      </x:c>
      <x:c r="I193" t="str">
        <x:v>ja; canonical/database identifier</x:v>
      </x:c>
      <x:c r="J193" t="str">
        <x:v>Stackr disambiguated code; one half of Japanese DP main expansion no. 4</x:v>
      </x:c>
      <x:c r="K193" t="str">
        <x:v>ja-366d4a2e5f45</x:v>
      </x:c>
      <x:c r="L193" t="str">
        <x:v>set_code</x:v>
      </x:c>
    </x:row>
    <x:row r="194">
      <x:c r="A194" t="str">
        <x:v>CAN-e173a9fa71c9</x:v>
      </x:c>
      <x:c r="B194" t="str">
        <x:v>2026-09-26-canonical-codes</x:v>
      </x:c>
      <x:c r="C194" t="str">
        <x:v>ja</x:v>
      </x:c>
      <x:c r="D194" t="str">
        <x:v>Cry from the Mysterious</x:v>
      </x:c>
      <x:c r="E194" t="str">
        <x:v>Catalogue code</x:v>
      </x:c>
      <x:c r="F194" t="str">
        <x:v>DP5-Cry</x:v>
      </x:c>
      <x:c r="G194" t="str">
        <x:v>internal_alias</x:v>
      </x:c>
      <x:c r="H194" t="str">
        <x:v>https://bulbapedia.bulbagarden.net/wiki/List_of_Japanese_TCG_Expansions</x:v>
      </x:c>
      <x:c r="I194" t="str">
        <x:v>ja; canonical/database identifier</x:v>
      </x:c>
      <x:c r="J194" t="str">
        <x:v>Stackr disambiguated code; one half of Japanese DP main expansion no. 5</x:v>
      </x:c>
      <x:c r="K194" t="str">
        <x:v>ja-f2ff12dfa982</x:v>
      </x:c>
      <x:c r="L194" t="str">
        <x:v>set_code</x:v>
      </x:c>
    </x:row>
    <x:row r="195">
      <x:c r="A195" t="str">
        <x:v>CAN-e7a239f9630a</x:v>
      </x:c>
      <x:c r="B195" t="str">
        <x:v>2026-09-26-canonical-codes</x:v>
      </x:c>
      <x:c r="C195" t="str">
        <x:v>ja</x:v>
      </x:c>
      <x:c r="D195" t="str">
        <x:v>Temple of Anger</x:v>
      </x:c>
      <x:c r="E195" t="str">
        <x:v>Catalogue code</x:v>
      </x:c>
      <x:c r="F195" t="str">
        <x:v>DP5-Temple</x:v>
      </x:c>
      <x:c r="G195" t="str">
        <x:v>internal_alias</x:v>
      </x:c>
      <x:c r="H195" t="str">
        <x:v>https://bulbapedia.bulbagarden.net/wiki/List_of_Japanese_TCG_Expansions</x:v>
      </x:c>
      <x:c r="I195" t="str">
        <x:v>ja; canonical/database identifier</x:v>
      </x:c>
      <x:c r="J195" t="str">
        <x:v>Stackr disambiguated code; one half of Japanese DP main expansion no. 5</x:v>
      </x:c>
      <x:c r="K195" t="str">
        <x:v>ja-c285050d1f0d</x:v>
      </x:c>
      <x:c r="L195" t="str">
        <x:v>set_code</x:v>
      </x:c>
    </x:row>
    <x:row r="196">
      <x:c r="A196" t="str">
        <x:v>CAN-b099bd9fbf72</x:v>
      </x:c>
      <x:c r="B196" t="str">
        <x:v>2026-09-26-canonical-codes</x:v>
      </x:c>
      <x:c r="C196" t="str">
        <x:v>ja</x:v>
      </x:c>
      <x:c r="D196" t="str">
        <x:v>Intense Fight in the Destroyed Sky</x:v>
      </x:c>
      <x:c r="E196" t="str">
        <x:v>Catalogue code</x:v>
      </x:c>
      <x:c r="F196" t="str">
        <x:v>DP6</x:v>
      </x:c>
      <x:c r="G196" t="str">
        <x:v>official_or_established</x:v>
      </x:c>
      <x:c r="H196" t="str">
        <x:v>https://bulbapedia.bulbagarden.net/wiki/List_of_Japanese_TCG_Expansions</x:v>
      </x:c>
      <x:c r="I196" t="str">
        <x:v>ja; canonical/database identifier</x:v>
      </x:c>
      <x:c r="J196" t="str">
        <x:v>Series designator; DP main expansion no. 6</x:v>
      </x:c>
      <x:c r="K196" t="str">
        <x:v>ja-36bd2d9bbb54</x:v>
      </x:c>
      <x:c r="L196" t="str">
        <x:v>set_code</x:v>
      </x:c>
    </x:row>
    <x:row r="197">
      <x:c r="A197" t="str">
        <x:v>CAN-4e8c9cb6f9dc</x:v>
      </x:c>
      <x:c r="B197" t="str">
        <x:v>2026-09-26-canonical-codes</x:v>
      </x:c>
      <x:c r="C197" t="str">
        <x:v>ja</x:v>
      </x:c>
      <x:c r="D197" t="str">
        <x:v>HeartGold Collection</x:v>
      </x:c>
      <x:c r="E197" t="str">
        <x:v>Catalogue code</x:v>
      </x:c>
      <x:c r="F197" t="str">
        <x:v>L1a</x:v>
      </x:c>
      <x:c r="G197" t="str">
        <x:v>official_or_established</x:v>
      </x:c>
      <x:c r="H197" t="str">
        <x:v>https://bulbapedia.bulbagarden.net/wiki/List_of_Japanese_TCG_Expansions</x:v>
      </x:c>
      <x:c r="I197" t="str">
        <x:v>ja; canonical/database identifier</x:v>
      </x:c>
      <x:c r="J197" t="str">
        <x:v>Established Japanese series designator</x:v>
      </x:c>
      <x:c r="K197" t="str">
        <x:v>ja-47b20ad63664</x:v>
      </x:c>
      <x:c r="L197" t="str">
        <x:v>set_code</x:v>
      </x:c>
    </x:row>
    <x:row r="198">
      <x:c r="A198" t="str">
        <x:v>CAN-8d5b679cc23f</x:v>
      </x:c>
      <x:c r="B198" t="str">
        <x:v>2026-09-26-canonical-codes</x:v>
      </x:c>
      <x:c r="C198" t="str">
        <x:v>ja</x:v>
      </x:c>
      <x:c r="D198" t="str">
        <x:v>SoulSilver Collection</x:v>
      </x:c>
      <x:c r="E198" t="str">
        <x:v>Catalogue code</x:v>
      </x:c>
      <x:c r="F198" t="str">
        <x:v>L1b</x:v>
      </x:c>
      <x:c r="G198" t="str">
        <x:v>official_or_established</x:v>
      </x:c>
      <x:c r="H198" t="str">
        <x:v>https://bulbapedia.bulbagarden.net/wiki/List_of_Japanese_TCG_Expansions</x:v>
      </x:c>
      <x:c r="I198" t="str">
        <x:v>ja; canonical/database identifier</x:v>
      </x:c>
      <x:c r="J198" t="str">
        <x:v>Established Japanese series designator</x:v>
      </x:c>
      <x:c r="K198" t="str">
        <x:v>ja-d1b8743147a9</x:v>
      </x:c>
      <x:c r="L198" t="str">
        <x:v>set_code</x:v>
      </x:c>
    </x:row>
    <x:row r="199">
      <x:c r="A199" t="str">
        <x:v>CAN-8f9de96d05fd</x:v>
      </x:c>
      <x:c r="B199" t="str">
        <x:v>2026-09-26-canonical-codes</x:v>
      </x:c>
      <x:c r="C199" t="str">
        <x:v>zh-TW</x:v>
      </x:c>
      <x:c r="D199" t="str">
        <x:v>Double ex Start Deck Generations</x:v>
      </x:c>
      <x:c r="E199" t="str">
        <x:v>Catalogue code</x:v>
      </x:c>
      <x:c r="F199" t="str">
        <x:v>TW-SVC</x:v>
      </x:c>
      <x:c r="G199" t="str">
        <x:v>official_or_established</x:v>
      </x:c>
      <x:c r="H199" t="str"/>
      <x:c r="I199" t="str">
        <x:v>zh-TW; canonical/database identifier</x:v>
      </x:c>
      <x:c r="J199" t="str">
        <x:v>Stackr internal inventory alias; based on SVC family shorthand; not asserted as an official printed code</x:v>
      </x:c>
      <x:c r="K199" t="str">
        <x:v>zh-TW-88100117b37e</x:v>
      </x:c>
      <x:c r="L199" t="str">
        <x:v>set_code</x:v>
      </x:c>
    </x:row>
    <x:row r="200">
      <x:c r="A200" t="str">
        <x:v>CAN-86b35bdf9d0c</x:v>
      </x:c>
      <x:c r="B200" t="str">
        <x:v>2026-09-26-canonical-codes</x:v>
      </x:c>
      <x:c r="C200" t="str">
        <x:v>zh-TW</x:v>
      </x:c>
      <x:c r="D200" t="str">
        <x:v>Challenge Deck: Marnie's Morpeko &amp; Grimmsnarl ex</x:v>
      </x:c>
      <x:c r="E200" t="str">
        <x:v>Catalogue code</x:v>
      </x:c>
      <x:c r="F200" t="str">
        <x:v>TW-SVF-M</x:v>
      </x:c>
      <x:c r="G200" t="str">
        <x:v>official_or_established</x:v>
      </x:c>
      <x:c r="H200" t="str"/>
      <x:c r="I200" t="str">
        <x:v>zh-TW; canonical/database identifier</x:v>
      </x:c>
      <x:c r="J200" t="str">
        <x:v>Stackr internal inventory alias; Marnie challenge-deck shorthand; not asserted as an official printed code</x:v>
      </x:c>
      <x:c r="K200" t="str">
        <x:v>zh-TW-15f40046e9ad</x:v>
      </x:c>
      <x:c r="L200" t="str">
        <x:v>set_code</x:v>
      </x:c>
    </x:row>
    <x:row r="201">
      <x:c r="A201" t="str">
        <x:v>CAN-ce0dc78652dc</x:v>
      </x:c>
      <x:c r="B201" t="str">
        <x:v>2026-09-26-canonical-codes</x:v>
      </x:c>
      <x:c r="C201" t="str">
        <x:v>zh-TW</x:v>
      </x:c>
      <x:c r="D201" t="str">
        <x:v>Challenge Deck: Steven's Beldum &amp; Metagross ex</x:v>
      </x:c>
      <x:c r="E201" t="str">
        <x:v>Catalogue code</x:v>
      </x:c>
      <x:c r="F201" t="str">
        <x:v>TW-SVF-S</x:v>
      </x:c>
      <x:c r="G201" t="str">
        <x:v>official_or_established</x:v>
      </x:c>
      <x:c r="H201" t="str"/>
      <x:c r="I201" t="str">
        <x:v>zh-TW; canonical/database identifier</x:v>
      </x:c>
      <x:c r="J201" t="str">
        <x:v>Stackr internal inventory alias; Steven challenge-deck shorthand; not asserted as an official printed code</x:v>
      </x:c>
      <x:c r="K201" t="str">
        <x:v>zh-TW-2ffb668f198e</x:v>
      </x:c>
      <x:c r="L201" t="str">
        <x:v>set_code</x:v>
      </x:c>
    </x:row>
    <x:row r="202">
      <x:c r="A202" t="str">
        <x:v>CAN-553a6cc2bde7</x:v>
      </x:c>
      <x:c r="B202" t="str">
        <x:v>2026-09-26-canonical-codes</x:v>
      </x:c>
      <x:c r="C202" t="str">
        <x:v>zh-TW</x:v>
      </x:c>
      <x:c r="D202" t="str">
        <x:v>Hot Wind Arena</x:v>
      </x:c>
      <x:c r="E202" t="str">
        <x:v>Catalogue code</x:v>
      </x:c>
      <x:c r="F202" t="str">
        <x:v>TW-SV9a</x:v>
      </x:c>
      <x:c r="G202" t="str">
        <x:v>official_or_established</x:v>
      </x:c>
      <x:c r="H202" t="str"/>
      <x:c r="I202" t="str">
        <x:v>zh-TW; canonical/database identifier</x:v>
      </x:c>
      <x:c r="J202" t="str">
        <x:v>Stackr language-qualified series alias aligned to Hot Wind Arena / Japanese SV9a; not asserted as an official Taiwan printed code</x:v>
      </x:c>
      <x:c r="K202" t="str">
        <x:v>zh-TW-974fa735782e</x:v>
      </x:c>
      <x:c r="L202" t="str">
        <x:v>set_code</x:v>
      </x:c>
    </x:row>
    <x:row r="203">
      <x:c r="A203" t="str">
        <x:v>CAN-c4dc10ceabf9</x:v>
      </x:c>
      <x:c r="B203" t="str">
        <x:v>2026-09-26-canonical-codes</x:v>
      </x:c>
      <x:c r="C203" t="str">
        <x:v>zh-TW</x:v>
      </x:c>
      <x:c r="D203" t="str">
        <x:v>Black Bolt</x:v>
      </x:c>
      <x:c r="E203" t="str">
        <x:v>Catalogue code</x:v>
      </x:c>
      <x:c r="F203" t="str">
        <x:v>TW-SV11B</x:v>
      </x:c>
      <x:c r="G203" t="str">
        <x:v>official_or_established</x:v>
      </x:c>
      <x:c r="H203" t="str"/>
      <x:c r="I203" t="str">
        <x:v>zh-TW; canonical/database identifier</x:v>
      </x:c>
      <x:c r="J203" t="str">
        <x:v>Stackr language-qualified series alias aligned to Black Bolt / Japanese SV11B; not asserted as an official Taiwan printed code</x:v>
      </x:c>
      <x:c r="K203" t="str">
        <x:v>zh-TW-77c7643aa5ed</x:v>
      </x:c>
      <x:c r="L203" t="str">
        <x:v>set_code</x:v>
      </x:c>
    </x:row>
    <x:row r="204">
      <x:c r="A204" t="str">
        <x:v>CAN-500f31eb8fb5</x:v>
      </x:c>
      <x:c r="B204" t="str">
        <x:v>2026-09-26-canonical-codes</x:v>
      </x:c>
      <x:c r="C204" t="str">
        <x:v>zh-TW</x:v>
      </x:c>
      <x:c r="D204" t="str">
        <x:v>Start Deck 100 Battle Collection</x:v>
      </x:c>
      <x:c r="E204" t="str">
        <x:v>Catalogue code</x:v>
      </x:c>
      <x:c r="F204" t="str">
        <x:v>TW-SD100-BC</x:v>
      </x:c>
      <x:c r="G204" t="str">
        <x:v>official_or_established</x:v>
      </x:c>
      <x:c r="H204" t="str"/>
      <x:c r="I204" t="str">
        <x:v>zh-TW; canonical/database identifier</x:v>
      </x:c>
      <x:c r="J204" t="str">
        <x:v>Stackr internal inventory alias for Start Deck 100 Battle Collection; avoids unsupported official-code claim</x:v>
      </x:c>
      <x:c r="K204" t="str">
        <x:v>zh-TW-3fe2b38c6ebe</x:v>
      </x:c>
      <x:c r="L204" t="str">
        <x:v>set_code</x:v>
      </x:c>
    </x:row>
    <x:row r="205">
      <x:c r="A205" t="str">
        <x:v>CAN-8042b8c6a91e</x:v>
      </x:c>
      <x:c r="B205" t="str">
        <x:v>2026-09-26-canonical-codes</x:v>
      </x:c>
      <x:c r="C205" t="str">
        <x:v>zh-TW</x:v>
      </x:c>
      <x:c r="D205" t="str">
        <x:v>New Trainer Journey</x:v>
      </x:c>
      <x:c r="E205" t="str">
        <x:v>Catalogue code</x:v>
      </x:c>
      <x:c r="F205" t="str">
        <x:v>TW-NTJ</x:v>
      </x:c>
      <x:c r="G205" t="str">
        <x:v>official_or_established</x:v>
      </x:c>
      <x:c r="H205" t="str"/>
      <x:c r="I205" t="str">
        <x:v>zh-TW; canonical/database identifier</x:v>
      </x:c>
      <x:c r="J205" t="str">
        <x:v>Stackr internal inventory alias derived from product title; not asserted as an official printed code</x:v>
      </x:c>
      <x:c r="K205" t="str">
        <x:v>zh-TW-9c9e4a7b4d38</x:v>
      </x:c>
      <x:c r="L205" t="str">
        <x:v>set_code</x:v>
      </x:c>
    </x:row>
    <x:row r="206">
      <x:c r="A206" t="str">
        <x:v>CAN-1f8fa838f7ee</x:v>
      </x:c>
      <x:c r="B206" t="str">
        <x:v>2026-09-26-canonical-codes</x:v>
      </x:c>
      <x:c r="C206" t="str">
        <x:v>zh-TW</x:v>
      </x:c>
      <x:c r="D206" t="str">
        <x:v>Tactical Deck: Mega Gardevoir ex</x:v>
      </x:c>
      <x:c r="E206" t="str">
        <x:v>Catalogue code</x:v>
      </x:c>
      <x:c r="F206" t="str">
        <x:v>TW-MGEX-G</x:v>
      </x:c>
      <x:c r="G206" t="str">
        <x:v>official_or_established</x:v>
      </x:c>
      <x:c r="H206" t="str"/>
      <x:c r="I206" t="str">
        <x:v>zh-TW; canonical/database identifier</x:v>
      </x:c>
      <x:c r="J206" t="str">
        <x:v>Stackr internal inventory alias for Mega Gardevoir ex tactical deck; not asserted as an official printed code</x:v>
      </x:c>
      <x:c r="K206" t="str">
        <x:v>zh-TW-157f7b2ae355</x:v>
      </x:c>
      <x:c r="L206" t="str">
        <x:v>set_code</x:v>
      </x:c>
    </x:row>
    <x:row r="207">
      <x:c r="A207" t="str">
        <x:v>CAN-6b86390f94e3</x:v>
      </x:c>
      <x:c r="B207" t="str">
        <x:v>2026-09-26-canonical-codes</x:v>
      </x:c>
      <x:c r="C207" t="str">
        <x:v>zh-TW</x:v>
      </x:c>
      <x:c r="D207" t="str">
        <x:v>Tactical Deck: Mega Sharpedo ex</x:v>
      </x:c>
      <x:c r="E207" t="str">
        <x:v>Catalogue code</x:v>
      </x:c>
      <x:c r="F207" t="str">
        <x:v>TW-MGEX-S</x:v>
      </x:c>
      <x:c r="G207" t="str">
        <x:v>official_or_established</x:v>
      </x:c>
      <x:c r="H207" t="str"/>
      <x:c r="I207" t="str">
        <x:v>zh-TW; canonical/database identifier</x:v>
      </x:c>
      <x:c r="J207" t="str">
        <x:v>Stackr internal inventory alias for Mega Sharpedo ex tactical deck; not asserted as an official printed code</x:v>
      </x:c>
      <x:c r="K207" t="str">
        <x:v>zh-TW-945a283ffa50</x:v>
      </x:c>
      <x:c r="L207" t="str">
        <x:v>set_code</x:v>
      </x:c>
    </x:row>
    <x:row r="208">
      <x:c r="A208" t="str">
        <x:v>CAN-0cef979f1d55</x:v>
      </x:c>
      <x:c r="B208" t="str">
        <x:v>2026-09-26-canonical-codes</x:v>
      </x:c>
      <x:c r="C208" t="str">
        <x:v>zh-TW</x:v>
      </x:c>
      <x:c r="D208" t="str">
        <x:v>Premium Deck Set: Espeon &amp; Umbreon</x:v>
      </x:c>
      <x:c r="E208" t="str">
        <x:v>Catalogue code</x:v>
      </x:c>
      <x:c r="F208" t="str">
        <x:v>TW-PDS-EU</x:v>
      </x:c>
      <x:c r="G208" t="str">
        <x:v>official_or_established</x:v>
      </x:c>
      <x:c r="H208" t="str"/>
      <x:c r="I208" t="str">
        <x:v>zh-TW; canonical/database identifier</x:v>
      </x:c>
      <x:c r="J208" t="str">
        <x:v>Stackr internal inventory alias for Espeon &amp; Umbreon premium deck set; not asserted as an official printed code</x:v>
      </x:c>
      <x:c r="K208" t="str">
        <x:v>zh-TW-9c14d01812fd</x:v>
      </x:c>
      <x:c r="L208" t="str">
        <x:v>set_code</x:v>
      </x:c>
    </x:row>
    <x:row r="209">
      <x:c r="A209" t="str">
        <x:v>CAN-be4ff46b492a</x:v>
      </x:c>
      <x:c r="B209" t="str">
        <x:v>2026-09-26-canonical-codes</x:v>
      </x:c>
      <x:c r="C209" t="str">
        <x:v>zh-CN</x:v>
      </x:c>
      <x:c r="D209" t="str">
        <x:v>Collection 151 — shared numbered catalogue</x:v>
      </x:c>
      <x:c r="E209" t="str">
        <x:v>Catalogue code</x:v>
      </x:c>
      <x:c r="F209" t="str">
        <x:v>151C</x:v>
      </x:c>
      <x:c r="G209" t="str">
        <x:v>official_or_established</x:v>
      </x:c>
      <x:c r="H209" t="str">
        <x:v>https://excaliburtcg.co.uk/products ; https://www.pokemon.cn/tcg/product/15486.html</x:v>
      </x:c>
      <x:c r="I209" t="str">
        <x:v>zh-CN; canonical/database identifier</x:v>
      </x:c>
      <x:c r="J209" t="str">
        <x:v>External database family shorthand for the shared Collection 151 catalogue; official China product family verified; not asserted as a printed set mark</x:v>
      </x:c>
      <x:c r="K209" t="str">
        <x:v>zh-CN-a61ae6f4afab</x:v>
      </x:c>
      <x:c r="L209" t="str">
        <x:v>set_code</x:v>
      </x:c>
    </x:row>
    <x:row r="210">
      <x:c r="A210" t="str">
        <x:v>CAN-c74e51a58f8e</x:v>
      </x:c>
      <x:c r="B210" t="str">
        <x:v>2026-09-26-canonical-codes</x:v>
      </x:c>
      <x:c r="C210" t="str">
        <x:v>zh-CN</x:v>
      </x:c>
      <x:c r="D210" t="str">
        <x:v>Collection 151: Journey</x:v>
      </x:c>
      <x:c r="E210" t="str">
        <x:v>Catalogue code</x:v>
      </x:c>
      <x:c r="F210" t="str">
        <x:v>151C1</x:v>
      </x:c>
      <x:c r="G210" t="str">
        <x:v>official_or_established</x:v>
      </x:c>
      <x:c r="H210" t="str">
        <x:v>https://excaliburtcg.co.uk/products ; https://www.pokemon.cn/tcg/product/15688.html</x:v>
      </x:c>
      <x:c r="I210" t="str">
        <x:v>zh-CN; canonical/database identifier</x:v>
      </x:c>
      <x:c r="J210" t="str">
        <x:v>Established external database shorthand for Collection 151: Journey; official China product verified; not asserted as a printed set mark</x:v>
      </x:c>
      <x:c r="K210" t="str">
        <x:v>zh-CN-d1ae3e65a60e</x:v>
      </x:c>
      <x:c r="L210" t="str">
        <x:v>set_code</x:v>
      </x:c>
    </x:row>
    <x:row r="211">
      <x:c r="A211" t="str">
        <x:v>CAN-26e141971789</x:v>
      </x:c>
      <x:c r="B211" t="str">
        <x:v>2026-09-26-canonical-codes</x:v>
      </x:c>
      <x:c r="C211" t="str">
        <x:v>zh-CN</x:v>
      </x:c>
      <x:c r="D211" t="str">
        <x:v>Collection 151: Hope</x:v>
      </x:c>
      <x:c r="E211" t="str">
        <x:v>Catalogue code</x:v>
      </x:c>
      <x:c r="F211" t="str">
        <x:v>151C2</x:v>
      </x:c>
      <x:c r="G211" t="str">
        <x:v>official_or_established</x:v>
      </x:c>
      <x:c r="H211" t="str">
        <x:v>https://excaliburtcg.co.uk/products ; https://www.pokemon.cn/tcg/product/15541.html</x:v>
      </x:c>
      <x:c r="I211" t="str">
        <x:v>zh-CN; canonical/database identifier</x:v>
      </x:c>
      <x:c r="J211" t="str">
        <x:v>Established external database shorthand for Collection 151: Hope; official China product verified; not asserted as a printed set mark</x:v>
      </x:c>
      <x:c r="K211" t="str">
        <x:v>zh-CN-8e72634373e1</x:v>
      </x:c>
      <x:c r="L211" t="str">
        <x:v>set_code</x:v>
      </x:c>
    </x:row>
    <x:row r="212">
      <x:c r="A212" t="str">
        <x:v>CAN-45dc3f3abdb4</x:v>
      </x:c>
      <x:c r="B212" t="str">
        <x:v>2026-09-26-canonical-codes</x:v>
      </x:c>
      <x:c r="C212" t="str">
        <x:v>zh-CN</x:v>
      </x:c>
      <x:c r="D212" t="str">
        <x:v>Collection 151: Scare</x:v>
      </x:c>
      <x:c r="E212" t="str">
        <x:v>Catalogue code</x:v>
      </x:c>
      <x:c r="F212" t="str">
        <x:v>151C3</x:v>
      </x:c>
      <x:c r="G212" t="str">
        <x:v>official_or_established</x:v>
      </x:c>
      <x:c r="H212" t="str">
        <x:v>https://excaliburtcg.co.uk/products ; https://www.pokemon.cn/tcg/product/15486.html</x:v>
      </x:c>
      <x:c r="I212" t="str">
        <x:v>zh-CN; canonical/database identifier</x:v>
      </x:c>
      <x:c r="J212" t="str">
        <x:v>Established external database shorthand for Collection 151: Scare; official China product verified; not asserted as a printed set mark</x:v>
      </x:c>
      <x:c r="K212" t="str">
        <x:v>zh-CN-06deae5bed81</x:v>
      </x:c>
      <x:c r="L212" t="str">
        <x:v>set_code</x:v>
      </x:c>
    </x:row>
    <x:row r="213">
      <x:c r="A213" t="str">
        <x:v>CAN-ee7e377a66b5</x:v>
      </x:c>
      <x:c r="B213" t="str">
        <x:v>2026-09-26-canonical-codes</x:v>
      </x:c>
      <x:c r="C213" t="str">
        <x:v>zh-CN</x:v>
      </x:c>
      <x:c r="D213" t="str">
        <x:v>Collection 151: Gather</x:v>
      </x:c>
      <x:c r="E213" t="str">
        <x:v>Catalogue code</x:v>
      </x:c>
      <x:c r="F213" t="str">
        <x:v>151C4</x:v>
      </x:c>
      <x:c r="G213" t="str">
        <x:v>official_or_established</x:v>
      </x:c>
      <x:c r="H213" t="str">
        <x:v>https://excaliburtcg.co.uk/products ; https://www.pokemon.cn/tcg/product/15486.html</x:v>
      </x:c>
      <x:c r="I213" t="str">
        <x:v>zh-CN; canonical/database identifier</x:v>
      </x:c>
      <x:c r="J213" t="str">
        <x:v>Established external database shorthand for Collection 151: Gather; official China product verified; not asserted as a printed set mark</x:v>
      </x:c>
      <x:c r="K213" t="str">
        <x:v>zh-CN-18809c23b06f</x:v>
      </x:c>
      <x:c r="L213" t="str">
        <x:v>set_code</x:v>
      </x:c>
    </x:row>
    <x:row r="214">
      <x:c r="A214" t="str">
        <x:v>CAN-cbf89833705b</x:v>
      </x:c>
      <x:c r="B214" t="str">
        <x:v>2026-09-26-canonical-codes</x:v>
      </x:c>
      <x:c r="C214" t="str">
        <x:v>zh-CN</x:v>
      </x:c>
      <x:c r="D214" t="str">
        <x:v>Dynamax Clash V Starter Decks</x:v>
      </x:c>
      <x:c r="E214" t="str">
        <x:v>Catalogue code</x:v>
      </x:c>
      <x:c r="F214" t="str">
        <x:v>CS1D</x:v>
      </x:c>
      <x:c r="G214" t="str">
        <x:v>official_or_established</x:v>
      </x:c>
      <x:c r="H214" t="str">
        <x:v>https://bulbapedia.bulbagarden.net/wiki/Pok%C3%A9mon_in_mainland_China</x:v>
      </x:c>
      <x:c r="I214" t="str">
        <x:v>zh-CN; canonical/database identifier</x:v>
      </x:c>
      <x:c r="J214" t="str">
        <x:v>Established Simplified Chinese Sword &amp; Shield starter-deck set mark</x:v>
      </x:c>
      <x:c r="K214" t="str">
        <x:v>zh-CN-b9059c7402f0</x:v>
      </x:c>
      <x:c r="L214" t="str">
        <x:v>set_code</x:v>
      </x:c>
    </x:row>
    <x:row r="215">
      <x:c r="A215" t="str">
        <x:v>CAN-a024c5108f29</x:v>
      </x:c>
      <x:c r="B215" t="str">
        <x:v>2026-09-26-canonical-codes</x:v>
      </x:c>
      <x:c r="C215" t="str">
        <x:v>zh-CN</x:v>
      </x:c>
      <x:c r="D215" t="str">
        <x:v>Gallant Galaxy V Starter Decks</x:v>
      </x:c>
      <x:c r="E215" t="str">
        <x:v>Catalogue code</x:v>
      </x:c>
      <x:c r="F215" t="str">
        <x:v>CS5D</x:v>
      </x:c>
      <x:c r="G215" t="str">
        <x:v>official_or_established</x:v>
      </x:c>
      <x:c r="H215" t="str">
        <x:v>https://bulbapedia.bulbagarden.net/wiki/Pok%C3%A9mon_in_mainland_China</x:v>
      </x:c>
      <x:c r="I215" t="str">
        <x:v>zh-CN; canonical/database identifier</x:v>
      </x:c>
      <x:c r="J215" t="str">
        <x:v>Established Simplified Chinese Sword &amp; Shield starter-deck set mark</x:v>
      </x:c>
      <x:c r="K215" t="str">
        <x:v>zh-CN-754715d30142</x:v>
      </x:c>
      <x:c r="L215" t="str">
        <x:v>set_code</x:v>
      </x:c>
    </x:row>
    <x:row r="216">
      <x:c r="A216" t="str">
        <x:v>CAN-c2d15a85d7ce</x:v>
      </x:c>
      <x:c r="B216" t="str">
        <x:v>2026-09-26-canonical-codes</x:v>
      </x:c>
      <x:c r="C216" t="str">
        <x:v>zh-CN</x:v>
      </x:c>
      <x:c r="D216" t="str">
        <x:v>Pokémon Card Game Battle Academy</x:v>
      </x:c>
      <x:c r="E216" t="str">
        <x:v>Catalogue code</x:v>
      </x:c>
      <x:c r="F216" t="str">
        <x:v>CSVS</x:v>
      </x:c>
      <x:c r="G216" t="str">
        <x:v>official_or_established</x:v>
      </x:c>
      <x:c r="H216" t="str">
        <x:v>https://wiki.52poke.com/wiki/CSVS ; https://www.pokemon.cn/tcg/product/15476.html</x:v>
      </x:c>
      <x:c r="I216" t="str">
        <x:v>zh-CN; canonical/database identifier</x:v>
      </x:c>
      <x:c r="J216" t="str">
        <x:v>Established Simplified Chinese Battle Academy set code; official mainland-China product verified</x:v>
      </x:c>
      <x:c r="K216" t="str">
        <x:v>zh-CN-17407eca3331</x:v>
      </x:c>
      <x:c r="L216" t="str">
        <x:v>set_code</x:v>
      </x:c>
    </x:row>
    <x:row r="217">
      <x:c r="A217" t="str">
        <x:v>CAN-a5b12c178dcc</x:v>
      </x:c>
      <x:c r="B217" t="str">
        <x:v>2026-09-26-canonical-codes</x:v>
      </x:c>
      <x:c r="C217" t="str">
        <x:v>zh-CN</x:v>
      </x:c>
      <x:c r="D217" t="str">
        <x:v>Primordial Arts V Starter Decks</x:v>
      </x:c>
      <x:c r="E217" t="str">
        <x:v>Catalogue code</x:v>
      </x:c>
      <x:c r="F217" t="str">
        <x:v>CS3D</x:v>
      </x:c>
      <x:c r="G217" t="str">
        <x:v>official_or_established</x:v>
      </x:c>
      <x:c r="H217" t="str">
        <x:v>https://bulbapedia.bulbagarden.net/wiki/Pok%C3%A9mon_in_mainland_China</x:v>
      </x:c>
      <x:c r="I217" t="str">
        <x:v>zh-CN; canonical/database identifier</x:v>
      </x:c>
      <x:c r="J217" t="str">
        <x:v>Established Simplified Chinese Sword &amp; Shield starter-deck set mark</x:v>
      </x:c>
      <x:c r="K217" t="str">
        <x:v>zh-CN-0f55490115e0</x:v>
      </x:c>
      <x:c r="L217" t="str">
        <x:v>set_code</x:v>
      </x:c>
    </x:row>
    <x:row r="218">
      <x:c r="A218" t="str">
        <x:v>CAN-5c6c91cdc905</x:v>
      </x:c>
      <x:c r="B218" t="str">
        <x:v>2026-09-26-canonical-codes</x:v>
      </x:c>
      <x:c r="C218" t="str">
        <x:v>zh-CN</x:v>
      </x:c>
      <x:c r="D218" t="str">
        <x:v>Start Deck 100</x:v>
      </x:c>
      <x:c r="E218" t="str">
        <x:v>Catalogue code</x:v>
      </x:c>
      <x:c r="F218" t="str">
        <x:v>CS4Da</x:v>
      </x:c>
      <x:c r="G218" t="str">
        <x:v>official_or_established</x:v>
      </x:c>
      <x:c r="H218" t="str">
        <x:v>https://wiki.52poke.com/wiki/CS4Da ; https://www.pokemon.cn/tcg/product/15882.html</x:v>
      </x:c>
      <x:c r="I218" t="str">
        <x:v>zh-CN; canonical/database identifier</x:v>
      </x:c>
      <x:c r="J218" t="str">
        <x:v>Established Simplified Chinese Start Deck 100 database shorthand; official mainland-China product verified</x:v>
      </x:c>
      <x:c r="K218" t="str">
        <x:v>zh-CN-f17188026f82</x:v>
      </x:c>
      <x:c r="L218" t="str">
        <x:v>set_code</x:v>
      </x:c>
    </x:row>
    <x:row r="219">
      <x:c r="A219" t="str">
        <x:v>CAN-51ce1c1210b7</x:v>
      </x:c>
      <x:c r="B219" t="str">
        <x:v>2026-09-26-canonical-codes</x:v>
      </x:c>
      <x:c r="C219" t="str">
        <x:v>zh-CN</x:v>
      </x:c>
      <x:c r="D219" t="str">
        <x:v>Storming Emergence GX Starter Decks</x:v>
      </x:c>
      <x:c r="E219" t="str">
        <x:v>Catalogue code</x:v>
      </x:c>
      <x:c r="F219" t="str">
        <x:v>CSM1D</x:v>
      </x:c>
      <x:c r="G219" t="str">
        <x:v>official_or_established</x:v>
      </x:c>
      <x:c r="H219" t="str">
        <x:v>https://bulbapedia.bulbagarden.net/wiki/CSM1D ; https://www.pokemon.cn/tcg/product/16368.html</x:v>
      </x:c>
      <x:c r="I219" t="str">
        <x:v>zh-CN; canonical/database identifier</x:v>
      </x:c>
      <x:c r="J219" t="str">
        <x:v>Established Simplified Chinese Sun &amp; Moon GX starter-deck set mark</x:v>
      </x:c>
      <x:c r="K219" t="str">
        <x:v>zh-CN-0fba1dd957df</x:v>
      </x:c>
      <x:c r="L219" t="str">
        <x:v>set_code</x:v>
      </x:c>
    </x:row>
    <x:row r="220">
      <x:c r="A220" t="str">
        <x:v>CAN-b368cbae554a</x:v>
      </x:c>
      <x:c r="B220" t="str">
        <x:v>2026-09-26-canonical-codes</x:v>
      </x:c>
      <x:c r="C220" t="str">
        <x:v>zh-TW</x:v>
      </x:c>
      <x:c r="D220" t="str">
        <x:v>Base Set</x:v>
      </x:c>
      <x:c r="E220" t="str">
        <x:v>Catalogue code</x:v>
      </x:c>
      <x:c r="F220" t="str">
        <x:v>TW-BASE</x:v>
      </x:c>
      <x:c r="G220" t="str">
        <x:v>official_or_established</x:v>
      </x:c>
      <x:c r="H220" t="str"/>
      <x:c r="I220" t="str">
        <x:v>zh-TW; canonical/database identifier</x:v>
      </x:c>
      <x:c r="J220" t="str">
        <x:v>Stackr internal language-qualified identifier for the historical Traditional Chinese Base Set; not asserted as an official printed code</x:v>
      </x:c>
      <x:c r="K220" t="str">
        <x:v>zh-TW-de875ceeabe3</x:v>
      </x:c>
      <x:c r="L220" t="str">
        <x:v>set_code</x:v>
      </x:c>
    </x:row>
    <x:row r="221">
      <x:c r="A221" t="str">
        <x:v>CAN-0dac0391e863</x:v>
      </x:c>
      <x:c r="B221" t="str">
        <x:v>2026-09-26-canonical-codes</x:v>
      </x:c>
      <x:c r="C221" t="str">
        <x:v>zh-TW</x:v>
      </x:c>
      <x:c r="D221" t="str">
        <x:v>Pikachu World Collection — Traditional Chinese card</x:v>
      </x:c>
      <x:c r="E221" t="str">
        <x:v>Catalogue code</x:v>
      </x:c>
      <x:c r="F221" t="str">
        <x:v>TW-PWC</x:v>
      </x:c>
      <x:c r="G221" t="str">
        <x:v>internal_alias</x:v>
      </x:c>
      <x:c r="H221" t="str"/>
      <x:c r="I221" t="str">
        <x:v>zh-TW; canonical/database identifier</x:v>
      </x:c>
      <x:c r="J221" t="str">
        <x:v>Stackr internal identifier for the Traditional Chinese Pikachu World Collection card</x:v>
      </x:c>
      <x:c r="K221" t="str">
        <x:v>zh-TW-e8c0625ae4df</x:v>
      </x:c>
      <x:c r="L221" t="str">
        <x:v>set_code</x:v>
      </x:c>
    </x:row>
    <x:row r="222">
      <x:c r="A222" t="str">
        <x:v>CAN-de3a2714169b</x:v>
      </x:c>
      <x:c r="B222" t="str">
        <x:v>2026-09-26-canonical-codes</x:v>
      </x:c>
      <x:c r="C222" t="str">
        <x:v>zh-TW</x:v>
      </x:c>
      <x:c r="D222" t="str">
        <x:v>EX Legend Maker</x:v>
      </x:c>
      <x:c r="E222" t="str">
        <x:v>Catalogue code</x:v>
      </x:c>
      <x:c r="F222" t="str">
        <x:v>TW-EXLM</x:v>
      </x:c>
      <x:c r="G222" t="str">
        <x:v>official_or_established</x:v>
      </x:c>
      <x:c r="H222" t="str"/>
      <x:c r="I222" t="str">
        <x:v>zh-TW; canonical/database identifier</x:v>
      </x:c>
      <x:c r="J222" t="str">
        <x:v>Stackr internal identifier for Traditional Chinese EX Legend Maker; not asserted as an official printed code</x:v>
      </x:c>
      <x:c r="K222" t="str">
        <x:v>zh-TW-174859e51cd4</x:v>
      </x:c>
      <x:c r="L222" t="str">
        <x:v>set_code</x:v>
      </x:c>
    </x:row>
    <x:row r="223">
      <x:c r="A223" t="str">
        <x:v>CAN-b075c57b4307</x:v>
      </x:c>
      <x:c r="B223" t="str">
        <x:v>2026-09-26-canonical-codes</x:v>
      </x:c>
      <x:c r="C223" t="str">
        <x:v>zh-TW</x:v>
      </x:c>
      <x:c r="D223" t="str">
        <x:v>EX Trainer Kit 2</x:v>
      </x:c>
      <x:c r="E223" t="str">
        <x:v>Catalogue code</x:v>
      </x:c>
      <x:c r="F223" t="str">
        <x:v>TW-EXTK2</x:v>
      </x:c>
      <x:c r="G223" t="str">
        <x:v>official_or_established</x:v>
      </x:c>
      <x:c r="H223" t="str"/>
      <x:c r="I223" t="str">
        <x:v>zh-TW; canonical/database identifier</x:v>
      </x:c>
      <x:c r="J223" t="str">
        <x:v>Stackr internal identifier for Traditional Chinese EX Trainer Kit 2; not asserted as an official printed code</x:v>
      </x:c>
      <x:c r="K223" t="str">
        <x:v>zh-TW-1d61985413dc</x:v>
      </x:c>
      <x:c r="L223" t="str">
        <x:v>set_code</x:v>
      </x:c>
    </x:row>
    <x:row r="224">
      <x:c r="A224" t="str">
        <x:v>CAN-b59ba96559a6</x:v>
      </x:c>
      <x:c r="B224" t="str">
        <x:v>2026-09-26-canonical-codes</x:v>
      </x:c>
      <x:c r="C224" t="str">
        <x:v>zh-TW</x:v>
      </x:c>
      <x:c r="D224" t="str">
        <x:v>All Stars GX Starter Deck</x:v>
      </x:c>
      <x:c r="E224" t="str">
        <x:v>Catalogue code</x:v>
      </x:c>
      <x:c r="F224" t="str">
        <x:v>TW-GXSD-AS</x:v>
      </x:c>
      <x:c r="G224" t="str">
        <x:v>internal_alias</x:v>
      </x:c>
      <x:c r="H224" t="str"/>
      <x:c r="I224" t="str">
        <x:v>zh-TW; canonical/database identifier</x:v>
      </x:c>
      <x:c r="J224" t="str">
        <x:v>Stackr internal identifier for All Stars GX Starter Deck</x:v>
      </x:c>
      <x:c r="K224" t="str">
        <x:v>zh-TW-bbd57f4d265f</x:v>
      </x:c>
      <x:c r="L224" t="str">
        <x:v>set_code</x:v>
      </x:c>
    </x:row>
    <x:row r="225">
      <x:c r="A225" t="str">
        <x:v>CAN-1361e3d0691c</x:v>
      </x:c>
      <x:c r="B225" t="str">
        <x:v>2026-09-26-canonical-codes</x:v>
      </x:c>
      <x:c r="C225" t="str">
        <x:v>zh-TW</x:v>
      </x:c>
      <x:c r="D225" t="str">
        <x:v>Dreams Come True GX Starter Deck</x:v>
      </x:c>
      <x:c r="E225" t="str">
        <x:v>Catalogue code</x:v>
      </x:c>
      <x:c r="F225" t="str">
        <x:v>TW-GXSD-DCT</x:v>
      </x:c>
      <x:c r="G225" t="str">
        <x:v>internal_alias</x:v>
      </x:c>
      <x:c r="H225" t="str"/>
      <x:c r="I225" t="str">
        <x:v>zh-TW; canonical/database identifier</x:v>
      </x:c>
      <x:c r="J225" t="str">
        <x:v>Stackr internal identifier for Dreams Come True GX Starter Deck</x:v>
      </x:c>
      <x:c r="K225" t="str">
        <x:v>zh-TW-6f7e74c62ae7</x:v>
      </x:c>
      <x:c r="L225" t="str">
        <x:v>set_code</x:v>
      </x:c>
    </x:row>
    <x:row r="226">
      <x:c r="A226" t="str">
        <x:v>CAN-9ba4e256db6d</x:v>
      </x:c>
      <x:c r="B226" t="str">
        <x:v>2026-09-26-canonical-codes</x:v>
      </x:c>
      <x:c r="C226" t="str">
        <x:v>zh-TW</x:v>
      </x:c>
      <x:c r="D226" t="str">
        <x:v>Double Burst GX Starter Deck</x:v>
      </x:c>
      <x:c r="E226" t="str">
        <x:v>Catalogue code</x:v>
      </x:c>
      <x:c r="F226" t="str">
        <x:v>TW-GXSD-DB</x:v>
      </x:c>
      <x:c r="G226" t="str">
        <x:v>internal_alias</x:v>
      </x:c>
      <x:c r="H226" t="str"/>
      <x:c r="I226" t="str">
        <x:v>zh-TW; canonical/database identifier</x:v>
      </x:c>
      <x:c r="J226" t="str">
        <x:v>Stackr internal identifier for Double Burst GX Starter Deck</x:v>
      </x:c>
      <x:c r="K226" t="str">
        <x:v>zh-TW-fa701929df73</x:v>
      </x:c>
      <x:c r="L226" t="str">
        <x:v>set_code</x:v>
      </x:c>
    </x:row>
    <x:row r="227">
      <x:c r="A227" t="str">
        <x:v>CAN-5dd6fe63ea23</x:v>
      </x:c>
      <x:c r="B227" t="str">
        <x:v>2026-09-26-canonical-codes</x:v>
      </x:c>
      <x:c r="C227" t="str">
        <x:v>zh-TW</x:v>
      </x:c>
      <x:c r="D227" t="str">
        <x:v>Legendary Clash GX Starter Deck</x:v>
      </x:c>
      <x:c r="E227" t="str">
        <x:v>Catalogue code</x:v>
      </x:c>
      <x:c r="F227" t="str">
        <x:v>TW-GXSD-LC</x:v>
      </x:c>
      <x:c r="G227" t="str">
        <x:v>internal_alias</x:v>
      </x:c>
      <x:c r="H227" t="str"/>
      <x:c r="I227" t="str">
        <x:v>zh-TW; canonical/database identifier</x:v>
      </x:c>
      <x:c r="J227" t="str">
        <x:v>Stackr internal identifier for Legendary Clash GX Starter Deck</x:v>
      </x:c>
      <x:c r="K227" t="str">
        <x:v>zh-TW-ffbc69fcb8f3</x:v>
      </x:c>
      <x:c r="L227" t="str">
        <x:v>set_code</x:v>
      </x:c>
    </x:row>
    <x:row r="228">
      <x:c r="A228" t="str">
        <x:v>CAN-22ac990850f9</x:v>
      </x:c>
      <x:c r="B228" t="str">
        <x:v>2026-09-26-canonical-codes</x:v>
      </x:c>
      <x:c r="C228" t="str">
        <x:v>zh-TW</x:v>
      </x:c>
      <x:c r="D228" t="str">
        <x:v>Sword &amp; Shield V Starter Deck</x:v>
      </x:c>
      <x:c r="E228" t="str">
        <x:v>Catalogue code</x:v>
      </x:c>
      <x:c r="F228" t="str">
        <x:v>TW-VSD-SS</x:v>
      </x:c>
      <x:c r="G228" t="str">
        <x:v>internal_alias</x:v>
      </x:c>
      <x:c r="H228" t="str">
        <x:v>https://asia.pokemon-card.com/tw/card-search/</x:v>
      </x:c>
      <x:c r="I228" t="str">
        <x:v>zh-TW; canonical/database identifier</x:v>
      </x:c>
      <x:c r="J228" t="str">
        <x:v>Stackr internal identifier for Sword &amp; Shield V Starter Deck</x:v>
      </x:c>
      <x:c r="K228" t="str">
        <x:v>zh-TW-7a214d78ab26</x:v>
      </x:c>
      <x:c r="L228" t="str">
        <x:v>set_code</x:v>
      </x:c>
    </x:row>
    <x:row r="229">
      <x:c r="A229" t="str">
        <x:v>CAN-05de159cb365</x:v>
      </x:c>
      <x:c r="B229" t="str">
        <x:v>2026-09-26-canonical-codes</x:v>
      </x:c>
      <x:c r="C229" t="str">
        <x:v>zh-TW</x:v>
      </x:c>
      <x:c r="D229" t="str">
        <x:v>Infinite Power V Starter Deck</x:v>
      </x:c>
      <x:c r="E229" t="str">
        <x:v>Catalogue code</x:v>
      </x:c>
      <x:c r="F229" t="str">
        <x:v>TW-VSD-IP</x:v>
      </x:c>
      <x:c r="G229" t="str">
        <x:v>internal_alias</x:v>
      </x:c>
      <x:c r="H229" t="str">
        <x:v>https://asia.pokemon-card.com/tw/card-search/</x:v>
      </x:c>
      <x:c r="I229" t="str">
        <x:v>zh-TW; canonical/database identifier</x:v>
      </x:c>
      <x:c r="J229" t="str">
        <x:v>Stackr internal identifier for Infinite Power V Starter Deck</x:v>
      </x:c>
      <x:c r="K229" t="str">
        <x:v>zh-TW-881ba9c7b206</x:v>
      </x:c>
      <x:c r="L229" t="str">
        <x:v>set_code</x:v>
      </x:c>
    </x:row>
    <x:row r="230">
      <x:c r="A230" t="str">
        <x:v>CAN-da07ac9c88e2</x:v>
      </x:c>
      <x:c r="B230" t="str">
        <x:v>2026-09-26-canonical-codes</x:v>
      </x:c>
      <x:c r="C230" t="str">
        <x:v>zh-TW</x:v>
      </x:c>
      <x:c r="D230" t="str">
        <x:v>V Starter Deck: Partner</x:v>
      </x:c>
      <x:c r="E230" t="str">
        <x:v>Catalogue code</x:v>
      </x:c>
      <x:c r="F230" t="str">
        <x:v>TW-VSD-PARTNER</x:v>
      </x:c>
      <x:c r="G230" t="str">
        <x:v>internal_alias</x:v>
      </x:c>
      <x:c r="H230" t="str">
        <x:v>https://asia.pokemon-card.com/tw/card-search/</x:v>
      </x:c>
      <x:c r="I230" t="str">
        <x:v>zh-TW; canonical/database identifier</x:v>
      </x:c>
      <x:c r="J230" t="str">
        <x:v>Stackr internal identifier for V Starter Deck: Partner</x:v>
      </x:c>
      <x:c r="K230" t="str">
        <x:v>zh-TW-34fe73a731d5</x:v>
      </x:c>
      <x:c r="L230" t="str">
        <x:v>set_code</x:v>
      </x:c>
    </x:row>
    <x:row r="231">
      <x:c r="A231" t="str">
        <x:v>CAN-2b7d08ca3863</x:v>
      </x:c>
      <x:c r="B231" t="str">
        <x:v>2026-09-26-canonical-codes</x:v>
      </x:c>
      <x:c r="C231" t="str">
        <x:v>zh-TW</x:v>
      </x:c>
      <x:c r="D231" t="str">
        <x:v>V Starter Deck: Challenge</x:v>
      </x:c>
      <x:c r="E231" t="str">
        <x:v>Catalogue code</x:v>
      </x:c>
      <x:c r="F231" t="str">
        <x:v>TW-VSD-CHALLENGE</x:v>
      </x:c>
      <x:c r="G231" t="str">
        <x:v>internal_alias</x:v>
      </x:c>
      <x:c r="H231" t="str">
        <x:v>https://asia.pokemon-card.com/tw/card-search/</x:v>
      </x:c>
      <x:c r="I231" t="str">
        <x:v>zh-TW; canonical/database identifier</x:v>
      </x:c>
      <x:c r="J231" t="str">
        <x:v>Stackr internal identifier for V Starter Deck: Challenge</x:v>
      </x:c>
      <x:c r="K231" t="str">
        <x:v>zh-TW-4f37ed1f19a0</x:v>
      </x:c>
      <x:c r="L231" t="str">
        <x:v>set_code</x:v>
      </x:c>
    </x:row>
    <x:row r="232">
      <x:c r="A232" t="str">
        <x:v>CAN-246e32b672ee</x:v>
      </x:c>
      <x:c r="B232" t="str">
        <x:v>2026-09-26-canonical-codes</x:v>
      </x:c>
      <x:c r="C232" t="str">
        <x:v>zh-TW</x:v>
      </x:c>
      <x:c r="D232" t="str">
        <x:v>V Starter Deck: Evolution</x:v>
      </x:c>
      <x:c r="E232" t="str">
        <x:v>Catalogue code</x:v>
      </x:c>
      <x:c r="F232" t="str">
        <x:v>TW-VSD-EVOLUTION</x:v>
      </x:c>
      <x:c r="G232" t="str">
        <x:v>internal_alias</x:v>
      </x:c>
      <x:c r="H232" t="str">
        <x:v>https://asia.pokemon-card.com/tw/card-search/</x:v>
      </x:c>
      <x:c r="I232" t="str">
        <x:v>zh-TW; canonical/database identifier</x:v>
      </x:c>
      <x:c r="J232" t="str">
        <x:v>Stackr internal identifier for V Starter Deck: Evolution</x:v>
      </x:c>
      <x:c r="K232" t="str">
        <x:v>zh-TW-e025c97a3003</x:v>
      </x:c>
      <x:c r="L232" t="str">
        <x:v>set_code</x:v>
      </x:c>
    </x:row>
    <x:row r="233">
      <x:c r="A233" t="str">
        <x:v>CAN-997211c6d7c3</x:v>
      </x:c>
      <x:c r="B233" t="str">
        <x:v>2026-09-26-canonical-codes</x:v>
      </x:c>
      <x:c r="C233" t="str">
        <x:v>zh-TW</x:v>
      </x:c>
      <x:c r="D233" t="str">
        <x:v>Family Pokémon Card Game</x:v>
      </x:c>
      <x:c r="E233" t="str">
        <x:v>Catalogue code</x:v>
      </x:c>
      <x:c r="F233" t="str">
        <x:v>TW-FAMILY</x:v>
      </x:c>
      <x:c r="G233" t="str">
        <x:v>internal_alias</x:v>
      </x:c>
      <x:c r="H233" t="str">
        <x:v>https://asia.pokemon-card.com/tw/card-search/</x:v>
      </x:c>
      <x:c r="I233" t="str">
        <x:v>zh-TW; canonical/database identifier</x:v>
      </x:c>
      <x:c r="J233" t="str">
        <x:v>Stackr internal identifier for Family Pokémon Card Game</x:v>
      </x:c>
      <x:c r="K233" t="str">
        <x:v>zh-TW-ea9bed1e2837</x:v>
      </x:c>
      <x:c r="L233" t="str">
        <x:v>set_code</x:v>
      </x:c>
    </x:row>
    <x:row r="234">
      <x:c r="A234" t="str">
        <x:v>CAN-4716350472d8</x:v>
      </x:c>
      <x:c r="B234" t="str">
        <x:v>2026-09-26-canonical-codes</x:v>
      </x:c>
      <x:c r="C234" t="str">
        <x:v>zh-TW</x:v>
      </x:c>
      <x:c r="D234" t="str">
        <x:v>Greninja V-UNION</x:v>
      </x:c>
      <x:c r="E234" t="str">
        <x:v>Catalogue code</x:v>
      </x:c>
      <x:c r="F234" t="str">
        <x:v>TW-VUN-GREN</x:v>
      </x:c>
      <x:c r="G234" t="str">
        <x:v>internal_alias</x:v>
      </x:c>
      <x:c r="H234" t="str">
        <x:v>https://asia.pokemon-card.com/tw/card-search/</x:v>
      </x:c>
      <x:c r="I234" t="str">
        <x:v>zh-TW; canonical/database identifier</x:v>
      </x:c>
      <x:c r="J234" t="str">
        <x:v>Stackr internal identifier for Greninja V-UNION</x:v>
      </x:c>
      <x:c r="K234" t="str">
        <x:v>zh-TW-1e56408052d8</x:v>
      </x:c>
      <x:c r="L234" t="str">
        <x:v>set_code</x:v>
      </x:c>
    </x:row>
    <x:row r="235">
      <x:c r="A235" t="str">
        <x:v>CAN-9c39315b5bc9</x:v>
      </x:c>
      <x:c r="B235" t="str">
        <x:v>2026-09-26-canonical-codes</x:v>
      </x:c>
      <x:c r="C235" t="str">
        <x:v>zh-TW</x:v>
      </x:c>
      <x:c r="D235" t="str">
        <x:v>Mewtwo V-UNION</x:v>
      </x:c>
      <x:c r="E235" t="str">
        <x:v>Catalogue code</x:v>
      </x:c>
      <x:c r="F235" t="str">
        <x:v>TW-VUN-MEWTWO</x:v>
      </x:c>
      <x:c r="G235" t="str">
        <x:v>internal_alias</x:v>
      </x:c>
      <x:c r="H235" t="str">
        <x:v>https://asia.pokemon-card.com/tw/card-search/</x:v>
      </x:c>
      <x:c r="I235" t="str">
        <x:v>zh-TW; canonical/database identifier</x:v>
      </x:c>
      <x:c r="J235" t="str">
        <x:v>Stackr internal identifier for Mewtwo V-UNION</x:v>
      </x:c>
      <x:c r="K235" t="str">
        <x:v>zh-TW-4be3f10dba4e</x:v>
      </x:c>
      <x:c r="L235" t="str">
        <x:v>set_code</x:v>
      </x:c>
    </x:row>
    <x:row r="236">
      <x:c r="A236" t="str">
        <x:v>CAN-7134b5051876</x:v>
      </x:c>
      <x:c r="B236" t="str">
        <x:v>2026-09-26-canonical-codes</x:v>
      </x:c>
      <x:c r="C236" t="str">
        <x:v>zh-TW</x:v>
      </x:c>
      <x:c r="D236" t="str">
        <x:v>Zacian V-UNION</x:v>
      </x:c>
      <x:c r="E236" t="str">
        <x:v>Catalogue code</x:v>
      </x:c>
      <x:c r="F236" t="str">
        <x:v>TW-VUN-ZACIAN</x:v>
      </x:c>
      <x:c r="G236" t="str">
        <x:v>internal_alias</x:v>
      </x:c>
      <x:c r="H236" t="str">
        <x:v>https://asia.pokemon-card.com/tw/card-search/</x:v>
      </x:c>
      <x:c r="I236" t="str">
        <x:v>zh-TW; canonical/database identifier</x:v>
      </x:c>
      <x:c r="J236" t="str">
        <x:v>Stackr internal identifier for Zacian V-UNION</x:v>
      </x:c>
      <x:c r="K236" t="str">
        <x:v>zh-TW-fd587194a3dc</x:v>
      </x:c>
      <x:c r="L236" t="str">
        <x:v>set_code</x:v>
      </x:c>
    </x:row>
    <x:row r="237">
      <x:c r="A237" t="str">
        <x:v>CAN-691870142573</x:v>
      </x:c>
      <x:c r="B237" t="str">
        <x:v>2026-09-26-canonical-codes</x:v>
      </x:c>
      <x:c r="C237" t="str">
        <x:v>zh-TW</x:v>
      </x:c>
      <x:c r="D237" t="str">
        <x:v>V Starter Deck: Power</x:v>
      </x:c>
      <x:c r="E237" t="str">
        <x:v>Catalogue code</x:v>
      </x:c>
      <x:c r="F237" t="str">
        <x:v>TW-VSD-POWER</x:v>
      </x:c>
      <x:c r="G237" t="str">
        <x:v>internal_alias</x:v>
      </x:c>
      <x:c r="H237" t="str">
        <x:v>https://asia.pokemon-card.com/tw/card-search/</x:v>
      </x:c>
      <x:c r="I237" t="str">
        <x:v>zh-TW; canonical/database identifier</x:v>
      </x:c>
      <x:c r="J237" t="str">
        <x:v>Stackr internal identifier for V Starter Deck: Power</x:v>
      </x:c>
      <x:c r="K237" t="str">
        <x:v>zh-TW-b504d14277db</x:v>
      </x:c>
      <x:c r="L237" t="str">
        <x:v>set_code</x:v>
      </x:c>
    </x:row>
    <x:row r="238">
      <x:c r="A238" t="str">
        <x:v>CAN-7c00f71a4450</x:v>
      </x:c>
      <x:c r="B238" t="str">
        <x:v>2026-09-26-canonical-codes</x:v>
      </x:c>
      <x:c r="C238" t="str">
        <x:v>zh-TW</x:v>
      </x:c>
      <x:c r="D238" t="str">
        <x:v>Premium Trainer Box VSTAR</x:v>
      </x:c>
      <x:c r="E238" t="str">
        <x:v>Catalogue code</x:v>
      </x:c>
      <x:c r="F238" t="str">
        <x:v>TW-PTB-VSTAR</x:v>
      </x:c>
      <x:c r="G238" t="str">
        <x:v>internal_alias</x:v>
      </x:c>
      <x:c r="H238" t="str">
        <x:v>https://asia.pokemon-card.com/tw/archives/1289/</x:v>
      </x:c>
      <x:c r="I238" t="str">
        <x:v>zh-TW; canonical/database identifier</x:v>
      </x:c>
      <x:c r="J238" t="str">
        <x:v>Stackr internal identifier for Premium Trainer Box VSTAR</x:v>
      </x:c>
      <x:c r="K238" t="str">
        <x:v>zh-TW-da84927efd3c</x:v>
      </x:c>
      <x:c r="L238" t="str">
        <x:v>set_code</x:v>
      </x:c>
    </x:row>
    <x:row r="239">
      <x:c r="A239" t="str">
        <x:v>CAN-2c83f451d3b9</x:v>
      </x:c>
      <x:c r="B239" t="str">
        <x:v>2026-09-26-canonical-codes</x:v>
      </x:c>
      <x:c r="C239" t="str">
        <x:v>zh-TW</x:v>
      </x:c>
      <x:c r="D239" t="str">
        <x:v>Special Deck Set: Zacian &amp; Zamazenta vs Eternatus</x:v>
      </x:c>
      <x:c r="E239" t="str">
        <x:v>Catalogue code</x:v>
      </x:c>
      <x:c r="F239" t="str">
        <x:v>TW-SDS-ZZE</x:v>
      </x:c>
      <x:c r="G239" t="str">
        <x:v>internal_alias</x:v>
      </x:c>
      <x:c r="H239" t="str">
        <x:v>https://asia.pokemon-card.com/tw/card-search/</x:v>
      </x:c>
      <x:c r="I239" t="str">
        <x:v>zh-TW; canonical/database identifier</x:v>
      </x:c>
      <x:c r="J239" t="str">
        <x:v>Stackr internal identifier for Special Deck Set: Zacian &amp; Zamazenta vs Eternatus</x:v>
      </x:c>
      <x:c r="K239" t="str">
        <x:v>zh-TW-49aecb4f6801</x:v>
      </x:c>
      <x:c r="L239" t="str">
        <x:v>set_code</x:v>
      </x:c>
    </x:row>
    <x:row r="240">
      <x:c r="A240" t="str">
        <x:v>CAN-20677820a190</x:v>
      </x:c>
      <x:c r="B240" t="str">
        <x:v>2026-09-26-canonical-codes</x:v>
      </x:c>
      <x:c r="C240" t="str">
        <x:v>zh-TW</x:v>
      </x:c>
      <x:c r="D240" t="str">
        <x:v>Start Deck 100</x:v>
      </x:c>
      <x:c r="E240" t="str">
        <x:v>Catalogue code</x:v>
      </x:c>
      <x:c r="F240" t="str">
        <x:v>SI</x:v>
      </x:c>
      <x:c r="G240" t="str">
        <x:v>official_or_established</x:v>
      </x:c>
      <x:c r="H240" t="str">
        <x:v>https://asia.pokemon-card.com/tw/archive/special/card/si/</x:v>
      </x:c>
      <x:c r="I240" t="str">
        <x:v>zh-TW; canonical/database identifier</x:v>
      </x:c>
      <x:c r="J240" t="str">
        <x:v>Established Start Deck 100 shorthand; Taiwan official product route uses /si/ and the code is retained as a product/database identifier</x:v>
      </x:c>
      <x:c r="K240" t="str">
        <x:v>zh-TW-79452a9b4969</x:v>
      </x:c>
      <x:c r="L240" t="str">
        <x:v>set_code</x:v>
      </x:c>
    </x:row>
    <x:row r="241">
      <x:c r="A241" t="str">
        <x:v>CAN-d81b187eb46a</x:v>
      </x:c>
      <x:c r="B241" t="str">
        <x:v>2026-09-26-canonical-codes</x:v>
      </x:c>
      <x:c r="C241" t="str">
        <x:v>zh-TW</x:v>
      </x:c>
      <x:c r="D241" t="str">
        <x:v>Starter Set VSTAR: Darkrai</x:v>
      </x:c>
      <x:c r="E241" t="str">
        <x:v>Catalogue code</x:v>
      </x:c>
      <x:c r="F241" t="str">
        <x:v>TW-SSV-DARKRAI</x:v>
      </x:c>
      <x:c r="G241" t="str">
        <x:v>internal_alias</x:v>
      </x:c>
      <x:c r="H241" t="str">
        <x:v>https://asia.pokemon-card.com/tw/card-search/</x:v>
      </x:c>
      <x:c r="I241" t="str">
        <x:v>zh-TW; canonical/database identifier</x:v>
      </x:c>
      <x:c r="J241" t="str">
        <x:v>Stackr internal identifier for Starter Set VSTAR: Darkrai</x:v>
      </x:c>
      <x:c r="K241" t="str">
        <x:v>zh-TW-c1e632571ef2</x:v>
      </x:c>
      <x:c r="L241" t="str">
        <x:v>set_code</x:v>
      </x:c>
    </x:row>
    <x:row r="242">
      <x:c r="A242" t="str">
        <x:v>CAN-7234a51c806e</x:v>
      </x:c>
      <x:c r="B242" t="str">
        <x:v>2026-09-26-canonical-codes</x:v>
      </x:c>
      <x:c r="C242" t="str">
        <x:v>zh-TW</x:v>
      </x:c>
      <x:c r="D242" t="str">
        <x:v>Starter Set VSTAR: Lucario</x:v>
      </x:c>
      <x:c r="E242" t="str">
        <x:v>Catalogue code</x:v>
      </x:c>
      <x:c r="F242" t="str">
        <x:v>TW-SSV-LUCARIO</x:v>
      </x:c>
      <x:c r="G242" t="str">
        <x:v>internal_alias</x:v>
      </x:c>
      <x:c r="H242" t="str">
        <x:v>https://asia.pokemon-card.com/tw/card-search/</x:v>
      </x:c>
      <x:c r="I242" t="str">
        <x:v>zh-TW; canonical/database identifier</x:v>
      </x:c>
      <x:c r="J242" t="str">
        <x:v>Stackr internal identifier for Starter Set VSTAR: Lucario</x:v>
      </x:c>
      <x:c r="K242" t="str">
        <x:v>zh-TW-9b45ecdadbd5</x:v>
      </x:c>
      <x:c r="L242" t="str">
        <x:v>set_code</x:v>
      </x:c>
    </x:row>
    <x:row r="243">
      <x:c r="A243" t="str">
        <x:v>CAN-a2613e30066c</x:v>
      </x:c>
      <x:c r="B243" t="str">
        <x:v>2026-09-26-canonical-codes</x:v>
      </x:c>
      <x:c r="C243" t="str">
        <x:v>zh-TW</x:v>
      </x:c>
      <x:c r="D243" t="str">
        <x:v>VSTAR &amp; VMAX High-Class Deck: Deoxys</x:v>
      </x:c>
      <x:c r="E243" t="str">
        <x:v>Catalogue code</x:v>
      </x:c>
      <x:c r="F243" t="str">
        <x:v>TW-HCD-DEOXYS</x:v>
      </x:c>
      <x:c r="G243" t="str">
        <x:v>internal_alias</x:v>
      </x:c>
      <x:c r="H243" t="str">
        <x:v>https://asia.pokemon-card.com/tw/card-search/</x:v>
      </x:c>
      <x:c r="I243" t="str">
        <x:v>zh-TW; canonical/database identifier</x:v>
      </x:c>
      <x:c r="J243" t="str">
        <x:v>Stackr internal identifier for VSTAR &amp; VMAX High-Class Deck: Deoxys</x:v>
      </x:c>
      <x:c r="K243" t="str">
        <x:v>zh-TW-b04e14397ea6</x:v>
      </x:c>
      <x:c r="L243" t="str">
        <x:v>set_code</x:v>
      </x:c>
    </x:row>
    <x:row r="244">
      <x:c r="A244" t="str">
        <x:v>CAN-9d91edbbd055</x:v>
      </x:c>
      <x:c r="B244" t="str">
        <x:v>2026-09-26-canonical-codes</x:v>
      </x:c>
      <x:c r="C244" t="str">
        <x:v>zh-TW</x:v>
      </x:c>
      <x:c r="D244" t="str">
        <x:v>VSTAR Special Set</x:v>
      </x:c>
      <x:c r="E244" t="str">
        <x:v>Catalogue code</x:v>
      </x:c>
      <x:c r="F244" t="str">
        <x:v>TW-VSTAR-SS</x:v>
      </x:c>
      <x:c r="G244" t="str">
        <x:v>internal_alias</x:v>
      </x:c>
      <x:c r="H244" t="str">
        <x:v>https://asia.pokemon-card.com/tw/card-search/</x:v>
      </x:c>
      <x:c r="I244" t="str">
        <x:v>zh-TW; canonical/database identifier</x:v>
      </x:c>
      <x:c r="J244" t="str">
        <x:v>Stackr internal identifier for VSTAR Special Set</x:v>
      </x:c>
      <x:c r="K244" t="str">
        <x:v>zh-TW-c31260236d59</x:v>
      </x:c>
      <x:c r="L244" t="str">
        <x:v>set_code</x:v>
      </x:c>
    </x:row>
    <x:row r="245">
      <x:c r="A245" t="str">
        <x:v>CAN-e4927989d819</x:v>
      </x:c>
      <x:c r="B245" t="str">
        <x:v>2026-09-26-canonical-codes</x:v>
      </x:c>
      <x:c r="C245" t="str">
        <x:v>zh-TW</x:v>
      </x:c>
      <x:c r="D245" t="str">
        <x:v>Start Deck 100 Special Edition</x:v>
      </x:c>
      <x:c r="E245" t="str">
        <x:v>Catalogue code</x:v>
      </x:c>
      <x:c r="F245" t="str">
        <x:v>TW-SI-SP</x:v>
      </x:c>
      <x:c r="G245" t="str">
        <x:v>internal_alias</x:v>
      </x:c>
      <x:c r="H245" t="str">
        <x:v>https://asia.pokemon-card.com/tw/card-search/</x:v>
      </x:c>
      <x:c r="I245" t="str">
        <x:v>zh-TW; canonical/database identifier</x:v>
      </x:c>
      <x:c r="J245" t="str">
        <x:v>Stackr internal identifier for Start Deck 100 Special Edition; related to SI product family</x:v>
      </x:c>
      <x:c r="K245" t="str">
        <x:v>zh-TW-1d3741cdbc9b</x:v>
      </x:c>
      <x:c r="L245" t="str">
        <x:v>set_code</x:v>
      </x:c>
    </x:row>
    <x:row r="246">
      <x:c r="A246" t="str">
        <x:v>CAN-d88a64ca0758</x:v>
      </x:c>
      <x:c r="B246" t="str">
        <x:v>2026-09-26-canonical-codes</x:v>
      </x:c>
      <x:c r="C246" t="str">
        <x:v>zh-TW</x:v>
      </x:c>
      <x:c r="D246" t="str">
        <x:v>V Start Deck: Charizard</x:v>
      </x:c>
      <x:c r="E246" t="str">
        <x:v>Catalogue code</x:v>
      </x:c>
      <x:c r="F246" t="str">
        <x:v>TW-VSD-CHARIZARD</x:v>
      </x:c>
      <x:c r="G246" t="str">
        <x:v>internal_alias</x:v>
      </x:c>
      <x:c r="H246" t="str">
        <x:v>https://asia.pokemon-card.com/tw/card-search/</x:v>
      </x:c>
      <x:c r="I246" t="str">
        <x:v>zh-TW; canonical/database identifier</x:v>
      </x:c>
      <x:c r="J246" t="str">
        <x:v>Stackr internal identifier for V Start Deck: Charizard</x:v>
      </x:c>
      <x:c r="K246" t="str">
        <x:v>zh-TW-35e579fae35b</x:v>
      </x:c>
      <x:c r="L246" t="str">
        <x:v>set_code</x:v>
      </x:c>
    </x:row>
    <x:row r="247">
      <x:c r="A247" t="str">
        <x:v>CAN-2a15e19cc9cc</x:v>
      </x:c>
      <x:c r="B247" t="str">
        <x:v>2026-09-26-canonical-codes</x:v>
      </x:c>
      <x:c r="C247" t="str">
        <x:v>zh-TW</x:v>
      </x:c>
      <x:c r="D247" t="str">
        <x:v>V Start Deck: Mewtwo</x:v>
      </x:c>
      <x:c r="E247" t="str">
        <x:v>Catalogue code</x:v>
      </x:c>
      <x:c r="F247" t="str">
        <x:v>TW-VSD-MEWTWO</x:v>
      </x:c>
      <x:c r="G247" t="str">
        <x:v>internal_alias</x:v>
      </x:c>
      <x:c r="H247" t="str">
        <x:v>https://asia.pokemon-card.com/tw/card-search/</x:v>
      </x:c>
      <x:c r="I247" t="str">
        <x:v>zh-TW; canonical/database identifier</x:v>
      </x:c>
      <x:c r="J247" t="str">
        <x:v>Stackr internal identifier for V Start Deck: Mewtwo</x:v>
      </x:c>
      <x:c r="K247" t="str">
        <x:v>zh-TW-a438f4fbf85e</x:v>
      </x:c>
      <x:c r="L247" t="str">
        <x:v>set_code</x:v>
      </x:c>
    </x:row>
    <x:row r="248">
      <x:c r="A248" t="str">
        <x:v>CAN-524382ed9ea7</x:v>
      </x:c>
      <x:c r="B248" t="str">
        <x:v>2026-09-26-canonical-codes</x:v>
      </x:c>
      <x:c r="C248" t="str">
        <x:v>zh-TW</x:v>
      </x:c>
      <x:c r="D248" t="str">
        <x:v>V Start Deck: Pikachu</x:v>
      </x:c>
      <x:c r="E248" t="str">
        <x:v>Catalogue code</x:v>
      </x:c>
      <x:c r="F248" t="str">
        <x:v>TW-VSD-PIKACHU</x:v>
      </x:c>
      <x:c r="G248" t="str">
        <x:v>internal_alias</x:v>
      </x:c>
      <x:c r="H248" t="str">
        <x:v>https://asia.pokemon-card.com/tw/card-search/</x:v>
      </x:c>
      <x:c r="I248" t="str">
        <x:v>zh-TW; canonical/database identifier</x:v>
      </x:c>
      <x:c r="J248" t="str">
        <x:v>Stackr internal identifier for V Start Deck: Pikachu</x:v>
      </x:c>
      <x:c r="K248" t="str">
        <x:v>zh-TW-698096b84e15</x:v>
      </x:c>
      <x:c r="L248" t="str">
        <x:v>set_code</x:v>
      </x:c>
    </x:row>
    <x:row r="249">
      <x:c r="A249" t="str">
        <x:v>CAN-82d89c72495c</x:v>
      </x:c>
      <x:c r="B249" t="str">
        <x:v>2026-09-26-canonical-codes</x:v>
      </x:c>
      <x:c r="C249" t="str">
        <x:v>zh-TW</x:v>
      </x:c>
      <x:c r="D249" t="str">
        <x:v>Starter Set ex: Fuecoco &amp; Ampharos ex</x:v>
      </x:c>
      <x:c r="E249" t="str">
        <x:v>Catalogue code</x:v>
      </x:c>
      <x:c r="F249" t="str">
        <x:v>TW-SSEX-FUECOCO</x:v>
      </x:c>
      <x:c r="G249" t="str">
        <x:v>internal_alias</x:v>
      </x:c>
      <x:c r="H249" t="str">
        <x:v>https://asia.pokemon-card.com/tw/card-search/</x:v>
      </x:c>
      <x:c r="I249" t="str">
        <x:v>zh-TW; canonical/database identifier</x:v>
      </x:c>
      <x:c r="J249" t="str">
        <x:v>Stackr internal identifier for Starter Set ex: Fuecoco &amp; Ampharos ex</x:v>
      </x:c>
      <x:c r="K249" t="str">
        <x:v>zh-TW-1431bed2cddd</x:v>
      </x:c>
      <x:c r="L249" t="str">
        <x:v>set_code</x:v>
      </x:c>
    </x:row>
    <x:row r="250">
      <x:c r="A250" t="str">
        <x:v>CAN-00e7e177bdc5</x:v>
      </x:c>
      <x:c r="B250" t="str">
        <x:v>2026-09-26-canonical-codes</x:v>
      </x:c>
      <x:c r="C250" t="str">
        <x:v>zh-TW</x:v>
      </x:c>
      <x:c r="D250" t="str">
        <x:v>Starter Set ex: Quaxly &amp; Mimikyu ex</x:v>
      </x:c>
      <x:c r="E250" t="str">
        <x:v>Catalogue code</x:v>
      </x:c>
      <x:c r="F250" t="str">
        <x:v>TW-SSEX-QUAXLY</x:v>
      </x:c>
      <x:c r="G250" t="str">
        <x:v>internal_alias</x:v>
      </x:c>
      <x:c r="H250" t="str">
        <x:v>https://asia.pokemon-card.com/tw/card-search/</x:v>
      </x:c>
      <x:c r="I250" t="str">
        <x:v>zh-TW; canonical/database identifier</x:v>
      </x:c>
      <x:c r="J250" t="str">
        <x:v>Stackr internal identifier for Starter Set ex: Quaxly &amp; Mimikyu ex</x:v>
      </x:c>
      <x:c r="K250" t="str">
        <x:v>zh-TW-0e91100f19e4</x:v>
      </x:c>
      <x:c r="L250" t="str">
        <x:v>set_code</x:v>
      </x:c>
    </x:row>
    <x:row r="251">
      <x:c r="A251" t="str">
        <x:v>CAN-0653f04ec3b9</x:v>
      </x:c>
      <x:c r="B251" t="str">
        <x:v>2026-09-26-canonical-codes</x:v>
      </x:c>
      <x:c r="C251" t="str">
        <x:v>zh-TW</x:v>
      </x:c>
      <x:c r="D251" t="str">
        <x:v>Violet ex</x:v>
      </x:c>
      <x:c r="E251" t="str">
        <x:v>Catalogue code</x:v>
      </x:c>
      <x:c r="F251" t="str">
        <x:v>SV1V</x:v>
      </x:c>
      <x:c r="G251" t="str">
        <x:v>official_or_established</x:v>
      </x:c>
      <x:c r="H251" t="str">
        <x:v>https://bulbapedia.bulbagarden.net/wiki/Scarlet_%26_Violet_Era_%28TCG%29</x:v>
      </x:c>
      <x:c r="I251" t="str">
        <x:v>zh-TW; canonical/database identifier</x:v>
      </x:c>
      <x:c r="J251" t="str">
        <x:v>Established Scarlet &amp; Violet series code for Violet ex in Traditional Chinese</x:v>
      </x:c>
      <x:c r="K251" t="str">
        <x:v>zh-TW-88527930c211</x:v>
      </x:c>
      <x:c r="L251" t="str">
        <x:v>set_code</x:v>
      </x:c>
    </x:row>
    <x:row r="252">
      <x:c r="A252" t="str">
        <x:v>CAN-c2555b7f02f9</x:v>
      </x:c>
      <x:c r="B252" t="str">
        <x:v>2026-09-26-canonical-codes</x:v>
      </x:c>
      <x:c r="C252" t="str">
        <x:v>zh-TW</x:v>
      </x:c>
      <x:c r="D252" t="str">
        <x:v>Crimson Haze</x:v>
      </x:c>
      <x:c r="E252" t="str">
        <x:v>Catalogue code</x:v>
      </x:c>
      <x:c r="F252" t="str">
        <x:v>SV5a</x:v>
      </x:c>
      <x:c r="G252" t="str">
        <x:v>official_or_established</x:v>
      </x:c>
      <x:c r="H252" t="str">
        <x:v>https://asia.pokemon-card.com/tw/card-search/</x:v>
      </x:c>
      <x:c r="I252" t="str">
        <x:v>zh-TW; canonical/database identifier</x:v>
      </x:c>
      <x:c r="J252" t="str">
        <x:v>Established Scarlet &amp; Violet series code for Crimson Haze in Traditional Chinese</x:v>
      </x:c>
      <x:c r="K252" t="str">
        <x:v>zh-TW-8fe572a829b0</x:v>
      </x:c>
      <x:c r="L252" t="str">
        <x:v>set_code</x:v>
      </x:c>
    </x:row>
    <x:row r="253">
      <x:c r="A253" t="str">
        <x:v>CAN-e3a1a086f3b6</x:v>
      </x:c>
      <x:c r="B253" t="str">
        <x:v>2026-09-26-canonical-codes</x:v>
      </x:c>
      <x:c r="C253" t="str">
        <x:v>zh-TW</x:v>
      </x:c>
      <x:c r="D253" t="str">
        <x:v>Tactical Deck: Gardevoir ex</x:v>
      </x:c>
      <x:c r="E253" t="str">
        <x:v>Catalogue code</x:v>
      </x:c>
      <x:c r="F253" t="str">
        <x:v>TW-TD-GARDEVOIR</x:v>
      </x:c>
      <x:c r="G253" t="str">
        <x:v>internal_alias</x:v>
      </x:c>
      <x:c r="H253" t="str">
        <x:v>https://asia.pokemon-card.com/tw/card-search/</x:v>
      </x:c>
      <x:c r="I253" t="str">
        <x:v>zh-TW; canonical/database identifier</x:v>
      </x:c>
      <x:c r="J253" t="str">
        <x:v>Stackr internal identifier for Tactical Deck: Gardevoir ex</x:v>
      </x:c>
      <x:c r="K253" t="str">
        <x:v>zh-TW-4de816b05a4e</x:v>
      </x:c>
      <x:c r="L253" t="str">
        <x:v>set_code</x:v>
      </x:c>
    </x:row>
    <x:row r="254">
      <x:c r="A254" t="str">
        <x:v>CAN-3a4731363e1d</x:v>
      </x:c>
      <x:c r="B254" t="str">
        <x:v>2026-09-26-canonical-codes</x:v>
      </x:c>
      <x:c r="C254" t="str">
        <x:v>zh-TW</x:v>
      </x:c>
      <x:c r="D254" t="str">
        <x:v>Tactical Deck: Meowscarada ex</x:v>
      </x:c>
      <x:c r="E254" t="str">
        <x:v>Catalogue code</x:v>
      </x:c>
      <x:c r="F254" t="str">
        <x:v>TW-TD-MEOWSCARADA</x:v>
      </x:c>
      <x:c r="G254" t="str">
        <x:v>internal_alias</x:v>
      </x:c>
      <x:c r="H254" t="str">
        <x:v>https://asia.pokemon-card.com/tw/card-search/</x:v>
      </x:c>
      <x:c r="I254" t="str">
        <x:v>zh-TW; canonical/database identifier</x:v>
      </x:c>
      <x:c r="J254" t="str">
        <x:v>Stackr internal identifier for Tactical Deck: Meowscarada ex</x:v>
      </x:c>
      <x:c r="K254" t="str">
        <x:v>zh-TW-c9078c8d0f32</x:v>
      </x:c>
      <x:c r="L254" t="str">
        <x:v>set_code</x:v>
      </x:c>
    </x:row>
    <x:row r="255">
      <x:c r="A255" t="str">
        <x:v>CAN-aa3adc33511a</x:v>
      </x:c>
      <x:c r="B255" t="str">
        <x:v>2026-09-26-canonical-codes</x:v>
      </x:c>
      <x:c r="C255" t="str">
        <x:v>zh-TW</x:v>
      </x:c>
      <x:c r="D255" t="str">
        <x:v>Tactical Deck: Miraidon ex</x:v>
      </x:c>
      <x:c r="E255" t="str">
        <x:v>Catalogue code</x:v>
      </x:c>
      <x:c r="F255" t="str">
        <x:v>TW-TD-MIRAIDON</x:v>
      </x:c>
      <x:c r="G255" t="str">
        <x:v>internal_alias</x:v>
      </x:c>
      <x:c r="H255" t="str">
        <x:v>https://asia.pokemon-card.com/tw/card-search/</x:v>
      </x:c>
      <x:c r="I255" t="str">
        <x:v>zh-TW; canonical/database identifier</x:v>
      </x:c>
      <x:c r="J255" t="str">
        <x:v>Stackr internal identifier for Tactical Deck: Miraidon ex</x:v>
      </x:c>
      <x:c r="K255" t="str">
        <x:v>zh-TW-558de9471c94</x:v>
      </x:c>
      <x:c r="L255" t="str">
        <x:v>set_code</x:v>
      </x:c>
    </x:row>
    <x:row r="256">
      <x:c r="A256" t="str">
        <x:v>CAN-a687fadfcdf0</x:v>
      </x:c>
      <x:c r="B256" t="str">
        <x:v>2026-09-26-canonical-codes</x:v>
      </x:c>
      <x:c r="C256" t="str">
        <x:v>zh-TW</x:v>
      </x:c>
      <x:c r="D256" t="str">
        <x:v>Tactical Deck: Scizor ex</x:v>
      </x:c>
      <x:c r="E256" t="str">
        <x:v>Catalogue code</x:v>
      </x:c>
      <x:c r="F256" t="str">
        <x:v>TW-TD-SCIZOR</x:v>
      </x:c>
      <x:c r="G256" t="str">
        <x:v>internal_alias</x:v>
      </x:c>
      <x:c r="H256" t="str">
        <x:v>https://asia.pokemon-card.com/tw/card-search/</x:v>
      </x:c>
      <x:c r="I256" t="str">
        <x:v>zh-TW; canonical/database identifier</x:v>
      </x:c>
      <x:c r="J256" t="str">
        <x:v>Stackr internal identifier for Tactical Deck: Scizor ex</x:v>
      </x:c>
      <x:c r="K256" t="str">
        <x:v>zh-TW-15708abcba22</x:v>
      </x:c>
      <x:c r="L256" t="str">
        <x:v>set_code</x:v>
      </x:c>
    </x:row>
    <x:row r="257">
      <x:c r="A257" t="str">
        <x:v>CAN-64dbd61e5dff</x:v>
      </x:c>
      <x:c r="B257" t="str">
        <x:v>2026-09-26-canonical-codes</x:v>
      </x:c>
      <x:c r="C257" t="str">
        <x:v>zh-TW</x:v>
      </x:c>
      <x:c r="D257" t="str">
        <x:v>Tactical Deck: Tera Charizard ex</x:v>
      </x:c>
      <x:c r="E257" t="str">
        <x:v>Catalogue code</x:v>
      </x:c>
      <x:c r="F257" t="str">
        <x:v>TW-TD-TCHAR</x:v>
      </x:c>
      <x:c r="G257" t="str">
        <x:v>internal_alias</x:v>
      </x:c>
      <x:c r="H257" t="str">
        <x:v>https://asia.pokemon-card.com/tw/card-search/</x:v>
      </x:c>
      <x:c r="I257" t="str">
        <x:v>zh-TW; canonical/database identifier</x:v>
      </x:c>
      <x:c r="J257" t="str">
        <x:v>Stackr internal identifier for Tactical Deck: Tera Charizard ex</x:v>
      </x:c>
      <x:c r="K257" t="str">
        <x:v>zh-TW-d004bb41fcd7</x:v>
      </x:c>
      <x:c r="L257" t="str">
        <x:v>set_code</x:v>
      </x:c>
    </x:row>
    <x:row r="258">
      <x:c r="A258" t="str">
        <x:v>CAN-240fb9f4deb7</x:v>
      </x:c>
      <x:c r="B258" t="str">
        <x:v>2026-09-26-canonical-codes</x:v>
      </x:c>
      <x:c r="C258" t="str">
        <x:v>zh-TW</x:v>
      </x:c>
      <x:c r="D258" t="str">
        <x:v>Trainers Camp</x:v>
      </x:c>
      <x:c r="E258" t="str">
        <x:v>Catalogue code</x:v>
      </x:c>
      <x:c r="F258" t="str">
        <x:v>TW-TRAINERS-CAMP</x:v>
      </x:c>
      <x:c r="G258" t="str">
        <x:v>official_or_established</x:v>
      </x:c>
      <x:c r="H258" t="str">
        <x:v>https://asia.pokemon-card.com/tw/card-search/</x:v>
      </x:c>
      <x:c r="I258" t="str">
        <x:v>zh-TW; canonical/database identifier</x:v>
      </x:c>
      <x:c r="J258" t="str">
        <x:v>Stackr internal identifier for Trainers Camp; not asserted as an official printed code</x:v>
      </x:c>
      <x:c r="K258" t="str">
        <x:v>zh-TW-241fc26dea17</x:v>
      </x:c>
      <x:c r="L258" t="str">
        <x:v>set_code</x:v>
      </x:c>
    </x:row>
    <x:row r="259">
      <x:c r="A259" t="str">
        <x:v>CAN-1eab50dd87c0</x:v>
      </x:c>
      <x:c r="B259" t="str">
        <x:v>2026-09-26-canonical-codes</x:v>
      </x:c>
      <x:c r="C259" t="str">
        <x:v>zh-TW</x:v>
      </x:c>
      <x:c r="D259" t="str">
        <x:v>Stellar Tera ex Special Set: Ceruledge ex</x:v>
      </x:c>
      <x:c r="E259" t="str">
        <x:v>Catalogue code</x:v>
      </x:c>
      <x:c r="F259" t="str">
        <x:v>TW-STEX-CERU</x:v>
      </x:c>
      <x:c r="G259" t="str">
        <x:v>internal_alias</x:v>
      </x:c>
      <x:c r="H259" t="str">
        <x:v>https://asia.pokemon-card.com/tw/card-search/</x:v>
      </x:c>
      <x:c r="I259" t="str">
        <x:v>zh-TW; canonical/database identifier</x:v>
      </x:c>
      <x:c r="J259" t="str">
        <x:v>Stackr internal identifier for Stellar Tera ex Special Set: Ceruledge ex</x:v>
      </x:c>
      <x:c r="K259" t="str">
        <x:v>zh-TW-c86b9b559cbe</x:v>
      </x:c>
      <x:c r="L259" t="str">
        <x:v>set_code</x:v>
      </x:c>
    </x:row>
    <x:row r="260">
      <x:c r="A260" t="str">
        <x:v>CAN-755ba04c163a</x:v>
      </x:c>
      <x:c r="B260" t="str">
        <x:v>2026-09-26-canonical-codes</x:v>
      </x:c>
      <x:c r="C260" t="str">
        <x:v>zh-TW</x:v>
      </x:c>
      <x:c r="D260" t="str">
        <x:v>Stellar Tera ex Special Set: Sylveon ex</x:v>
      </x:c>
      <x:c r="E260" t="str">
        <x:v>Catalogue code</x:v>
      </x:c>
      <x:c r="F260" t="str">
        <x:v>TW-STEX-SYLV</x:v>
      </x:c>
      <x:c r="G260" t="str">
        <x:v>internal_alias</x:v>
      </x:c>
      <x:c r="H260" t="str">
        <x:v>https://asia.pokemon-card.com/tw/card-search/</x:v>
      </x:c>
      <x:c r="I260" t="str">
        <x:v>zh-TW; canonical/database identifier</x:v>
      </x:c>
      <x:c r="J260" t="str">
        <x:v>Stackr internal identifier for Stellar Tera ex Special Set: Sylveon ex</x:v>
      </x:c>
      <x:c r="K260" t="str">
        <x:v>zh-TW-1afd1f797fa7</x:v>
      </x:c>
      <x:c r="L260" t="str">
        <x:v>set_code</x:v>
      </x:c>
    </x:row>
    <x:row r="261">
      <x:c r="A261" t="str">
        <x:v>CAN-fc303959e539</x:v>
      </x:c>
      <x:c r="B261" t="str">
        <x:v>2026-09-26-final-ja-codes</x:v>
      </x:c>
      <x:c r="C261" t="str">
        <x:v>ja</x:v>
      </x:c>
      <x:c r="D261" t="str">
        <x:v>McDonald's Original Minimum★Pack</x:v>
      </x:c>
      <x:c r="E261" t="str">
        <x:v>Catalogue code</x:v>
      </x:c>
      <x:c r="F261" t="str">
        <x:v>MCD02</x:v>
      </x:c>
      <x:c r="G261" t="str">
        <x:v>established_or_internal_alias</x:v>
      </x:c>
      <x:c r="H261" t="str">
        <x:v>https://bulbapedia.bulbagarden.net/wiki/McDonald%27s_Pokemon-e_Minimum_Pack</x:v>
      </x:c>
      <x:c r="I261" t="str">
        <x:v>Japanese; canonical/database identifier</x:v>
      </x:c>
      <x:c r="J261" t="str">
        <x:v>Stackr internal alias for the 2002 McDonald's Original Minimum★Pack; no normal expansion code established</x:v>
      </x:c>
      <x:c r="K261" t="str">
        <x:v>ja-91f917868d08</x:v>
      </x:c>
      <x:c r="L261" t="str">
        <x:v>set_code</x:v>
      </x:c>
    </x:row>
    <x:row r="262">
      <x:c r="A262" t="str">
        <x:v>CAN-13ecc88287ee</x:v>
      </x:c>
      <x:c r="B262" t="str">
        <x:v>2026-09-26-final-ja-codes</x:v>
      </x:c>
      <x:c r="C262" t="str">
        <x:v>ja</x:v>
      </x:c>
      <x:c r="D262" t="str">
        <x:v>Movie 10th Anniversary Premium Sheet</x:v>
      </x:c>
      <x:c r="E262" t="str">
        <x:v>Catalogue code</x:v>
      </x:c>
      <x:c r="F262" t="str">
        <x:v>MOV10</x:v>
      </x:c>
      <x:c r="G262" t="str">
        <x:v>established_or_internal_alias</x:v>
      </x:c>
      <x:c r="H262" t="str">
        <x:v>https://bulbapedia.bulbagarden.net/wiki/10th_Movie_Commemoration_Set_%28TCG%29</x:v>
      </x:c>
      <x:c r="I262" t="str">
        <x:v>Japanese; canonical/database identifier</x:v>
      </x:c>
      <x:c r="J262" t="str">
        <x:v>Stackr internal alias for the 10th Movie Commemoration Set; special collection, not a normal numbered expansion</x:v>
      </x:c>
      <x:c r="K262" t="str">
        <x:v>ja-99455347bdc0</x:v>
      </x:c>
      <x:c r="L262" t="str">
        <x:v>set_code</x:v>
      </x:c>
    </x:row>
    <x:row r="263">
      <x:c r="A263" t="str">
        <x:v>CAN-0db8c7b721a2</x:v>
      </x:c>
      <x:c r="B263" t="str">
        <x:v>2026-09-26-final-ja-codes</x:v>
      </x:c>
      <x:c r="C263" t="str">
        <x:v>ja</x:v>
      </x:c>
      <x:c r="D263" t="str">
        <x:v>Movie Commemoration Premium Sheet</x:v>
      </x:c>
      <x:c r="E263" t="str">
        <x:v>Catalogue code</x:v>
      </x:c>
      <x:c r="F263" t="str">
        <x:v>MOV11</x:v>
      </x:c>
      <x:c r="G263" t="str">
        <x:v>established_or_internal_alias</x:v>
      </x:c>
      <x:c r="H263" t="str">
        <x:v>https://bulbapedia.bulbagarden.net/wiki/11th_Movie_Commemoration_Set_%28TCG%29</x:v>
      </x:c>
      <x:c r="I263" t="str">
        <x:v>Japanese; canonical/database identifier</x:v>
      </x:c>
      <x:c r="J263" t="str">
        <x:v>Stackr internal alias for the 11th Movie Commemoration Set; special collection, not a normal numbered expansion</x:v>
      </x:c>
      <x:c r="K263" t="str">
        <x:v>ja-6522461d7ad2</x:v>
      </x:c>
      <x:c r="L263" t="str">
        <x:v>set_code</x:v>
      </x:c>
    </x:row>
    <x:row r="264">
      <x:c r="A264" t="str">
        <x:v>CAN-b7ea2f937ab3</x:v>
      </x:c>
      <x:c r="B264" t="str">
        <x:v>2026-09-26-final-ja-codes</x:v>
      </x:c>
      <x:c r="C264" t="str">
        <x:v>ja</x:v>
      </x:c>
      <x:c r="D264" t="str">
        <x:v>World Collection</x:v>
      </x:c>
      <x:c r="E264" t="str">
        <x:v>Catalogue code</x:v>
      </x:c>
      <x:c r="F264" t="str">
        <x:v>WC10</x:v>
      </x:c>
      <x:c r="G264" t="str">
        <x:v>established_or_internal_alias</x:v>
      </x:c>
      <x:c r="H264" t="str">
        <x:v>https://bulbapedia.bulbagarden.net/wiki/Pikachu_World_%28TCG%29</x:v>
      </x:c>
      <x:c r="I264" t="str">
        <x:v>Japanese; canonical/database identifier</x:v>
      </x:c>
      <x:c r="J264" t="str">
        <x:v>Stackr internal/database shorthand for the 2010 World Collection (Pikachu World); not asserted as a printed expansion code</x:v>
      </x:c>
      <x:c r="K264" t="str">
        <x:v>ja-7f31002fd758</x:v>
      </x:c>
      <x:c r="L264" t="str">
        <x:v>set_code</x:v>
      </x:c>
    </x:row>
    <x:row r="265">
      <x:c r="A265" t="str">
        <x:v>CAN-ce9b88d7fb8f</x:v>
      </x:c>
      <x:c r="B265" t="str">
        <x:v>2026-09-26-final-ja-codes</x:v>
      </x:c>
      <x:c r="C265" t="str">
        <x:v>ja</x:v>
      </x:c>
      <x:c r="D265" t="str">
        <x:v>Black Collection</x:v>
      </x:c>
      <x:c r="E265" t="str">
        <x:v>Catalogue code</x:v>
      </x:c>
      <x:c r="F265" t="str">
        <x:v>BW1-Black</x:v>
      </x:c>
      <x:c r="G265" t="str">
        <x:v>established_or_internal_alias</x:v>
      </x:c>
      <x:c r="H265" t="str">
        <x:v>https://bulbapedia.bulbagarden.net/wiki/BW1</x:v>
      </x:c>
      <x:c r="I265" t="str">
        <x:v>Japanese; canonical/database identifier</x:v>
      </x:c>
      <x:c r="J265" t="str">
        <x:v>Stackr disambiguated child code under the Japanese BW1 dual-expansion block</x:v>
      </x:c>
      <x:c r="K265" t="str">
        <x:v>ja-0792c3a06e5e</x:v>
      </x:c>
      <x:c r="L265" t="str">
        <x:v>set_code</x:v>
      </x:c>
    </x:row>
    <x:row r="266">
      <x:c r="A266" t="str">
        <x:v>CAN-06c32e959467</x:v>
      </x:c>
      <x:c r="B266" t="str">
        <x:v>2026-09-26-final-ja-codes</x:v>
      </x:c>
      <x:c r="C266" t="str">
        <x:v>ja</x:v>
      </x:c>
      <x:c r="D266" t="str">
        <x:v>White Collection</x:v>
      </x:c>
      <x:c r="E266" t="str">
        <x:v>Catalogue code</x:v>
      </x:c>
      <x:c r="F266" t="str">
        <x:v>BW1-White</x:v>
      </x:c>
      <x:c r="G266" t="str">
        <x:v>established_or_internal_alias</x:v>
      </x:c>
      <x:c r="H266" t="str">
        <x:v>https://bulbapedia.bulbagarden.net/wiki/BW1</x:v>
      </x:c>
      <x:c r="I266" t="str">
        <x:v>Japanese; canonical/database identifier</x:v>
      </x:c>
      <x:c r="J266" t="str">
        <x:v>Stackr disambiguated child code under the Japanese BW1 dual-expansion block</x:v>
      </x:c>
      <x:c r="K266" t="str">
        <x:v>ja-343ee8958d6b</x:v>
      </x:c>
      <x:c r="L266" t="str">
        <x:v>set_code</x:v>
      </x:c>
    </x:row>
    <x:row r="267">
      <x:c r="A267" t="str">
        <x:v>CAN-4b7b731738a8</x:v>
      </x:c>
      <x:c r="B267" t="str">
        <x:v>2026-09-26-final-ja-codes</x:v>
      </x:c>
      <x:c r="C267" t="str">
        <x:v>ja</x:v>
      </x:c>
      <x:c r="D267" t="str">
        <x:v>Hail Blizzard</x:v>
      </x:c>
      <x:c r="E267" t="str">
        <x:v>Catalogue code</x:v>
      </x:c>
      <x:c r="F267" t="str">
        <x:v>BW3-Hail</x:v>
      </x:c>
      <x:c r="G267" t="str">
        <x:v>established_or_internal_alias</x:v>
      </x:c>
      <x:c r="H267" t="str">
        <x:v>https://bulbapedia.bulbagarden.net/wiki/Next_Destinies_%28TCG%29</x:v>
      </x:c>
      <x:c r="I267" t="str">
        <x:v>Japanese; canonical/database identifier</x:v>
      </x:c>
      <x:c r="J267" t="str">
        <x:v>Stackr disambiguated child code under the Japanese BW3 dual-expansion block</x:v>
      </x:c>
      <x:c r="K267" t="str">
        <x:v>ja-56563c34a89e</x:v>
      </x:c>
      <x:c r="L267" t="str">
        <x:v>set_code</x:v>
      </x:c>
    </x:row>
    <x:row r="268">
      <x:c r="A268" t="str">
        <x:v>CAN-f7d7a7c9a8b8</x:v>
      </x:c>
      <x:c r="B268" t="str">
        <x:v>2026-09-26-final-ja-codes</x:v>
      </x:c>
      <x:c r="C268" t="str">
        <x:v>ja</x:v>
      </x:c>
      <x:c r="D268" t="str">
        <x:v>Psycho Drive</x:v>
      </x:c>
      <x:c r="E268" t="str">
        <x:v>Catalogue code</x:v>
      </x:c>
      <x:c r="F268" t="str">
        <x:v>BW3-Psycho</x:v>
      </x:c>
      <x:c r="G268" t="str">
        <x:v>established_or_internal_alias</x:v>
      </x:c>
      <x:c r="H268" t="str">
        <x:v>https://bulbapedia.bulbagarden.net/wiki/Next_Destinies_%28TCG%29</x:v>
      </x:c>
      <x:c r="I268" t="str">
        <x:v>Japanese; canonical/database identifier</x:v>
      </x:c>
      <x:c r="J268" t="str">
        <x:v>Stackr disambiguated child code under the Japanese BW3 dual-expansion block</x:v>
      </x:c>
      <x:c r="K268" t="str">
        <x:v>ja-aaca389707bd</x:v>
      </x:c>
      <x:c r="L268" t="str">
        <x:v>set_code</x:v>
      </x:c>
    </x:row>
    <x:row r="269">
      <x:c r="A269" t="str">
        <x:v>CAN-05a7108cfffb</x:v>
      </x:c>
      <x:c r="B269" t="str">
        <x:v>2026-09-26-final-ja-codes</x:v>
      </x:c>
      <x:c r="C269" t="str">
        <x:v>ja</x:v>
      </x:c>
      <x:c r="D269" t="str">
        <x:v>Dragon Blade</x:v>
      </x:c>
      <x:c r="E269" t="str">
        <x:v>Catalogue code</x:v>
      </x:c>
      <x:c r="F269" t="str">
        <x:v>BW5-Blade</x:v>
      </x:c>
      <x:c r="G269" t="str">
        <x:v>established_or_internal_alias</x:v>
      </x:c>
      <x:c r="H269" t="str">
        <x:v>https://bulbapedia.bulbagarden.net/wiki/Dragons_Exalted_%28TCG%29</x:v>
      </x:c>
      <x:c r="I269" t="str">
        <x:v>Japanese; canonical/database identifier</x:v>
      </x:c>
      <x:c r="J269" t="str">
        <x:v>Stackr disambiguated child code under the Japanese BW5 dual-expansion block</x:v>
      </x:c>
      <x:c r="K269" t="str">
        <x:v>ja-38d355385584</x:v>
      </x:c>
      <x:c r="L269" t="str">
        <x:v>set_code</x:v>
      </x:c>
    </x:row>
    <x:row r="270">
      <x:c r="A270" t="str">
        <x:v>CAN-ddcc28c6fde2</x:v>
      </x:c>
      <x:c r="B270" t="str">
        <x:v>2026-09-26-final-ja-codes</x:v>
      </x:c>
      <x:c r="C270" t="str">
        <x:v>ja</x:v>
      </x:c>
      <x:c r="D270" t="str">
        <x:v>Dragon Blast</x:v>
      </x:c>
      <x:c r="E270" t="str">
        <x:v>Catalogue code</x:v>
      </x:c>
      <x:c r="F270" t="str">
        <x:v>BW5-Blast</x:v>
      </x:c>
      <x:c r="G270" t="str">
        <x:v>established_or_internal_alias</x:v>
      </x:c>
      <x:c r="H270" t="str">
        <x:v>https://bulbapedia.bulbagarden.net/wiki/Dragons_Exalted_%28TCG%29</x:v>
      </x:c>
      <x:c r="I270" t="str">
        <x:v>Japanese; canonical/database identifier</x:v>
      </x:c>
      <x:c r="J270" t="str">
        <x:v>Stackr disambiguated child code under the Japanese BW5 dual-expansion block</x:v>
      </x:c>
      <x:c r="K270" t="str">
        <x:v>ja-cb452c3959d0</x:v>
      </x:c>
      <x:c r="L270" t="str">
        <x:v>set_code</x:v>
      </x:c>
    </x:row>
    <x:row r="271">
      <x:c r="A271" t="str">
        <x:v>CAN-4f2db5493a48</x:v>
      </x:c>
      <x:c r="B271" t="str">
        <x:v>2026-09-26-final-ja-codes</x:v>
      </x:c>
      <x:c r="C271" t="str">
        <x:v>ja</x:v>
      </x:c>
      <x:c r="D271" t="str">
        <x:v>Cold Flare</x:v>
      </x:c>
      <x:c r="E271" t="str">
        <x:v>Catalogue code</x:v>
      </x:c>
      <x:c r="F271" t="str">
        <x:v>BW6-Cold</x:v>
      </x:c>
      <x:c r="G271" t="str">
        <x:v>established_or_internal_alias</x:v>
      </x:c>
      <x:c r="H271" t="str">
        <x:v>https://bulbapedia.bulbagarden.net/wiki/List_of_Japanese_TCG_Expansions</x:v>
      </x:c>
      <x:c r="I271" t="str">
        <x:v>Japanese; canonical/database identifier</x:v>
      </x:c>
      <x:c r="J271" t="str">
        <x:v>Stackr disambiguated child code under the Japanese BW6 dual-expansion block</x:v>
      </x:c>
      <x:c r="K271" t="str">
        <x:v>ja-9d708a7a2d48</x:v>
      </x:c>
      <x:c r="L271" t="str">
        <x:v>set_code</x:v>
      </x:c>
    </x:row>
    <x:row r="272">
      <x:c r="A272" t="str">
        <x:v>CAN-64cc3fc1c99b</x:v>
      </x:c>
      <x:c r="B272" t="str">
        <x:v>2026-09-26-final-ja-codes</x:v>
      </x:c>
      <x:c r="C272" t="str">
        <x:v>ja</x:v>
      </x:c>
      <x:c r="D272" t="str">
        <x:v>Freeze Bolt</x:v>
      </x:c>
      <x:c r="E272" t="str">
        <x:v>Catalogue code</x:v>
      </x:c>
      <x:c r="F272" t="str">
        <x:v>BW6-Freeze</x:v>
      </x:c>
      <x:c r="G272" t="str">
        <x:v>established_or_internal_alias</x:v>
      </x:c>
      <x:c r="H272" t="str">
        <x:v>https://bulbapedia.bulbagarden.net/wiki/List_of_Japanese_TCG_Expansions</x:v>
      </x:c>
      <x:c r="I272" t="str">
        <x:v>Japanese; canonical/database identifier</x:v>
      </x:c>
      <x:c r="J272" t="str">
        <x:v>Stackr disambiguated child code under the Japanese BW6 dual-expansion block</x:v>
      </x:c>
      <x:c r="K272" t="str">
        <x:v>ja-cf12abfb207a</x:v>
      </x:c>
      <x:c r="L272" t="str">
        <x:v>set_code</x:v>
      </x:c>
    </x:row>
    <x:row r="273">
      <x:c r="A273" t="str">
        <x:v>CAN-95bc749b6a77</x:v>
      </x:c>
      <x:c r="B273" t="str">
        <x:v>2026-09-26-final-ja-codes</x:v>
      </x:c>
      <x:c r="C273" t="str">
        <x:v>ja</x:v>
      </x:c>
      <x:c r="D273" t="str">
        <x:v>Spiral Force</x:v>
      </x:c>
      <x:c r="E273" t="str">
        <x:v>Catalogue code</x:v>
      </x:c>
      <x:c r="F273" t="str">
        <x:v>BW8-Spiral</x:v>
      </x:c>
      <x:c r="G273" t="str">
        <x:v>established_or_internal_alias</x:v>
      </x:c>
      <x:c r="H273" t="str">
        <x:v>https://bulbapedia.bulbagarden.net/wiki/List_of_Japanese_TCG_Expansions</x:v>
      </x:c>
      <x:c r="I273" t="str">
        <x:v>Japanese; canonical/database identifier</x:v>
      </x:c>
      <x:c r="J273" t="str">
        <x:v>Stackr disambiguated child code under the Japanese BW8 dual-expansion block</x:v>
      </x:c>
      <x:c r="K273" t="str">
        <x:v>ja-2d2ccae25348</x:v>
      </x:c>
      <x:c r="L273" t="str">
        <x:v>set_code</x:v>
      </x:c>
    </x:row>
    <x:row r="274">
      <x:c r="A274" t="str">
        <x:v>CAN-4b5a62607df5</x:v>
      </x:c>
      <x:c r="B274" t="str">
        <x:v>2026-09-26-final-ja-codes</x:v>
      </x:c>
      <x:c r="C274" t="str">
        <x:v>ja</x:v>
      </x:c>
      <x:c r="D274" t="str">
        <x:v>Thunder Knuckle</x:v>
      </x:c>
      <x:c r="E274" t="str">
        <x:v>Catalogue code</x:v>
      </x:c>
      <x:c r="F274" t="str">
        <x:v>BW8-Thunder</x:v>
      </x:c>
      <x:c r="G274" t="str">
        <x:v>established_or_internal_alias</x:v>
      </x:c>
      <x:c r="H274" t="str">
        <x:v>https://bulbapedia.bulbagarden.net/wiki/List_of_Japanese_TCG_Expansions</x:v>
      </x:c>
      <x:c r="I274" t="str">
        <x:v>Japanese; canonical/database identifier</x:v>
      </x:c>
      <x:c r="J274" t="str">
        <x:v>Stackr disambiguated child code under the Japanese BW8 dual-expansion block</x:v>
      </x:c>
      <x:c r="K274" t="str">
        <x:v>ja-ca4ba12512ac</x:v>
      </x:c>
      <x:c r="L274" t="str">
        <x:v>set_code</x:v>
      </x:c>
    </x:row>
    <x:row r="275">
      <x:c r="A275" t="str">
        <x:v>CAN-7ab3d4a5017f</x:v>
      </x:c>
      <x:c r="B275" t="str">
        <x:v>2026-09-26-final-ja-codes</x:v>
      </x:c>
      <x:c r="C275" t="str">
        <x:v>ja</x:v>
      </x:c>
      <x:c r="D275" t="str">
        <x:v>Collection X</x:v>
      </x:c>
      <x:c r="E275" t="str">
        <x:v>Catalogue code</x:v>
      </x:c>
      <x:c r="F275" t="str">
        <x:v>XY1-X</x:v>
      </x:c>
      <x:c r="G275" t="str">
        <x:v>established_or_internal_alias</x:v>
      </x:c>
      <x:c r="H275" t="str">
        <x:v>https://bulbapedia.bulbagarden.net/wiki/List_of_Japanese_TCG_Expansions</x:v>
      </x:c>
      <x:c r="I275" t="str">
        <x:v>Japanese; canonical/database identifier</x:v>
      </x:c>
      <x:c r="J275" t="str">
        <x:v>Stackr disambiguated child code under the Japanese XY1 dual-expansion block</x:v>
      </x:c>
      <x:c r="K275" t="str">
        <x:v>ja-89b882805fa9</x:v>
      </x:c>
      <x:c r="L275" t="str">
        <x:v>set_code</x:v>
      </x:c>
    </x:row>
    <x:row r="276">
      <x:c r="A276" t="str">
        <x:v>CAN-d1dbfcc59efb</x:v>
      </x:c>
      <x:c r="B276" t="str">
        <x:v>2026-09-26-final-ja-codes</x:v>
      </x:c>
      <x:c r="C276" t="str">
        <x:v>ja</x:v>
      </x:c>
      <x:c r="D276" t="str">
        <x:v>Collection Y</x:v>
      </x:c>
      <x:c r="E276" t="str">
        <x:v>Catalogue code</x:v>
      </x:c>
      <x:c r="F276" t="str">
        <x:v>XY1-Y</x:v>
      </x:c>
      <x:c r="G276" t="str">
        <x:v>established_or_internal_alias</x:v>
      </x:c>
      <x:c r="H276" t="str">
        <x:v>https://bulbapedia.bulbagarden.net/wiki/List_of_Japanese_TCG_Expansions</x:v>
      </x:c>
      <x:c r="I276" t="str">
        <x:v>Japanese; canonical/database identifier</x:v>
      </x:c>
      <x:c r="J276" t="str">
        <x:v>Stackr disambiguated child code under the Japanese XY1 dual-expansion block</x:v>
      </x:c>
      <x:c r="K276" t="str">
        <x:v>ja-746fc064572f</x:v>
      </x:c>
      <x:c r="L276" t="str">
        <x:v>set_code</x:v>
      </x:c>
    </x:row>
    <x:row r="277">
      <x:c r="A277" t="str">
        <x:v>CAN-943d7082bb52</x:v>
      </x:c>
      <x:c r="B277" t="str">
        <x:v>2026-09-26-final-ja-codes</x:v>
      </x:c>
      <x:c r="C277" t="str">
        <x:v>ja</x:v>
      </x:c>
      <x:c r="D277" t="str">
        <x:v>Gaia Volcano</x:v>
      </x:c>
      <x:c r="E277" t="str">
        <x:v>Catalogue code</x:v>
      </x:c>
      <x:c r="F277" t="str">
        <x:v>XY5-Gaia</x:v>
      </x:c>
      <x:c r="G277" t="str">
        <x:v>established_or_internal_alias</x:v>
      </x:c>
      <x:c r="H277" t="str">
        <x:v>https://bulbapedia.bulbagarden.net/wiki/List_of_Japanese_TCG_Expansions</x:v>
      </x:c>
      <x:c r="I277" t="str">
        <x:v>Japanese; canonical/database identifier</x:v>
      </x:c>
      <x:c r="J277" t="str">
        <x:v>Stackr disambiguated child code under the Japanese XY5 dual-expansion block</x:v>
      </x:c>
      <x:c r="K277" t="str">
        <x:v>ja-9081f4c9a4f2</x:v>
      </x:c>
      <x:c r="L277" t="str">
        <x:v>set_code</x:v>
      </x:c>
    </x:row>
    <x:row r="278">
      <x:c r="A278" t="str">
        <x:v>CAN-0c8ffa04baea</x:v>
      </x:c>
      <x:c r="B278" t="str">
        <x:v>2026-09-26-final-ja-codes</x:v>
      </x:c>
      <x:c r="C278" t="str">
        <x:v>ja</x:v>
      </x:c>
      <x:c r="D278" t="str">
        <x:v>Tidal Storm</x:v>
      </x:c>
      <x:c r="E278" t="str">
        <x:v>Catalogue code</x:v>
      </x:c>
      <x:c r="F278" t="str">
        <x:v>XY5-Tidal</x:v>
      </x:c>
      <x:c r="G278" t="str">
        <x:v>established_or_internal_alias</x:v>
      </x:c>
      <x:c r="H278" t="str">
        <x:v>https://bulbapedia.bulbagarden.net/wiki/List_of_Japanese_TCG_Expansions</x:v>
      </x:c>
      <x:c r="I278" t="str">
        <x:v>Japanese; canonical/database identifier</x:v>
      </x:c>
      <x:c r="J278" t="str">
        <x:v>Stackr disambiguated child code under the Japanese XY5 dual-expansion block</x:v>
      </x:c>
      <x:c r="K278" t="str">
        <x:v>ja-f78ca0230f1d</x:v>
      </x:c>
      <x:c r="L278" t="str">
        <x:v>set_code</x:v>
      </x:c>
    </x:row>
    <x:row r="279">
      <x:c r="A279" t="str">
        <x:v>CAN-5159944bbc90</x:v>
      </x:c>
      <x:c r="B279" t="str">
        <x:v>2026-09-26-final-ja-codes</x:v>
      </x:c>
      <x:c r="C279" t="str">
        <x:v>ja</x:v>
      </x:c>
      <x:c r="D279" t="str">
        <x:v>Blue Shock</x:v>
      </x:c>
      <x:c r="E279" t="str">
        <x:v>Catalogue code</x:v>
      </x:c>
      <x:c r="F279" t="str">
        <x:v>XY8-Blue</x:v>
      </x:c>
      <x:c r="G279" t="str">
        <x:v>established_or_internal_alias</x:v>
      </x:c>
      <x:c r="H279" t="str">
        <x:v>https://bulbapedia.bulbagarden.net/wiki/XY8</x:v>
      </x:c>
      <x:c r="I279" t="str">
        <x:v>Japanese; canonical/database identifier</x:v>
      </x:c>
      <x:c r="J279" t="str">
        <x:v>Stackr disambiguated child code under the Japanese XY8 dual-expansion block</x:v>
      </x:c>
      <x:c r="K279" t="str">
        <x:v>ja-a9d8ad9a0436</x:v>
      </x:c>
      <x:c r="L279" t="str">
        <x:v>set_code</x:v>
      </x:c>
    </x:row>
    <x:row r="280">
      <x:c r="A280" t="str">
        <x:v>CAN-44fbfb459f96</x:v>
      </x:c>
      <x:c r="B280" t="str">
        <x:v>2026-09-26-final-ja-codes</x:v>
      </x:c>
      <x:c r="C280" t="str">
        <x:v>ja</x:v>
      </x:c>
      <x:c r="D280" t="str">
        <x:v>Red Flash</x:v>
      </x:c>
      <x:c r="E280" t="str">
        <x:v>Catalogue code</x:v>
      </x:c>
      <x:c r="F280" t="str">
        <x:v>XY8-Red</x:v>
      </x:c>
      <x:c r="G280" t="str">
        <x:v>established_or_internal_alias</x:v>
      </x:c>
      <x:c r="H280" t="str">
        <x:v>https://bulbapedia.bulbagarden.net/wiki/XY8</x:v>
      </x:c>
      <x:c r="I280" t="str">
        <x:v>Japanese; canonical/database identifier</x:v>
      </x:c>
      <x:c r="J280" t="str">
        <x:v>Stackr disambiguated child code under the Japanese XY8 dual-expansion block</x:v>
      </x:c>
      <x:c r="K280" t="str">
        <x:v>ja-cd5a3e4dd99f</x:v>
      </x:c>
      <x:c r="L280" t="str">
        <x:v>set_code</x:v>
      </x:c>
    </x:row>
    <x:row r="281">
      <x:c r="A281" t="str">
        <x:v>CAN-326cbe5764c0</x:v>
      </x:c>
      <x:c r="B281" t="str">
        <x:v>2026-09-26-final-ja-codes</x:v>
      </x:c>
      <x:c r="C281" t="str">
        <x:v>ja</x:v>
      </x:c>
      <x:c r="D281" t="str">
        <x:v>Cruel Traitor</x:v>
      </x:c>
      <x:c r="E281" t="str">
        <x:v>Catalogue code</x:v>
      </x:c>
      <x:c r="F281" t="str">
        <x:v>XY11-Cruel</x:v>
      </x:c>
      <x:c r="G281" t="str">
        <x:v>established_or_internal_alias</x:v>
      </x:c>
      <x:c r="H281" t="str">
        <x:v>https://bulbapedia.bulbagarden.net/wiki/List_of_Japanese_TCG_Expansions</x:v>
      </x:c>
      <x:c r="I281" t="str">
        <x:v>Japanese; canonical/database identifier</x:v>
      </x:c>
      <x:c r="J281" t="str">
        <x:v>Stackr disambiguated child code under the Japanese XY11 dual-expansion block</x:v>
      </x:c>
      <x:c r="K281" t="str">
        <x:v>ja-3f66b633b386</x:v>
      </x:c>
      <x:c r="L281" t="str">
        <x:v>set_code</x:v>
      </x:c>
    </x:row>
    <x:row r="282">
      <x:c r="A282" t="str">
        <x:v>CAN-db7ce5ab8ebe</x:v>
      </x:c>
      <x:c r="B282" t="str">
        <x:v>2026-09-26-final-ja-codes</x:v>
      </x:c>
      <x:c r="C282" t="str">
        <x:v>ja</x:v>
      </x:c>
      <x:c r="D282" t="str">
        <x:v>Fever-Burst Fighter</x:v>
      </x:c>
      <x:c r="E282" t="str">
        <x:v>Catalogue code</x:v>
      </x:c>
      <x:c r="F282" t="str">
        <x:v>XY11-Fever</x:v>
      </x:c>
      <x:c r="G282" t="str">
        <x:v>established_or_internal_alias</x:v>
      </x:c>
      <x:c r="H282" t="str">
        <x:v>https://bulbapedia.bulbagarden.net/wiki/List_of_Japanese_TCG_Expansions</x:v>
      </x:c>
      <x:c r="I282" t="str">
        <x:v>Japanese; canonical/database identifier</x:v>
      </x:c>
      <x:c r="J282" t="str">
        <x:v>Stackr disambiguated child code under the Japanese XY11 dual-expansion block</x:v>
      </x:c>
      <x:c r="K282" t="str">
        <x:v>ja-d22d64184649</x:v>
      </x:c>
      <x:c r="L282" t="str">
        <x:v>set_code</x:v>
      </x:c>
    </x:row>
    <x:row r="283">
      <x:c r="A283" t="str">
        <x:v>CAN-6548ac362fea</x:v>
      </x:c>
      <x:c r="B283" t="str">
        <x:v>2026-09-26-final-ja-codes</x:v>
      </x:c>
      <x:c r="C283" t="str">
        <x:v>ja</x:v>
      </x:c>
      <x:c r="D283" t="str">
        <x:v>Promo Card Pack 25th Anniversary Edition</x:v>
      </x:c>
      <x:c r="E283" t="str">
        <x:v>Catalogue code</x:v>
      </x:c>
      <x:c r="F283" t="str">
        <x:v>S8aP</x:v>
      </x:c>
      <x:c r="G283" t="str">
        <x:v>established_or_internal_alias</x:v>
      </x:c>
      <x:c r="H283" t="str">
        <x:v>https://bulbapedia.bulbagarden.net/wiki/S8aP</x:v>
      </x:c>
      <x:c r="I283" t="str">
        <x:v>Japanese; canonical/database identifier</x:v>
      </x:c>
      <x:c r="J283" t="str">
        <x:v>Established database identifier for the Promo Card Pack 25th Anniversary Edition</x:v>
      </x:c>
      <x:c r="K283" t="str">
        <x:v>ja-bfa6e28a825b</x:v>
      </x:c>
      <x:c r="L283" t="str">
        <x:v>set_code</x:v>
      </x:c>
    </x:row>
    <x:row r="284">
      <x:c r="A284" t="str">
        <x:v>CAN-cd3d50ec8ced</x:v>
      </x:c>
      <x:c r="B284" t="str">
        <x:v>2026-09-26-final-ja-codes</x:v>
      </x:c>
      <x:c r="C284" t="str">
        <x:v>ja</x:v>
      </x:c>
      <x:c r="D284" t="str">
        <x:v>Aura Seeker</x:v>
      </x:c>
      <x:c r="E284" t="str">
        <x:v>Catalogue code</x:v>
      </x:c>
      <x:c r="F284" t="str">
        <x:v>JA-AURA</x:v>
      </x:c>
      <x:c r="G284" t="str">
        <x:v>established_or_internal_alias</x:v>
      </x:c>
      <x:c r="H284" t="str">
        <x:v>https://bulbapedia.bulbagarden.net/wiki/Aura_Seeker_%28TCG%29</x:v>
      </x:c>
      <x:c r="I284" t="str">
        <x:v>Japanese; canonical/database identifier</x:v>
      </x:c>
      <x:c r="J284" t="str">
        <x:v>PROVISIONAL Stackr identifier only. Aura Seeker is an expected future Japanese MEGA-era set; no official expansion code is established as of 26 September 2026</x:v>
      </x:c>
      <x:c r="K284" t="str">
        <x:v>ja-08c1ac029230</x:v>
      </x:c>
      <x:c r="L284" t="str">
        <x:v>set_code</x:v>
      </x:c>
    </x:row>
    <x:row r="285">
      <x:c r="A285" t="str">
        <x:v>CAN-c8229281ceb9</x:v>
      </x:c>
      <x:c r="B285" t="str">
        <x:v>2026-09-26-final-ja-codes</x:v>
      </x:c>
      <x:c r="C285" t="str">
        <x:v>ja</x:v>
      </x:c>
      <x:c r="D285" t="str">
        <x:v>Start Deck 100</x:v>
      </x:c>
      <x:c r="E285" t="str">
        <x:v>Catalogue code</x:v>
      </x:c>
      <x:c r="F285" t="str">
        <x:v>SI</x:v>
      </x:c>
      <x:c r="G285" t="str">
        <x:v>established_or_internal_alias</x:v>
      </x:c>
      <x:c r="H285" t="str">
        <x:v>https://www.pokemon-card.com/card-search/details.php/card/40767</x:v>
      </x:c>
      <x:c r="I285" t="str">
        <x:v>Japanese; canonical/database identifier</x:v>
      </x:c>
      <x:c r="J285" t="str">
        <x:v>Established Japanese set/product code; official Pokémon card-search entries show SI collector numbering for Start Deck 100</x:v>
      </x:c>
      <x:c r="K285" t="str">
        <x:v>ja-db1b40ed6128</x:v>
      </x:c>
      <x:c r="L285" t="str">
        <x:v>set_code</x:v>
      </x:c>
    </x:row>
    <x:row r="286">
      <x:c r="A286" t="str">
        <x:v>CAN-9a68f5ca19ba</x:v>
      </x:c>
      <x:c r="B286" t="str">
        <x:v>2026-09-26-final-ja-codes</x:v>
      </x:c>
      <x:c r="C286" t="str">
        <x:v>ja</x:v>
      </x:c>
      <x:c r="D286" t="str">
        <x:v>Unnumbered Promotional cards</x:v>
      </x:c>
      <x:c r="E286" t="str">
        <x:v>Catalogue code</x:v>
      </x:c>
      <x:c r="F286" t="str">
        <x:v>JA-PROMO-UN</x:v>
      </x:c>
      <x:c r="G286" t="str">
        <x:v>established_or_internal_alias</x:v>
      </x:c>
      <x:c r="H286" t="str">
        <x:v>https://bulbapedia.bulbagarden.net/wiki/Unnumbered_Promotional_cards</x:v>
      </x:c>
      <x:c r="I286" t="str">
        <x:v>Japanese; canonical/database identifier</x:v>
      </x:c>
      <x:c r="J286" t="str">
        <x:v>Stackr umbrella identifier for Japan's explicitly unnumbered promotional-card collection; by definition no collection code/number exists for the group</x:v>
      </x:c>
      <x:c r="K286" t="str">
        <x:v>ja-dc7d8d809c94</x:v>
      </x:c>
      <x:c r="L286" t="str">
        <x:v>set_code</x:v>
      </x:c>
    </x:row>
    <x:row r="287">
      <x:c r="A287" t="str">
        <x:v>GAP45-87c680cc7ef6</x:v>
      </x:c>
      <x:c r="B287" t="str">
        <x:v>2026-09-26-gap45</x:v>
      </x:c>
      <x:c r="C287" t="str">
        <x:v>ja</x:v>
      </x:c>
      <x:c r="D287" t="str">
        <x:v>P Promotional cards</x:v>
      </x:c>
      <x:c r="E287" t="str">
        <x:v>Native name</x:v>
      </x:c>
      <x:c r="F287" t="str">
        <x:v>Pプロモカード</x:v>
      </x:c>
      <x:c r="G287" t="str">
        <x:v>official_or_normalized_local_label</x:v>
      </x:c>
      <x:c r="H287" t="str">
        <x:v>https://bulbapedia.bulbagarden.net/wiki/P_Promotional_cards_%28TCG%29</x:v>
      </x:c>
      <x:c r="I287" t="str">
        <x:v>ja</x:v>
      </x:c>
      <x:c r="J287" t="str">
        <x:v>normalized Japanese catalogue label</x:v>
      </x:c>
      <x:c r="K287" t="str">
        <x:v>ja-694d6a421da5</x:v>
      </x:c>
      <x:c r="L287" t="str">
        <x:v>name_native</x:v>
      </x:c>
    </x:row>
    <x:row r="288">
      <x:c r="A288" t="str">
        <x:v>GAP45-e9bdd49c7786</x:v>
      </x:c>
      <x:c r="B288" t="str">
        <x:v>2026-09-26-gap45</x:v>
      </x:c>
      <x:c r="C288" t="str">
        <x:v>ja</x:v>
      </x:c>
      <x:c r="D288" t="str">
        <x:v>J Promotional cards</x:v>
      </x:c>
      <x:c r="E288" t="str">
        <x:v>Native name</x:v>
      </x:c>
      <x:c r="F288" t="str">
        <x:v>Jプロモカード</x:v>
      </x:c>
      <x:c r="G288" t="str">
        <x:v>official_or_normalized_local_label</x:v>
      </x:c>
      <x:c r="H288" t="str">
        <x:v>https://bulbapedia.bulbagarden.net/wiki/Category%3AJapanese_promotional_cards</x:v>
      </x:c>
      <x:c r="I288" t="str">
        <x:v>ja</x:v>
      </x:c>
      <x:c r="J288" t="str">
        <x:v>normalized Japanese catalogue label</x:v>
      </x:c>
      <x:c r="K288" t="str">
        <x:v>ja-ddb55a1b97e2</x:v>
      </x:c>
      <x:c r="L288" t="str">
        <x:v>name_native</x:v>
      </x:c>
    </x:row>
    <x:row r="289">
      <x:c r="A289" t="str">
        <x:v>GAP45-54139beaccc5</x:v>
      </x:c>
      <x:c r="B289" t="str">
        <x:v>2026-09-26-gap45</x:v>
      </x:c>
      <x:c r="C289" t="str">
        <x:v>ja</x:v>
      </x:c>
      <x:c r="D289" t="str">
        <x:v>T Promotional cards</x:v>
      </x:c>
      <x:c r="E289" t="str">
        <x:v>Native name</x:v>
      </x:c>
      <x:c r="F289" t="str">
        <x:v>Tプロモカード</x:v>
      </x:c>
      <x:c r="G289" t="str">
        <x:v>official_or_normalized_local_label</x:v>
      </x:c>
      <x:c r="H289" t="str">
        <x:v>https://bulbapedia.bulbagarden.net/wiki/Category%3AJapanese_promotional_cards</x:v>
      </x:c>
      <x:c r="I289" t="str">
        <x:v>ja</x:v>
      </x:c>
      <x:c r="J289" t="str">
        <x:v>normalized Japanese catalogue label</x:v>
      </x:c>
      <x:c r="K289" t="str">
        <x:v>ja-50f9d368a5bd</x:v>
      </x:c>
      <x:c r="L289" t="str">
        <x:v>name_native</x:v>
      </x:c>
    </x:row>
    <x:row r="290">
      <x:c r="A290" t="str">
        <x:v>GAP45-b2e2fe91ce15</x:v>
      </x:c>
      <x:c r="B290" t="str">
        <x:v>2026-09-26-gap45</x:v>
      </x:c>
      <x:c r="C290" t="str">
        <x:v>ja</x:v>
      </x:c>
      <x:c r="D290" t="str">
        <x:v>ADV-P Promotional cards</x:v>
      </x:c>
      <x:c r="E290" t="str">
        <x:v>Native name</x:v>
      </x:c>
      <x:c r="F290" t="str">
        <x:v>ADV-Pプロモカード</x:v>
      </x:c>
      <x:c r="G290" t="str">
        <x:v>official_or_normalized_local_label</x:v>
      </x:c>
      <x:c r="H290" t="str">
        <x:v>https://bulbapedia.bulbagarden.net/wiki/ADV-P</x:v>
      </x:c>
      <x:c r="I290" t="str">
        <x:v>ja</x:v>
      </x:c>
      <x:c r="J290" t="str">
        <x:v>normalized Japanese catalogue label</x:v>
      </x:c>
      <x:c r="K290" t="str">
        <x:v>ja-41afcbcca321</x:v>
      </x:c>
      <x:c r="L290" t="str">
        <x:v>name_native</x:v>
      </x:c>
    </x:row>
    <x:row r="291">
      <x:c r="A291" t="str">
        <x:v>GAP45-71823d8af9d6</x:v>
      </x:c>
      <x:c r="B291" t="str">
        <x:v>2026-09-26-gap45</x:v>
      </x:c>
      <x:c r="C291" t="str">
        <x:v>ja</x:v>
      </x:c>
      <x:c r="D291" t="str">
        <x:v>PLAY Promotional cards</x:v>
      </x:c>
      <x:c r="E291" t="str">
        <x:v>Native name</x:v>
      </x:c>
      <x:c r="F291" t="str">
        <x:v>PLAYプロモカード</x:v>
      </x:c>
      <x:c r="G291" t="str">
        <x:v>official_or_normalized_local_label</x:v>
      </x:c>
      <x:c r="H291" t="str">
        <x:v>https://bulbapedia.bulbagarden.net/wiki/Category%3AJapanese_promotional_cards</x:v>
      </x:c>
      <x:c r="I291" t="str">
        <x:v>ja</x:v>
      </x:c>
      <x:c r="J291" t="str">
        <x:v>normalized Japanese catalogue label</x:v>
      </x:c>
      <x:c r="K291" t="str">
        <x:v>ja-d25bf55a9cb2</x:v>
      </x:c>
      <x:c r="L291" t="str">
        <x:v>name_native</x:v>
      </x:c>
    </x:row>
    <x:row r="292">
      <x:c r="A292" t="str">
        <x:v>GAP45-5721abc29c34</x:v>
      </x:c>
      <x:c r="B292" t="str">
        <x:v>2026-09-26-gap45</x:v>
      </x:c>
      <x:c r="C292" t="str">
        <x:v>ja</x:v>
      </x:c>
      <x:c r="D292" t="str">
        <x:v>PCG-P Promotional cards</x:v>
      </x:c>
      <x:c r="E292" t="str">
        <x:v>Native name</x:v>
      </x:c>
      <x:c r="F292" t="str">
        <x:v>PCG-Pプロモカード</x:v>
      </x:c>
      <x:c r="G292" t="str">
        <x:v>official_or_normalized_local_label</x:v>
      </x:c>
      <x:c r="H292" t="str">
        <x:v>https://bulbapedia.bulbagarden.net/wiki/Category%3AJapanese_promotional_cards</x:v>
      </x:c>
      <x:c r="I292" t="str">
        <x:v>ja</x:v>
      </x:c>
      <x:c r="J292" t="str">
        <x:v>normalized Japanese catalogue label</x:v>
      </x:c>
      <x:c r="K292" t="str">
        <x:v>ja-69e99c848c8f</x:v>
      </x:c>
      <x:c r="L292" t="str">
        <x:v>name_native</x:v>
      </x:c>
    </x:row>
    <x:row r="293">
      <x:c r="A293" t="str">
        <x:v>GAP45-32b3e2415c12</x:v>
      </x:c>
      <x:c r="B293" t="str">
        <x:v>2026-09-26-gap45</x:v>
      </x:c>
      <x:c r="C293" t="str">
        <x:v>ja</x:v>
      </x:c>
      <x:c r="D293" t="str">
        <x:v>DP-P Promotional cards</x:v>
      </x:c>
      <x:c r="E293" t="str">
        <x:v>Native name</x:v>
      </x:c>
      <x:c r="F293" t="str">
        <x:v>DP-Pプロモカード</x:v>
      </x:c>
      <x:c r="G293" t="str">
        <x:v>official_or_normalized_local_label</x:v>
      </x:c>
      <x:c r="H293" t="str">
        <x:v>https://bulbapedia.bulbagarden.net/wiki/DP-P_Promotional_cards_%28TCG%29</x:v>
      </x:c>
      <x:c r="I293" t="str">
        <x:v>ja</x:v>
      </x:c>
      <x:c r="J293" t="str">
        <x:v>normalized Japanese catalogue label</x:v>
      </x:c>
      <x:c r="K293" t="str">
        <x:v>ja-4f36e9f81e8a</x:v>
      </x:c>
      <x:c r="L293" t="str">
        <x:v>name_native</x:v>
      </x:c>
    </x:row>
    <x:row r="294">
      <x:c r="A294" t="str">
        <x:v>GAP45-e953456e126b</x:v>
      </x:c>
      <x:c r="B294" t="str">
        <x:v>2026-09-26-gap45</x:v>
      </x:c>
      <x:c r="C294" t="str">
        <x:v>ja</x:v>
      </x:c>
      <x:c r="D294" t="str">
        <x:v>PPP Promotional cards</x:v>
      </x:c>
      <x:c r="E294" t="str">
        <x:v>Native name</x:v>
      </x:c>
      <x:c r="F294" t="str">
        <x:v>PPPプロモカード</x:v>
      </x:c>
      <x:c r="G294" t="str">
        <x:v>official_or_normalized_local_label</x:v>
      </x:c>
      <x:c r="H294" t="str">
        <x:v>https://bulbapedia.bulbagarden.net/wiki/Category%3AJapanese_promotional_cards</x:v>
      </x:c>
      <x:c r="I294" t="str">
        <x:v>ja</x:v>
      </x:c>
      <x:c r="J294" t="str">
        <x:v>normalized Japanese catalogue label</x:v>
      </x:c>
      <x:c r="K294" t="str">
        <x:v>ja-8b06d2da9b06</x:v>
      </x:c>
      <x:c r="L294" t="str">
        <x:v>name_native</x:v>
      </x:c>
    </x:row>
    <x:row r="295">
      <x:c r="A295" t="str">
        <x:v>GAP45-e6db7ece0ce9</x:v>
      </x:c>
      <x:c r="B295" t="str">
        <x:v>2026-09-26-gap45</x:v>
      </x:c>
      <x:c r="C295" t="str">
        <x:v>ja</x:v>
      </x:c>
      <x:c r="D295" t="str">
        <x:v>DPt-P Promotional cards</x:v>
      </x:c>
      <x:c r="E295" t="str">
        <x:v>Native name</x:v>
      </x:c>
      <x:c r="F295" t="str">
        <x:v>DPt-Pプロモカード</x:v>
      </x:c>
      <x:c r="G295" t="str">
        <x:v>official_or_normalized_local_label</x:v>
      </x:c>
      <x:c r="H295" t="str">
        <x:v>https://bulbapedia.bulbagarden.net/wiki/Category%3AJapanese_promotional_cards</x:v>
      </x:c>
      <x:c r="I295" t="str">
        <x:v>ja</x:v>
      </x:c>
      <x:c r="J295" t="str">
        <x:v>normalized Japanese catalogue label</x:v>
      </x:c>
      <x:c r="K295" t="str">
        <x:v>ja-7509d3f988ca</x:v>
      </x:c>
      <x:c r="L295" t="str">
        <x:v>name_native</x:v>
      </x:c>
    </x:row>
    <x:row r="296">
      <x:c r="A296" t="str">
        <x:v>GAP45-b857d2ee76e7</x:v>
      </x:c>
      <x:c r="B296" t="str">
        <x:v>2026-09-26-gap45</x:v>
      </x:c>
      <x:c r="C296" t="str">
        <x:v>ja</x:v>
      </x:c>
      <x:c r="D296" t="str">
        <x:v>L-P Promotional cards</x:v>
      </x:c>
      <x:c r="E296" t="str">
        <x:v>Native name</x:v>
      </x:c>
      <x:c r="F296" t="str">
        <x:v>L-Pプロモカード</x:v>
      </x:c>
      <x:c r="G296" t="str">
        <x:v>official_or_normalized_local_label</x:v>
      </x:c>
      <x:c r="H296" t="str">
        <x:v>https://bulbapedia.bulbagarden.net/wiki/Category%3AJapanese_promotional_cards</x:v>
      </x:c>
      <x:c r="I296" t="str">
        <x:v>ja</x:v>
      </x:c>
      <x:c r="J296" t="str">
        <x:v>normalized Japanese catalogue label</x:v>
      </x:c>
      <x:c r="K296" t="str">
        <x:v>ja-6a0876b64cf1</x:v>
      </x:c>
      <x:c r="L296" t="str">
        <x:v>name_native</x:v>
      </x:c>
    </x:row>
    <x:row r="297">
      <x:c r="A297" t="str">
        <x:v>GAP45-eecc89e3a866</x:v>
      </x:c>
      <x:c r="B297" t="str">
        <x:v>2026-09-26-gap45</x:v>
      </x:c>
      <x:c r="C297" t="str">
        <x:v>ja</x:v>
      </x:c>
      <x:c r="D297" t="str">
        <x:v>World Collection</x:v>
      </x:c>
      <x:c r="E297" t="str">
        <x:v>Native name</x:v>
      </x:c>
      <x:c r="F297" t="str">
        <x:v>ピカチュウ ワールド</x:v>
      </x:c>
      <x:c r="G297" t="str">
        <x:v>official_or_normalized_local_label</x:v>
      </x:c>
      <x:c r="H297" t="str">
        <x:v>https://bulbapedia.bulbagarden.net/wiki/Pikachu_World_%28TCG%29</x:v>
      </x:c>
      <x:c r="I297" t="str">
        <x:v>ja</x:v>
      </x:c>
      <x:c r="J297" t="str">
        <x:v>Japanese product title</x:v>
      </x:c>
      <x:c r="K297" t="str">
        <x:v>ja-7f31002fd758</x:v>
      </x:c>
      <x:c r="L297" t="str">
        <x:v>name_native</x:v>
      </x:c>
    </x:row>
    <x:row r="298">
      <x:c r="A298" t="str">
        <x:v>GAP45-fdf1b6a9ef10</x:v>
      </x:c>
      <x:c r="B298" t="str">
        <x:v>2026-09-26-gap45</x:v>
      </x:c>
      <x:c r="C298" t="str">
        <x:v>ja</x:v>
      </x:c>
      <x:c r="D298" t="str">
        <x:v>BW-P Promotional cards</x:v>
      </x:c>
      <x:c r="E298" t="str">
        <x:v>Native name</x:v>
      </x:c>
      <x:c r="F298" t="str">
        <x:v>BW-Pプロモカード</x:v>
      </x:c>
      <x:c r="G298" t="str">
        <x:v>official_or_normalized_local_label</x:v>
      </x:c>
      <x:c r="H298" t="str">
        <x:v>https://bulbapedia.bulbagarden.net/wiki/Category%3AJapanese_promotional_cards</x:v>
      </x:c>
      <x:c r="I298" t="str">
        <x:v>ja</x:v>
      </x:c>
      <x:c r="J298" t="str">
        <x:v>normalized Japanese catalogue label</x:v>
      </x:c>
      <x:c r="K298" t="str">
        <x:v>ja-55ccb6ad65f9</x:v>
      </x:c>
      <x:c r="L298" t="str">
        <x:v>name_native</x:v>
      </x:c>
    </x:row>
    <x:row r="299">
      <x:c r="A299" t="str">
        <x:v>GAP45-7c31e63b7916</x:v>
      </x:c>
      <x:c r="B299" t="str">
        <x:v>2026-09-26-gap45</x:v>
      </x:c>
      <x:c r="C299" t="str">
        <x:v>ja</x:v>
      </x:c>
      <x:c r="D299" t="str">
        <x:v>XY-P Promotional cards</x:v>
      </x:c>
      <x:c r="E299" t="str">
        <x:v>Native name</x:v>
      </x:c>
      <x:c r="F299" t="str">
        <x:v>XY-Pプロモカード</x:v>
      </x:c>
      <x:c r="G299" t="str">
        <x:v>official_or_normalized_local_label</x:v>
      </x:c>
      <x:c r="H299" t="str">
        <x:v>https://bulbapedia.bulbagarden.net/wiki/Category%3AJapanese_promotional_cards</x:v>
      </x:c>
      <x:c r="I299" t="str">
        <x:v>ja</x:v>
      </x:c>
      <x:c r="J299" t="str">
        <x:v>normalized Japanese catalogue label</x:v>
      </x:c>
      <x:c r="K299" t="str">
        <x:v>ja-6abb84724d30</x:v>
      </x:c>
      <x:c r="L299" t="str">
        <x:v>name_native</x:v>
      </x:c>
    </x:row>
    <x:row r="300">
      <x:c r="A300" t="str">
        <x:v>GAP45-30c0598c8c34</x:v>
      </x:c>
      <x:c r="B300" t="str">
        <x:v>2026-09-26-gap45</x:v>
      </x:c>
      <x:c r="C300" t="str">
        <x:v>ja</x:v>
      </x:c>
      <x:c r="D300" t="str">
        <x:v>SM-P Promotional cards</x:v>
      </x:c>
      <x:c r="E300" t="str">
        <x:v>Native name</x:v>
      </x:c>
      <x:c r="F300" t="str">
        <x:v>SM-Pプロモカード</x:v>
      </x:c>
      <x:c r="G300" t="str">
        <x:v>official_or_normalized_local_label</x:v>
      </x:c>
      <x:c r="H300" t="str">
        <x:v>https://bulbapedia.bulbagarden.net/wiki/SM-P</x:v>
      </x:c>
      <x:c r="I300" t="str">
        <x:v>ja</x:v>
      </x:c>
      <x:c r="J300" t="str">
        <x:v>normalized Japanese catalogue label</x:v>
      </x:c>
      <x:c r="K300" t="str">
        <x:v>ja-83fbd2dead73</x:v>
      </x:c>
      <x:c r="L300" t="str">
        <x:v>name_native</x:v>
      </x:c>
    </x:row>
    <x:row r="301">
      <x:c r="A301" t="str">
        <x:v>GAP45-42b8126db5b3</x:v>
      </x:c>
      <x:c r="B301" t="str">
        <x:v>2026-09-26-gap45</x:v>
      </x:c>
      <x:c r="C301" t="str">
        <x:v>ja</x:v>
      </x:c>
      <x:c r="D301" t="str">
        <x:v>S-P Promotional cards</x:v>
      </x:c>
      <x:c r="E301" t="str">
        <x:v>Native name</x:v>
      </x:c>
      <x:c r="F301" t="str">
        <x:v>S-Pプロモカード</x:v>
      </x:c>
      <x:c r="G301" t="str">
        <x:v>official_or_normalized_local_label</x:v>
      </x:c>
      <x:c r="H301" t="str">
        <x:v>https://bulbapedia.bulbagarden.net/wiki/S-P</x:v>
      </x:c>
      <x:c r="I301" t="str">
        <x:v>ja</x:v>
      </x:c>
      <x:c r="J301" t="str">
        <x:v>normalized Japanese catalogue label</x:v>
      </x:c>
      <x:c r="K301" t="str">
        <x:v>ja-68e24f4b9e33</x:v>
      </x:c>
      <x:c r="L301" t="str">
        <x:v>name_native</x:v>
      </x:c>
    </x:row>
    <x:row r="302">
      <x:c r="A302" t="str">
        <x:v>GAP45-a5f487998c50</x:v>
      </x:c>
      <x:c r="B302" t="str">
        <x:v>2026-09-26-gap45</x:v>
      </x:c>
      <x:c r="C302" t="str">
        <x:v>ja</x:v>
      </x:c>
      <x:c r="D302" t="str">
        <x:v>SV-P Promotional cards</x:v>
      </x:c>
      <x:c r="E302" t="str">
        <x:v>Native name</x:v>
      </x:c>
      <x:c r="F302" t="str">
        <x:v>SV-Pプロモカード</x:v>
      </x:c>
      <x:c r="G302" t="str">
        <x:v>official_or_normalized_local_label</x:v>
      </x:c>
      <x:c r="H302" t="str">
        <x:v>https://bulbapedia.bulbagarden.net/wiki/SV-P</x:v>
      </x:c>
      <x:c r="I302" t="str">
        <x:v>ja</x:v>
      </x:c>
      <x:c r="J302" t="str">
        <x:v>normalized Japanese catalogue label</x:v>
      </x:c>
      <x:c r="K302" t="str">
        <x:v>ja-eeac9c4c185b</x:v>
      </x:c>
      <x:c r="L302" t="str">
        <x:v>name_native</x:v>
      </x:c>
    </x:row>
    <x:row r="303">
      <x:c r="A303" t="str">
        <x:v>GAP45-801051f834ad</x:v>
      </x:c>
      <x:c r="B303" t="str">
        <x:v>2026-09-26-gap45</x:v>
      </x:c>
      <x:c r="C303" t="str">
        <x:v>ja</x:v>
      </x:c>
      <x:c r="D303" t="str">
        <x:v>M-P Promotional cards</x:v>
      </x:c>
      <x:c r="E303" t="str">
        <x:v>Native name</x:v>
      </x:c>
      <x:c r="F303" t="str">
        <x:v>M-Pプロモカード</x:v>
      </x:c>
      <x:c r="G303" t="str">
        <x:v>official_or_normalized_local_label</x:v>
      </x:c>
      <x:c r="H303" t="str">
        <x:v>https://bulbapedia.bulbagarden.net/wiki/M-P_Promotional_cards_%28TCG%29</x:v>
      </x:c>
      <x:c r="I303" t="str">
        <x:v>ja</x:v>
      </x:c>
      <x:c r="J303" t="str">
        <x:v>normalized Japanese catalogue label</x:v>
      </x:c>
      <x:c r="K303" t="str">
        <x:v>ja-201f35403317</x:v>
      </x:c>
      <x:c r="L303" t="str">
        <x:v>name_native</x:v>
      </x:c>
    </x:row>
    <x:row r="304">
      <x:c r="A304" t="str">
        <x:v>GAP45-f595adab00c9</x:v>
      </x:c>
      <x:c r="B304" t="str">
        <x:v>2026-09-26-gap45</x:v>
      </x:c>
      <x:c r="C304" t="str">
        <x:v>ja</x:v>
      </x:c>
      <x:c r="D304" t="str">
        <x:v>Genesect Half Deck (Mewtwo vs Genesect)</x:v>
      </x:c>
      <x:c r="E304" t="str">
        <x:v>Native name</x:v>
      </x:c>
      <x:c r="F304" t="str">
        <x:v>ゲノセクトハーフデッキ（30枚デッキ対戦set ミュウツーVSゲノセクト）</x:v>
      </x:c>
      <x:c r="G304" t="str">
        <x:v>official_or_normalized_local_label</x:v>
      </x:c>
      <x:c r="H304" t="str">
        <x:v>https://bulbapedia.bulbagarden.net/wiki/Genesect_Half_Deck_%28TCG%29</x:v>
      </x:c>
      <x:c r="I304" t="str">
        <x:v>ja</x:v>
      </x:c>
      <x:c r="J304" t="str">
        <x:v>normalized component title from official Japanese deck-kit name</x:v>
      </x:c>
      <x:c r="K304" t="str">
        <x:v>ja-67342d154972</x:v>
      </x:c>
      <x:c r="L304" t="str">
        <x:v>name_native</x:v>
      </x:c>
    </x:row>
    <x:row r="305">
      <x:c r="A305" t="str">
        <x:v>GAP45-f311d58c984a</x:v>
      </x:c>
      <x:c r="B305" t="str">
        <x:v>2026-09-26-gap45</x:v>
      </x:c>
      <x:c r="C305" t="str">
        <x:v>ja</x:v>
      </x:c>
      <x:c r="D305" t="str">
        <x:v>Mewtwo Half Deck (Mewtwo vs Genesect)</x:v>
      </x:c>
      <x:c r="E305" t="str">
        <x:v>Native name</x:v>
      </x:c>
      <x:c r="F305" t="str">
        <x:v>ミュウツーハーフデッキ（30枚デッキ対戦set ミュウツーVSゲノセクト）</x:v>
      </x:c>
      <x:c r="G305" t="str">
        <x:v>official_or_normalized_local_label</x:v>
      </x:c>
      <x:c r="H305" t="str">
        <x:v>https://bulbapedia.bulbagarden.net/wiki/Mewtwo_Half_Deck_%28TCG%29</x:v>
      </x:c>
      <x:c r="I305" t="str">
        <x:v>ja</x:v>
      </x:c>
      <x:c r="J305" t="str">
        <x:v>normalized component title from official Japanese deck-kit name</x:v>
      </x:c>
      <x:c r="K305" t="str">
        <x:v>ja-e9c6c3a99efd</x:v>
      </x:c>
      <x:c r="L305" t="str">
        <x:v>name_native</x:v>
      </x:c>
    </x:row>
    <x:row r="306">
      <x:c r="A306" t="str">
        <x:v>GAP45-a9b492cd2f3c</x:v>
      </x:c>
      <x:c r="B306" t="str">
        <x:v>2026-09-26-gap45</x:v>
      </x:c>
      <x:c r="C306" t="str">
        <x:v>ja</x:v>
      </x:c>
      <x:c r="D306" t="str">
        <x:v>Rockruff Full Power Deck</x:v>
      </x:c>
      <x:c r="E306" t="str">
        <x:v>Native name</x:v>
      </x:c>
      <x:c r="F306" t="str">
        <x:v>イワンコ全力デッキ</x:v>
      </x:c>
      <x:c r="G306" t="str">
        <x:v>official_or_normalized_local_label</x:v>
      </x:c>
      <x:c r="H306" t="str">
        <x:v>https://bulbapedia.bulbagarden.net/wiki/SMP1</x:v>
      </x:c>
      <x:c r="I306" t="str">
        <x:v>ja</x:v>
      </x:c>
      <x:c r="J306" t="str">
        <x:v>Japanese product title</x:v>
      </x:c>
      <x:c r="K306" t="str">
        <x:v>ja-0ee044c14656</x:v>
      </x:c>
      <x:c r="L306" t="str">
        <x:v>name_native</x:v>
      </x:c>
    </x:row>
    <x:row r="307">
      <x:c r="A307" t="str">
        <x:v>GAP45-a0fae78397db</x:v>
      </x:c>
      <x:c r="B307" t="str">
        <x:v>2026-09-26-gap45</x:v>
      </x:c>
      <x:c r="C307" t="str">
        <x:v>ja</x:v>
      </x:c>
      <x:c r="D307" t="str">
        <x:v>Unnumbered Promotional cards</x:v>
      </x:c>
      <x:c r="E307" t="str">
        <x:v>Native name</x:v>
      </x:c>
      <x:c r="F307" t="str">
        <x:v>ナンバーなしプロモカード</x:v>
      </x:c>
      <x:c r="G307" t="str">
        <x:v>official_or_normalized_local_label</x:v>
      </x:c>
      <x:c r="H307" t="str">
        <x:v>https://bulbapedia.bulbagarden.net/wiki/Unnumbered_Promotional_cards</x:v>
      </x:c>
      <x:c r="I307" t="str">
        <x:v>ja</x:v>
      </x:c>
      <x:c r="J307" t="str">
        <x:v>normalized Japanese catalogue label</x:v>
      </x:c>
      <x:c r="K307" t="str">
        <x:v>ja-dc7d8d809c94</x:v>
      </x:c>
      <x:c r="L307" t="str">
        <x:v>name_native</x:v>
      </x:c>
    </x:row>
    <x:row r="308">
      <x:c r="A308" t="str">
        <x:v>GAP45-f9c456494062</x:v>
      </x:c>
      <x:c r="B308" t="str">
        <x:v>2026-09-26-gap45</x:v>
      </x:c>
      <x:c r="C308" t="str">
        <x:v>zh-CN</x:v>
      </x:c>
      <x:c r="D308" t="str">
        <x:v>30th-P Promotional cards</x:v>
      </x:c>
      <x:c r="E308" t="str">
        <x:v>Native name</x:v>
      </x:c>
      <x:c r="F308" t="str">
        <x:v>30th-P特典卡</x:v>
      </x:c>
      <x:c r="G308" t="str">
        <x:v>official_or_normalized_local_label</x:v>
      </x:c>
      <x:c r="H308" t="str">
        <x:v>https://bulbapedia.bulbagarden.net/wiki/30th-P_Promotional_cards_%28SCTCG%29</x:v>
      </x:c>
      <x:c r="I308" t="str">
        <x:v>zh-CN</x:v>
      </x:c>
      <x:c r="J308" t="str">
        <x:v>normalized Simplified Chinese catalogue label</x:v>
      </x:c>
      <x:c r="K308" t="str">
        <x:v>zh-CN-6262f13e0152</x:v>
      </x:c>
      <x:c r="L308" t="str">
        <x:v>name_native</x:v>
      </x:c>
    </x:row>
    <x:row r="309">
      <x:c r="A309" t="str">
        <x:v>GAP45-73bf35b9f876</x:v>
      </x:c>
      <x:c r="B309" t="str">
        <x:v>2026-09-26-gap45</x:v>
      </x:c>
      <x:c r="C309" t="str">
        <x:v>zh-CN</x:v>
      </x:c>
      <x:c r="D309" t="str">
        <x:v>Dynamax Clash V Starter Decks</x:v>
      </x:c>
      <x:c r="E309" t="str">
        <x:v>Native name</x:v>
      </x:c>
      <x:c r="F309" t="str">
        <x:v>极巨争锋 V起始卡组</x:v>
      </x:c>
      <x:c r="G309" t="str">
        <x:v>official_or_normalized_local_label</x:v>
      </x:c>
      <x:c r="H309" t="str">
        <x:v>https://www.pokemon.cn/tcg/product/16268.html</x:v>
      </x:c>
      <x:c r="I309" t="str">
        <x:v>zh-CN</x:v>
      </x:c>
      <x:c r="J309" t="str">
        <x:v>official Simplified Chinese product title</x:v>
      </x:c>
      <x:c r="K309" t="str">
        <x:v>zh-CN-b9059c7402f0</x:v>
      </x:c>
      <x:c r="L309" t="str">
        <x:v>name_native</x:v>
      </x:c>
    </x:row>
    <x:row r="310">
      <x:c r="A310" t="str">
        <x:v>GAP45-1a31f53cc9eb</x:v>
      </x:c>
      <x:c r="B310" t="str">
        <x:v>2026-09-26-gap45</x:v>
      </x:c>
      <x:c r="C310" t="str">
        <x:v>zh-CN</x:v>
      </x:c>
      <x:c r="D310" t="str">
        <x:v>Gallant Galaxy V Starter Decks</x:v>
      </x:c>
      <x:c r="E310" t="str">
        <x:v>Native name</x:v>
      </x:c>
      <x:c r="F310" t="str">
        <x:v>勇魅群星 V起始卡组</x:v>
      </x:c>
      <x:c r="G310" t="str">
        <x:v>official_or_normalized_local_label</x:v>
      </x:c>
      <x:c r="H310" t="str">
        <x:v>https://bulbapedia.bulbagarden.net/wiki/Bilibili</x:v>
      </x:c>
      <x:c r="I310" t="str">
        <x:v>zh-CN</x:v>
      </x:c>
      <x:c r="J310" t="str">
        <x:v>Simplified Chinese product title</x:v>
      </x:c>
      <x:c r="K310" t="str">
        <x:v>zh-CN-754715d30142</x:v>
      </x:c>
      <x:c r="L310" t="str">
        <x:v>name_native</x:v>
      </x:c>
    </x:row>
    <x:row r="311">
      <x:c r="A311" t="str">
        <x:v>GAP45-4dc7eda93ff6</x:v>
      </x:c>
      <x:c r="B311" t="str">
        <x:v>2026-09-26-gap45</x:v>
      </x:c>
      <x:c r="C311" t="str">
        <x:v>zh-CN</x:v>
      </x:c>
      <x:c r="D311" t="str">
        <x:v>M-P Promotional cards</x:v>
      </x:c>
      <x:c r="E311" t="str">
        <x:v>Native name</x:v>
      </x:c>
      <x:c r="F311" t="str">
        <x:v>M-P特典卡</x:v>
      </x:c>
      <x:c r="G311" t="str">
        <x:v>official_or_normalized_local_label</x:v>
      </x:c>
      <x:c r="H311" t="str">
        <x:v>https://bulbapedia.bulbagarden.net/wiki/M-P_Promotional_cards_%28SCTCG%29</x:v>
      </x:c>
      <x:c r="I311" t="str">
        <x:v>zh-CN</x:v>
      </x:c>
      <x:c r="J311" t="str">
        <x:v>normalized Simplified Chinese catalogue label</x:v>
      </x:c>
      <x:c r="K311" t="str">
        <x:v>zh-CN-0b8024065063</x:v>
      </x:c>
      <x:c r="L311" t="str">
        <x:v>name_native</x:v>
      </x:c>
    </x:row>
    <x:row r="312">
      <x:c r="A312" t="str">
        <x:v>GAP45-9808a16b9368</x:v>
      </x:c>
      <x:c r="B312" t="str">
        <x:v>2026-09-26-gap45</x:v>
      </x:c>
      <x:c r="C312" t="str">
        <x:v>zh-CN</x:v>
      </x:c>
      <x:c r="D312" t="str">
        <x:v>Primordial Arts V Starter Decks</x:v>
      </x:c>
      <x:c r="E312" t="str">
        <x:v>Native name</x:v>
      </x:c>
      <x:c r="F312" t="str">
        <x:v>洪荒演武 V起始卡组</x:v>
      </x:c>
      <x:c r="G312" t="str">
        <x:v>official_or_normalized_local_label</x:v>
      </x:c>
      <x:c r="H312" t="str">
        <x:v>https://bulbapedia.bulbagarden.net/wiki/Bilibili</x:v>
      </x:c>
      <x:c r="I312" t="str">
        <x:v>zh-CN</x:v>
      </x:c>
      <x:c r="J312" t="str">
        <x:v>Simplified Chinese product title</x:v>
      </x:c>
      <x:c r="K312" t="str">
        <x:v>zh-CN-0f55490115e0</x:v>
      </x:c>
      <x:c r="L312" t="str">
        <x:v>name_native</x:v>
      </x:c>
    </x:row>
    <x:row r="313">
      <x:c r="A313" t="str">
        <x:v>GAP45-5f291a7024a8</x:v>
      </x:c>
      <x:c r="B313" t="str">
        <x:v>2026-09-26-gap45</x:v>
      </x:c>
      <x:c r="C313" t="str">
        <x:v>zh-CN</x:v>
      </x:c>
      <x:c r="D313" t="str">
        <x:v>S-P Promotional cards</x:v>
      </x:c>
      <x:c r="E313" t="str">
        <x:v>Native name</x:v>
      </x:c>
      <x:c r="F313" t="str">
        <x:v>S-P特典卡</x:v>
      </x:c>
      <x:c r="G313" t="str">
        <x:v>official_or_normalized_local_label</x:v>
      </x:c>
      <x:c r="H313" t="str">
        <x:v>https://bulbapedia.bulbagarden.net/wiki/S-P_Promotional_cards_%28SCTCG%29</x:v>
      </x:c>
      <x:c r="I313" t="str">
        <x:v>zh-CN</x:v>
      </x:c>
      <x:c r="J313" t="str">
        <x:v>normalized Simplified Chinese catalogue label</x:v>
      </x:c>
      <x:c r="K313" t="str">
        <x:v>zh-CN-a4ed9d742e92</x:v>
      </x:c>
      <x:c r="L313" t="str">
        <x:v>name_native</x:v>
      </x:c>
    </x:row>
    <x:row r="314">
      <x:c r="A314" t="str">
        <x:v>GAP45-6882efd9d292</x:v>
      </x:c>
      <x:c r="B314" t="str">
        <x:v>2026-09-26-gap45</x:v>
      </x:c>
      <x:c r="C314" t="str">
        <x:v>zh-CN</x:v>
      </x:c>
      <x:c r="D314" t="str">
        <x:v>SM-P Promotional cards</x:v>
      </x:c>
      <x:c r="E314" t="str">
        <x:v>Native name</x:v>
      </x:c>
      <x:c r="F314" t="str">
        <x:v>SM-P特典卡</x:v>
      </x:c>
      <x:c r="G314" t="str">
        <x:v>official_or_normalized_local_label</x:v>
      </x:c>
      <x:c r="H314" t="str">
        <x:v>https://bulbapedia.bulbagarden.net/wiki/SM-P_Promotional_cards_%28SCTCG%29</x:v>
      </x:c>
      <x:c r="I314" t="str">
        <x:v>zh-CN</x:v>
      </x:c>
      <x:c r="J314" t="str">
        <x:v>normalized Simplified Chinese catalogue label</x:v>
      </x:c>
      <x:c r="K314" t="str">
        <x:v>zh-CN-b0139dcd5a32</x:v>
      </x:c>
      <x:c r="L314" t="str">
        <x:v>name_native</x:v>
      </x:c>
    </x:row>
    <x:row r="315">
      <x:c r="A315" t="str">
        <x:v>GAP45-229ed44bfcd7</x:v>
      </x:c>
      <x:c r="B315" t="str">
        <x:v>2026-09-26-gap45</x:v>
      </x:c>
      <x:c r="C315" t="str">
        <x:v>zh-CN</x:v>
      </x:c>
      <x:c r="D315" t="str">
        <x:v>SV-P Promotional cards</x:v>
      </x:c>
      <x:c r="E315" t="str">
        <x:v>Native name</x:v>
      </x:c>
      <x:c r="F315" t="str">
        <x:v>SV-P特典卡</x:v>
      </x:c>
      <x:c r="G315" t="str">
        <x:v>official_or_normalized_local_label</x:v>
      </x:c>
      <x:c r="H315" t="str">
        <x:v>https://bulbapedia.bulbagarden.net/wiki/SV-P_Promotional_cards_%28SCTCG%29</x:v>
      </x:c>
      <x:c r="I315" t="str">
        <x:v>zh-CN</x:v>
      </x:c>
      <x:c r="J315" t="str">
        <x:v>normalized Simplified Chinese catalogue label</x:v>
      </x:c>
      <x:c r="K315" t="str">
        <x:v>zh-CN-b14492ebba16</x:v>
      </x:c>
      <x:c r="L315" t="str">
        <x:v>name_native</x:v>
      </x:c>
    </x:row>
    <x:row r="316">
      <x:c r="A316" t="str">
        <x:v>GAP45-1c1dea345aca</x:v>
      </x:c>
      <x:c r="B316" t="str">
        <x:v>2026-09-26-gap45</x:v>
      </x:c>
      <x:c r="C316" t="str">
        <x:v>zh-TW</x:v>
      </x:c>
      <x:c r="D316" t="str">
        <x:v>Pikachu World Collection — Traditional Chinese card</x:v>
      </x:c>
      <x:c r="E316" t="str">
        <x:v>Native name</x:v>
      </x:c>
      <x:c r="F316" t="str">
        <x:v>皮卡丘世界收藏（繁體中文卡）</x:v>
      </x:c>
      <x:c r="G316" t="str">
        <x:v>official_or_normalized_local_label</x:v>
      </x:c>
      <x:c r="H316" t="str">
        <x:v>https://bulbapedia.bulbagarden.net/wiki/Pikachu_World_Collection_%28TCG%29</x:v>
      </x:c>
      <x:c r="I316" t="str">
        <x:v>zh-TW</x:v>
      </x:c>
      <x:c r="J316" t="str">
        <x:v>normalized Traditional Chinese card/collection label</x:v>
      </x:c>
      <x:c r="K316" t="str">
        <x:v>zh-TW-e8c0625ae4df</x:v>
      </x:c>
      <x:c r="L316" t="str">
        <x:v>name_native</x:v>
      </x:c>
    </x:row>
    <x:row r="317">
      <x:c r="A317" t="str">
        <x:v>GAP45-660c1f83d566</x:v>
      </x:c>
      <x:c r="B317" t="str">
        <x:v>2026-09-26-gap45</x:v>
      </x:c>
      <x:c r="C317" t="str">
        <x:v>ja</x:v>
      </x:c>
      <x:c r="D317" t="str">
        <x:v>Unnumbered Promotional cards</x:v>
      </x:c>
      <x:c r="E317" t="str">
        <x:v>Release date</x:v>
      </x:c>
      <x:c r="F317" t="str">
        <x:v>1996-10</x:v>
      </x:c>
      <x:c r="G317" t="str">
        <x:v>official_or_secondary_release_reference</x:v>
      </x:c>
      <x:c r="H317" t="str">
        <x:v>https://bulbapedia.bulbagarden.net/wiki/Unnumbered_Promotional_cards</x:v>
      </x:c>
      <x:c r="I317" t="str">
        <x:v>ja</x:v>
      </x:c>
      <x:c r="J317" t="str">
        <x:v>release period starts October 1996</x:v>
      </x:c>
      <x:c r="K317" t="str">
        <x:v>ja-dc7d8d809c94</x:v>
      </x:c>
      <x:c r="L317" t="str">
        <x:v>release_date</x:v>
      </x:c>
    </x:row>
    <x:row r="318">
      <x:c r="A318" t="str">
        <x:v>GAP45-a6fd97def56a</x:v>
      </x:c>
      <x:c r="B318" t="str">
        <x:v>2026-09-26-gap45</x:v>
      </x:c>
      <x:c r="C318" t="str">
        <x:v>zh-CN</x:v>
      </x:c>
      <x:c r="D318" t="str">
        <x:v>30th Celebration</x:v>
      </x:c>
      <x:c r="E318" t="str">
        <x:v>Release date</x:v>
      </x:c>
      <x:c r="F318" t="str">
        <x:v>2026-09-16</x:v>
      </x:c>
      <x:c r="G318" t="str">
        <x:v>official_or_secondary_release_reference</x:v>
      </x:c>
      <x:c r="H318" t="str">
        <x:v>https://campaign-30th.pokemon.cn/</x:v>
      </x:c>
      <x:c r="I318" t="str">
        <x:v>zh-CN</x:v>
      </x:c>
      <x:c r="J318" t="str">
        <x:v>official mainland-China release</x:v>
      </x:c>
      <x:c r="K318" t="str">
        <x:v>zh-CN-02c213890e59</x:v>
      </x:c>
      <x:c r="L318" t="str">
        <x:v>release_date</x:v>
      </x:c>
    </x:row>
    <x:row r="319">
      <x:c r="A319" t="str">
        <x:v>GAP45-142668e2a4a6</x:v>
      </x:c>
      <x:c r="B319" t="str">
        <x:v>2026-09-26-gap45</x:v>
      </x:c>
      <x:c r="C319" t="str">
        <x:v>zh-CN</x:v>
      </x:c>
      <x:c r="D319" t="str">
        <x:v>30th-P Promotional cards</x:v>
      </x:c>
      <x:c r="E319" t="str">
        <x:v>Release date</x:v>
      </x:c>
      <x:c r="F319" t="str">
        <x:v>2026-03-20</x:v>
      </x:c>
      <x:c r="G319" t="str">
        <x:v>official_or_secondary_release_reference</x:v>
      </x:c>
      <x:c r="H319" t="str">
        <x:v>https://bulbapedia.bulbagarden.net/wiki/30th-P_Promotional_cards_%28SCTCG%29</x:v>
      </x:c>
      <x:c r="I319" t="str">
        <x:v>zh-CN</x:v>
      </x:c>
      <x:c r="J319" t="str">
        <x:v>first 30th-P release</x:v>
      </x:c>
      <x:c r="K319" t="str">
        <x:v>zh-CN-6262f13e0152</x:v>
      </x:c>
      <x:c r="L319" t="str">
        <x:v>release_date</x:v>
      </x:c>
    </x:row>
    <x:row r="320">
      <x:c r="A320" t="str">
        <x:v>GAP45-2343dc40e428</x:v>
      </x:c>
      <x:c r="B320" t="str">
        <x:v>2026-09-26-gap45</x:v>
      </x:c>
      <x:c r="C320" t="str">
        <x:v>zh-CN</x:v>
      </x:c>
      <x:c r="D320" t="str">
        <x:v>Dynamax Clash V Starter Decks</x:v>
      </x:c>
      <x:c r="E320" t="str">
        <x:v>Release date</x:v>
      </x:c>
      <x:c r="F320" t="str">
        <x:v>2023-05-19</x:v>
      </x:c>
      <x:c r="G320" t="str">
        <x:v>official_or_secondary_release_reference</x:v>
      </x:c>
      <x:c r="H320" t="str">
        <x:v>https://www.pokemon.cn/tcg/product/16268.html</x:v>
      </x:c>
      <x:c r="I320" t="str">
        <x:v>zh-CN</x:v>
      </x:c>
      <x:c r="J320" t="str">
        <x:v>official mainland-China release</x:v>
      </x:c>
      <x:c r="K320" t="str">
        <x:v>zh-CN-b9059c7402f0</x:v>
      </x:c>
      <x:c r="L320" t="str">
        <x:v>release_date</x:v>
      </x:c>
    </x:row>
    <x:row r="321">
      <x:c r="A321" t="str">
        <x:v>GAP45-f727236a062c</x:v>
      </x:c>
      <x:c r="B321" t="str">
        <x:v>2026-09-26-gap45</x:v>
      </x:c>
      <x:c r="C321" t="str">
        <x:v>zh-CN</x:v>
      </x:c>
      <x:c r="D321" t="str">
        <x:v>Gallant Galaxy V Starter Decks</x:v>
      </x:c>
      <x:c r="E321" t="str">
        <x:v>Release date</x:v>
      </x:c>
      <x:c r="F321" t="str">
        <x:v>2024-06-18</x:v>
      </x:c>
      <x:c r="G321" t="str">
        <x:v>official_or_secondary_release_reference</x:v>
      </x:c>
      <x:c r="H321" t="str">
        <x:v>https://bulbapedia.bulbagarden.net/wiki/Bilibili</x:v>
      </x:c>
      <x:c r="I321" t="str">
        <x:v>zh-CN</x:v>
      </x:c>
      <x:c r="J321" t="str">
        <x:v>Simplified Chinese release table</x:v>
      </x:c>
      <x:c r="K321" t="str">
        <x:v>zh-CN-754715d30142</x:v>
      </x:c>
      <x:c r="L321" t="str">
        <x:v>release_date</x:v>
      </x:c>
    </x:row>
    <x:row r="322">
      <x:c r="A322" t="str">
        <x:v>GAP45-b7cf1ae30f97</x:v>
      </x:c>
      <x:c r="B322" t="str">
        <x:v>2026-09-26-gap45</x:v>
      </x:c>
      <x:c r="C322" t="str">
        <x:v>zh-CN</x:v>
      </x:c>
      <x:c r="D322" t="str">
        <x:v>M-P Promotional cards</x:v>
      </x:c>
      <x:c r="E322" t="str">
        <x:v>Release date</x:v>
      </x:c>
      <x:c r="F322" t="str">
        <x:v>2026-08-07</x:v>
      </x:c>
      <x:c r="G322" t="str">
        <x:v>official_or_secondary_release_reference</x:v>
      </x:c>
      <x:c r="H322" t="str">
        <x:v>https://bulbapedia.bulbagarden.net/wiki/M-P_Promotional_cards_%28SCTCG%29</x:v>
      </x:c>
      <x:c r="I322" t="str">
        <x:v>zh-CN</x:v>
      </x:c>
      <x:c r="J322" t="str">
        <x:v>first Simplified Chinese M-P release</x:v>
      </x:c>
      <x:c r="K322" t="str">
        <x:v>zh-CN-0b8024065063</x:v>
      </x:c>
      <x:c r="L322" t="str">
        <x:v>release_date</x:v>
      </x:c>
    </x:row>
    <x:row r="323">
      <x:c r="A323" t="str">
        <x:v>GAP45-873640db6868</x:v>
      </x:c>
      <x:c r="B323" t="str">
        <x:v>2026-09-26-gap45</x:v>
      </x:c>
      <x:c r="C323" t="str">
        <x:v>zh-CN</x:v>
      </x:c>
      <x:c r="D323" t="str">
        <x:v>Primordial Arts V Starter Decks</x:v>
      </x:c>
      <x:c r="E323" t="str">
        <x:v>Release date</x:v>
      </x:c>
      <x:c r="F323" t="str">
        <x:v>2023-11-17</x:v>
      </x:c>
      <x:c r="G323" t="str">
        <x:v>official_or_secondary_release_reference</x:v>
      </x:c>
      <x:c r="H323" t="str">
        <x:v>https://bulbapedia.bulbagarden.net/wiki/Bilibili</x:v>
      </x:c>
      <x:c r="I323" t="str">
        <x:v>zh-CN</x:v>
      </x:c>
      <x:c r="J323" t="str">
        <x:v>Simplified Chinese release table</x:v>
      </x:c>
      <x:c r="K323" t="str">
        <x:v>zh-CN-0f55490115e0</x:v>
      </x:c>
      <x:c r="L323" t="str">
        <x:v>release_date</x:v>
      </x:c>
    </x:row>
    <x:row r="324">
      <x:c r="A324" t="str">
        <x:v>GAP45-aeb027f79f89</x:v>
      </x:c>
      <x:c r="B324" t="str">
        <x:v>2026-09-26-gap45</x:v>
      </x:c>
      <x:c r="C324" t="str">
        <x:v>zh-CN</x:v>
      </x:c>
      <x:c r="D324" t="str">
        <x:v>S-P Promotional cards</x:v>
      </x:c>
      <x:c r="E324" t="str">
        <x:v>Release date</x:v>
      </x:c>
      <x:c r="F324" t="str">
        <x:v>2023-05-28</x:v>
      </x:c>
      <x:c r="G324" t="str">
        <x:v>official_or_secondary_release_reference</x:v>
      </x:c>
      <x:c r="H324" t="str">
        <x:v>https://bulbapedia.bulbagarden.net/wiki/S-P_Promotional_cards_%28SCTCG%29</x:v>
      </x:c>
      <x:c r="I324" t="str">
        <x:v>zh-CN</x:v>
      </x:c>
      <x:c r="J324" t="str">
        <x:v>first Simplified Chinese S-P release</x:v>
      </x:c>
      <x:c r="K324" t="str">
        <x:v>zh-CN-a4ed9d742e92</x:v>
      </x:c>
      <x:c r="L324" t="str">
        <x:v>release_date</x:v>
      </x:c>
    </x:row>
    <x:row r="325">
      <x:c r="A325" t="str">
        <x:v>GAP45-8e3a803f00d6</x:v>
      </x:c>
      <x:c r="B325" t="str">
        <x:v>2026-09-26-gap45</x:v>
      </x:c>
      <x:c r="C325" t="str">
        <x:v>zh-CN</x:v>
      </x:c>
      <x:c r="D325" t="str">
        <x:v>SM-P Promotional cards</x:v>
      </x:c>
      <x:c r="E325" t="str">
        <x:v>Release date</x:v>
      </x:c>
      <x:c r="F325" t="str">
        <x:v>2022-10-28</x:v>
      </x:c>
      <x:c r="G325" t="str">
        <x:v>official_or_secondary_release_reference</x:v>
      </x:c>
      <x:c r="H325" t="str">
        <x:v>https://bulbapedia.bulbagarden.net/wiki/SM-P_Promotional_cards_%28SCTCG%29</x:v>
      </x:c>
      <x:c r="I325" t="str">
        <x:v>zh-CN</x:v>
      </x:c>
      <x:c r="J325" t="str">
        <x:v>first Simplified Chinese SM-P release</x:v>
      </x:c>
      <x:c r="K325" t="str">
        <x:v>zh-CN-b0139dcd5a32</x:v>
      </x:c>
      <x:c r="L325" t="str">
        <x:v>release_date</x:v>
      </x:c>
    </x:row>
    <x:row r="326">
      <x:c r="A326" t="str">
        <x:v>GAP45-5600ead48589</x:v>
      </x:c>
      <x:c r="B326" t="str">
        <x:v>2026-09-26-gap45</x:v>
      </x:c>
      <x:c r="C326" t="str">
        <x:v>zh-CN</x:v>
      </x:c>
      <x:c r="D326" t="str">
        <x:v>SV-P Promotional cards</x:v>
      </x:c>
      <x:c r="E326" t="str">
        <x:v>Release date</x:v>
      </x:c>
      <x:c r="F326" t="str">
        <x:v>2024-08-03</x:v>
      </x:c>
      <x:c r="G326" t="str">
        <x:v>official_or_secondary_release_reference</x:v>
      </x:c>
      <x:c r="H326" t="str">
        <x:v>https://bulbapedia.bulbagarden.net/wiki/SV-P_Promotional_cards_%28SCTCG%29</x:v>
      </x:c>
      <x:c r="I326" t="str">
        <x:v>zh-CN</x:v>
      </x:c>
      <x:c r="J326" t="str">
        <x:v>first Simplified Chinese SV-P release</x:v>
      </x:c>
      <x:c r="K326" t="str">
        <x:v>zh-CN-b14492ebba16</x:v>
      </x:c>
      <x:c r="L326" t="str">
        <x:v>release_date</x:v>
      </x:c>
    </x:row>
    <x:row r="327">
      <x:c r="A327" t="str">
        <x:v>GAP45-cff4dee22bdd</x:v>
      </x:c>
      <x:c r="B327" t="str">
        <x:v>2026-09-26-gap45</x:v>
      </x:c>
      <x:c r="C327" t="str">
        <x:v>zh-TW</x:v>
      </x:c>
      <x:c r="D327" t="str">
        <x:v>Mega Evolution Promotional cards</x:v>
      </x:c>
      <x:c r="E327" t="str">
        <x:v>Release date</x:v>
      </x:c>
      <x:c r="F327" t="str">
        <x:v>2025-08-15</x:v>
      </x:c>
      <x:c r="G327" t="str">
        <x:v>official_or_secondary_release_reference</x:v>
      </x:c>
      <x:c r="H327" t="str">
        <x:v>https://bulbapedia.bulbagarden.net/wiki/M-P_Promotional_cards_%28TCTCG%29</x:v>
      </x:c>
      <x:c r="I327" t="str">
        <x:v>zh-TW</x:v>
      </x:c>
      <x:c r="J327" t="str">
        <x:v>first Traditional Chinese M-P release</x:v>
      </x:c>
      <x:c r="K327" t="str">
        <x:v>zh-TW-43aee0909785</x:v>
      </x:c>
      <x:c r="L327" t="str">
        <x:v>release_date</x:v>
      </x:c>
    </x:row>
    <x:row r="328">
      <x:c r="A328" t="str">
        <x:v>GAP45-aa2f48a472b5</x:v>
      </x:c>
      <x:c r="B328" t="str">
        <x:v>2026-09-26-gap45</x:v>
      </x:c>
      <x:c r="C328" t="str">
        <x:v>zh-TW</x:v>
      </x:c>
      <x:c r="D328" t="str">
        <x:v>Scarlet &amp; Violet Promotional cards</x:v>
      </x:c>
      <x:c r="E328" t="str">
        <x:v>Release date</x:v>
      </x:c>
      <x:c r="F328" t="str">
        <x:v>2022-11-18</x:v>
      </x:c>
      <x:c r="G328" t="str">
        <x:v>official_or_secondary_release_reference</x:v>
      </x:c>
      <x:c r="H328" t="str">
        <x:v>https://bulbapedia.bulbagarden.net/wiki/SV-P_Promotional_cards_%28TCTCG%29</x:v>
      </x:c>
      <x:c r="I328" t="str">
        <x:v>zh-TW</x:v>
      </x:c>
      <x:c r="J328" t="str">
        <x:v>first Traditional Chinese SV-P release</x:v>
      </x:c>
      <x:c r="K328" t="str">
        <x:v>zh-TW-2906d27bb5d9</x:v>
      </x:c>
      <x:c r="L328" t="str">
        <x:v>release_date</x:v>
      </x:c>
    </x:row>
    <x:row r="329">
      <x:c r="A329" t="str">
        <x:v>GAP45-4f04dc20bb9b</x:v>
      </x:c>
      <x:c r="B329" t="str">
        <x:v>2026-09-26-gap45</x:v>
      </x:c>
      <x:c r="C329" t="str">
        <x:v>zh-TW</x:v>
      </x:c>
      <x:c r="D329" t="str">
        <x:v>Sun &amp; Moon Promotional cards</x:v>
      </x:c>
      <x:c r="E329" t="str">
        <x:v>Release date</x:v>
      </x:c>
      <x:c r="F329" t="str">
        <x:v>2019-10</x:v>
      </x:c>
      <x:c r="G329" t="str">
        <x:v>official_or_secondary_release_reference</x:v>
      </x:c>
      <x:c r="H329" t="str">
        <x:v>https://bulbapedia.bulbagarden.net/wiki/SM-P_Promotional_cards_%28TCTCG%29</x:v>
      </x:c>
      <x:c r="I329" t="str">
        <x:v>zh-TW</x:v>
      </x:c>
      <x:c r="J329" t="str">
        <x:v>Traditional Chinese SM-P release period start</x:v>
      </x:c>
      <x:c r="K329" t="str">
        <x:v>zh-TW-a6040164d394</x:v>
      </x:c>
      <x:c r="L329" t="str">
        <x:v>release_date</x:v>
      </x:c>
    </x:row>
    <x:row r="330">
      <x:c r="A330" t="str">
        <x:v>GAP45-7d99d0b7a477</x:v>
      </x:c>
      <x:c r="B330" t="str">
        <x:v>2026-09-26-gap45</x:v>
      </x:c>
      <x:c r="C330" t="str">
        <x:v>zh-TW</x:v>
      </x:c>
      <x:c r="D330" t="str">
        <x:v>Sword &amp; Shield Promotional cards</x:v>
      </x:c>
      <x:c r="E330" t="str">
        <x:v>Release date</x:v>
      </x:c>
      <x:c r="F330" t="str">
        <x:v>2020-06</x:v>
      </x:c>
      <x:c r="G330" t="str">
        <x:v>official_or_secondary_release_reference</x:v>
      </x:c>
      <x:c r="H330" t="str">
        <x:v>https://bulbapedia.bulbagarden.net/wiki/S-P_Promos_%28TCTCG%29</x:v>
      </x:c>
      <x:c r="I330" t="str">
        <x:v>zh-TW</x:v>
      </x:c>
      <x:c r="J330" t="str">
        <x:v>Traditional Chinese S-P release period start</x:v>
      </x:c>
      <x:c r="K330" t="str">
        <x:v>zh-TW-e5a8fb2a002d</x:v>
      </x:c>
      <x:c r="L330" t="str">
        <x:v>release_date</x:v>
      </x:c>
    </x:row>
    <x:row r="331">
      <x:c r="A331" t="str">
        <x:v>REF-9d4c50bc9112</x:v>
      </x:c>
      <x:c r="B331" t="str">
        <x:v>2026-09-26-reference-counts</x:v>
      </x:c>
      <x:c r="C331" t="str">
        <x:v>en</x:v>
      </x:c>
      <x:c r="D331" t="str">
        <x:v>SVP Black Star Promos</x:v>
      </x:c>
      <x:c r="E331" t="str">
        <x:v>Reference count</x:v>
      </x:c>
      <x:c r="F331" t="n">
        <x:v>226</x:v>
      </x:c>
      <x:c r="G331" t="str">
        <x:v>promo_catalogue_snapshot</x:v>
      </x:c>
      <x:c r="H331" t="str">
        <x:v>https://bulbapedia.bulbagarden.net/wiki/SVP_Black_Star_Promos</x:v>
      </x:c>
      <x:c r="I331" t="str">
        <x:v>en; distinct catalogue/checklist identities for this exact row scope</x:v>
      </x:c>
      <x:c r="J331" t="str">
        <x:v>Current Scarlet &amp; Violet Black Star Promo catalogue identities in source scope; promo series cutoff is source-date dependent.</x:v>
      </x:c>
      <x:c r="K331" t="str">
        <x:v>en-30019a75acfd</x:v>
      </x:c>
      <x:c r="L331" t="str">
        <x:v>reference_count</x:v>
      </x:c>
    </x:row>
    <x:row r="332">
      <x:c r="A332" t="str">
        <x:v>REF-50e485169202</x:v>
      </x:c>
      <x:c r="B332" t="str">
        <x:v>2026-09-26-reference-counts</x:v>
      </x:c>
      <x:c r="C332" t="str">
        <x:v>en</x:v>
      </x:c>
      <x:c r="D332" t="str">
        <x:v>MEP Black Star Promos</x:v>
      </x:c>
      <x:c r="E332" t="str">
        <x:v>Reference count</x:v>
      </x:c>
      <x:c r="F332" t="n">
        <x:v>127</x:v>
      </x:c>
      <x:c r="G332" t="str">
        <x:v>secondary_catalogue_snapshot</x:v>
      </x:c>
      <x:c r="H332" t="str">
        <x:v>https://www.cardtrader.com/en/pokemon/expansions</x:v>
      </x:c>
      <x:c r="I332" t="str">
        <x:v>en; distinct catalogue/checklist identities for this exact row scope</x:v>
      </x:c>
      <x:c r="J332" t="str">
        <x:v>Current Mega Evolution Black Star Promo catalogue index snapshot; ongoing series, so this is a dated catalogue count rather than a closed-set total.</x:v>
      </x:c>
      <x:c r="K332" t="str">
        <x:v>en-5e7baa43c285</x:v>
      </x:c>
      <x:c r="L332" t="str">
        <x:v>reference_count</x:v>
      </x:c>
    </x:row>
    <x:row r="333">
      <x:c r="A333" t="str">
        <x:v>REF-e0814864054b</x:v>
      </x:c>
      <x:c r="B333" t="str">
        <x:v>2026-09-26-reference-counts</x:v>
      </x:c>
      <x:c r="C333" t="str">
        <x:v>en</x:v>
      </x:c>
      <x:c r="D333" t="str">
        <x:v>30th Celebration</x:v>
      </x:c>
      <x:c r="E333" t="str">
        <x:v>Reference count</x:v>
      </x:c>
      <x:c r="F333" t="n">
        <x:v>160</x:v>
      </x:c>
      <x:c r="G333" t="str">
        <x:v>announced_lower_bound</x:v>
      </x:c>
      <x:c r="H333" t="str">
        <x:v>https://bulbapedia.bulbagarden.net/wiki/List_of_Pok%C3%A9mon_Trading_Card_Game_expansions</x:v>
      </x:c>
      <x:c r="I333" t="str">
        <x:v>en; distinct catalogue/checklist identities for this exact row scope</x:v>
      </x:c>
      <x:c r="J333" t="str">
        <x:v>Minimum announced catalogue size; source describes the set as 160+ cards. Stored as a lower bound, not an exact final checklist total.</x:v>
      </x:c>
      <x:c r="K333" t="str">
        <x:v>en-ceccb90187e4</x:v>
      </x:c>
      <x:c r="L333" t="str">
        <x:v>reference_count</x:v>
      </x:c>
    </x:row>
    <x:row r="334">
      <x:c r="A334" t="str">
        <x:v>REF-2e62b76296a5</x:v>
      </x:c>
      <x:c r="B334" t="str">
        <x:v>2026-09-26-reference-counts</x:v>
      </x:c>
      <x:c r="C334" t="str">
        <x:v>en</x:v>
      </x:c>
      <x:c r="D334" t="str">
        <x:v>Delta Reign</x:v>
      </x:c>
      <x:c r="E334" t="str">
        <x:v>Reference count</x:v>
      </x:c>
      <x:c r="F334" t="n">
        <x:v>135</x:v>
      </x:c>
      <x:c r="G334" t="str">
        <x:v>announced_lower_bound</x:v>
      </x:c>
      <x:c r="H334" t="str">
        <x:v>https://bulbapedia.bulbagarden.net/wiki/List_of_Pok%C3%A9mon_Trading_Card_Game_expansions</x:v>
      </x:c>
      <x:c r="I334" t="str">
        <x:v>en; distinct catalogue/checklist identities for this exact row scope</x:v>
      </x:c>
      <x:c r="J334" t="str">
        <x:v>Minimum announced catalogue size; source describes the set as over 135 cards. Stored as a lower bound pending final released checklist.</x:v>
      </x:c>
      <x:c r="K334" t="str">
        <x:v>en-c2a4826cab63</x:v>
      </x:c>
      <x:c r="L334" t="str">
        <x:v>reference_count</x:v>
      </x:c>
    </x:row>
    <x:row r="335">
      <x:c r="A335" t="str">
        <x:v>REF-3fa831404dd5</x:v>
      </x:c>
      <x:c r="B335" t="str">
        <x:v>2026-09-26-reference-counts</x:v>
      </x:c>
      <x:c r="C335" t="str">
        <x:v>en</x:v>
      </x:c>
      <x:c r="D335" t="str">
        <x:v>Black &amp; White Trainer Kit</x:v>
      </x:c>
      <x:c r="E335" t="str">
        <x:v>Reference count</x:v>
      </x:c>
      <x:c r="F335" t="n">
        <x:v>60</x:v>
      </x:c>
      <x:c r="G335" t="str">
        <x:v>product_numbered_checklist</x:v>
      </x:c>
      <x:c r="H335" t="str">
        <x:v>https://bulbapedia.bulbagarden.net/wiki/Black_%26_White_Trainer_Kit_(TCG)</x:v>
      </x:c>
      <x:c r="I335" t="str">
        <x:v>en; distinct catalogue/checklist identities for this exact row scope</x:v>
      </x:c>
      <x:c r="J335" t="str">
        <x:v>Two separately numbered 30-card Trainer Kit half-decks; reference count is numbered tutorial slots, not physical duplicates.</x:v>
      </x:c>
      <x:c r="K335" t="str">
        <x:v>en-21b02872eb20</x:v>
      </x:c>
      <x:c r="L335" t="str">
        <x:v>reference_count</x:v>
      </x:c>
    </x:row>
    <x:row r="336">
      <x:c r="A336" t="str">
        <x:v>REF-9977eb47c441</x:v>
      </x:c>
      <x:c r="B336" t="str">
        <x:v>2026-09-26-reference-counts</x:v>
      </x:c>
      <x:c r="C336" t="str">
        <x:v>en</x:v>
      </x:c>
      <x:c r="D336" t="str">
        <x:v>Diamond &amp; Pearl Trainer Kit</x:v>
      </x:c>
      <x:c r="E336" t="str">
        <x:v>Reference count</x:v>
      </x:c>
      <x:c r="F336" t="n">
        <x:v>23</x:v>
      </x:c>
      <x:c r="G336" t="str">
        <x:v>product_numbered_checklist</x:v>
      </x:c>
      <x:c r="H336" t="str">
        <x:v>https://bulbapedia.bulbagarden.net/wiki/Diamond_%26_Pearl_Trainer_Kit_(TCG)</x:v>
      </x:c>
      <x:c r="I336" t="str">
        <x:v>en; distinct catalogue/checklist identities for this exact row scope</x:v>
      </x:c>
      <x:c r="J336" t="str">
        <x:v>Distinct numbered Trainer Kit component identities: 12 Manaphy + 11 Lucario.</x:v>
      </x:c>
      <x:c r="K336" t="str">
        <x:v>en-6f8abbba436c</x:v>
      </x:c>
      <x:c r="L336" t="str">
        <x:v>reference_count</x:v>
      </x:c>
    </x:row>
    <x:row r="337">
      <x:c r="A337" t="str">
        <x:v>REF-1371328b6a2f</x:v>
      </x:c>
      <x:c r="B337" t="str">
        <x:v>2026-09-26-reference-counts</x:v>
      </x:c>
      <x:c r="C337" t="str">
        <x:v>en</x:v>
      </x:c>
      <x:c r="D337" t="str">
        <x:v>EX Trainer Kit</x:v>
      </x:c>
      <x:c r="E337" t="str">
        <x:v>Reference count</x:v>
      </x:c>
      <x:c r="F337" t="n">
        <x:v>20</x:v>
      </x:c>
      <x:c r="G337" t="str">
        <x:v>product_numbered_checklist</x:v>
      </x:c>
      <x:c r="H337" t="str">
        <x:v>https://bulbapedia.bulbagarden.net/wiki/EX_Trainer_Kit_(TCG)</x:v>
      </x:c>
      <x:c r="I337" t="str">
        <x:v>en; distinct catalogue/checklist identities for this exact row scope</x:v>
      </x:c>
      <x:c r="J337" t="str">
        <x:v>Two 10-card numbered Trainer Kit half-deck checklists; counts identities, not repeated physical cards.</x:v>
      </x:c>
      <x:c r="K337" t="str">
        <x:v>en-e2138469cc4d</x:v>
      </x:c>
      <x:c r="L337" t="str">
        <x:v>reference_count</x:v>
      </x:c>
    </x:row>
    <x:row r="338">
      <x:c r="A338" t="str">
        <x:v>REF-322536ecc61d</x:v>
      </x:c>
      <x:c r="B338" t="str">
        <x:v>2026-09-26-reference-counts</x:v>
      </x:c>
      <x:c r="C338" t="str">
        <x:v>en</x:v>
      </x:c>
      <x:c r="D338" t="str">
        <x:v>EX Trainer Kit 2</x:v>
      </x:c>
      <x:c r="E338" t="str">
        <x:v>Reference count</x:v>
      </x:c>
      <x:c r="F338" t="n">
        <x:v>24</x:v>
      </x:c>
      <x:c r="G338" t="str">
        <x:v>product_numbered_checklist</x:v>
      </x:c>
      <x:c r="H338" t="str">
        <x:v>https://bulbapedia.bulbagarden.net/wiki/EX_Trainer_Kit_2_(TCG)</x:v>
      </x:c>
      <x:c r="I338" t="str">
        <x:v>en; distinct catalogue/checklist identities for this exact row scope</x:v>
      </x:c>
      <x:c r="J338" t="str">
        <x:v>Two 12-card numbered Trainer Kit 2 half-deck checklists; counts identities, not repeated physical cards.</x:v>
      </x:c>
      <x:c r="K338" t="str">
        <x:v>en-f5c65c7b0a45</x:v>
      </x:c>
      <x:c r="L338" t="str">
        <x:v>reference_count</x:v>
      </x:c>
    </x:row>
    <x:row r="339">
      <x:c r="A339" t="str">
        <x:v>REF-8b01750fc658</x:v>
      </x:c>
      <x:c r="B339" t="str">
        <x:v>2026-09-26-reference-counts</x:v>
      </x:c>
      <x:c r="C339" t="str">
        <x:v>en</x:v>
      </x:c>
      <x:c r="D339" t="str">
        <x:v>HS Trainer Kit</x:v>
      </x:c>
      <x:c r="E339" t="str">
        <x:v>Reference count</x:v>
      </x:c>
      <x:c r="F339" t="n">
        <x:v>60</x:v>
      </x:c>
      <x:c r="G339" t="str">
        <x:v>product_numbered_checklist</x:v>
      </x:c>
      <x:c r="H339" t="str">
        <x:v>https://bulbapedia.bulbagarden.net/wiki/HS_Trainer_Kit_(TCG)</x:v>
      </x:c>
      <x:c r="I339" t="str">
        <x:v>en; distinct catalogue/checklist identities for this exact row scope</x:v>
      </x:c>
      <x:c r="J339" t="str">
        <x:v>Two separately numbered 30-card HS Trainer Kit half-decks.</x:v>
      </x:c>
      <x:c r="K339" t="str">
        <x:v>en-3b501faa2faf</x:v>
      </x:c>
      <x:c r="L339" t="str">
        <x:v>reference_count</x:v>
      </x:c>
    </x:row>
    <x:row r="340">
      <x:c r="A340" t="str">
        <x:v>REF-f4c452e6af6c</x:v>
      </x:c>
      <x:c r="B340" t="str">
        <x:v>2026-09-26-reference-counts</x:v>
      </x:c>
      <x:c r="C340" t="str">
        <x:v>en</x:v>
      </x:c>
      <x:c r="D340" t="str">
        <x:v>Sun &amp; Moon Trainer Kit: Lycanroc &amp; Alolan Raichu</x:v>
      </x:c>
      <x:c r="E340" t="str">
        <x:v>Reference count</x:v>
      </x:c>
      <x:c r="F340" t="n">
        <x:v>60</x:v>
      </x:c>
      <x:c r="G340" t="str">
        <x:v>product_numbered_checklist</x:v>
      </x:c>
      <x:c r="H340" t="str">
        <x:v>https://bulbapedia.bulbagarden.net/wiki/Sun_%26_Moon_Trainer_Kit_(TCG)</x:v>
      </x:c>
      <x:c r="I340" t="str">
        <x:v>en; distinct catalogue/checklist identities for this exact row scope</x:v>
      </x:c>
      <x:c r="J340" t="str">
        <x:v>Two separately numbered 30-card Sun &amp; Moon Trainer Kit half-decks.</x:v>
      </x:c>
      <x:c r="K340" t="str">
        <x:v>en-ecc3b9bb3ca7</x:v>
      </x:c>
      <x:c r="L340" t="str">
        <x:v>reference_count</x:v>
      </x:c>
    </x:row>
    <x:row r="341">
      <x:c r="A341" t="str">
        <x:v>REF-f5d4fd4f0f61</x:v>
      </x:c>
      <x:c r="B341" t="str">
        <x:v>2026-09-26-reference-counts</x:v>
      </x:c>
      <x:c r="C341" t="str">
        <x:v>en</x:v>
      </x:c>
      <x:c r="D341" t="str">
        <x:v>XY Trainer Kit: Bisharp &amp; Wigglytuff</x:v>
      </x:c>
      <x:c r="E341" t="str">
        <x:v>Reference count</x:v>
      </x:c>
      <x:c r="F341" t="n">
        <x:v>60</x:v>
      </x:c>
      <x:c r="G341" t="str">
        <x:v>product_numbered_checklist</x:v>
      </x:c>
      <x:c r="H341" t="str">
        <x:v>https://bulbapedia.bulbagarden.net/wiki/XY_Trainer_Kit_(TCG)</x:v>
      </x:c>
      <x:c r="I341" t="str">
        <x:v>en; distinct catalogue/checklist identities for this exact row scope</x:v>
      </x:c>
      <x:c r="J341" t="str">
        <x:v>Two separately numbered 30-card XY Trainer Kit half-decks.</x:v>
      </x:c>
      <x:c r="K341" t="str">
        <x:v>en-07817e7127e4</x:v>
      </x:c>
      <x:c r="L341" t="str">
        <x:v>reference_count</x:v>
      </x:c>
    </x:row>
    <x:row r="342">
      <x:c r="A342" t="str">
        <x:v>REF-4e75c4e1f606</x:v>
      </x:c>
      <x:c r="B342" t="str">
        <x:v>2026-09-26-reference-counts</x:v>
      </x:c>
      <x:c r="C342" t="str">
        <x:v>en</x:v>
      </x:c>
      <x:c r="D342" t="str">
        <x:v>XY Trainer Kit: Pikachu Libre &amp; Suicune</x:v>
      </x:c>
      <x:c r="E342" t="str">
        <x:v>Reference count</x:v>
      </x:c>
      <x:c r="F342" t="n">
        <x:v>60</x:v>
      </x:c>
      <x:c r="G342" t="str">
        <x:v>product_numbered_checklist</x:v>
      </x:c>
      <x:c r="H342" t="str">
        <x:v>https://bulbapedia.bulbagarden.net/wiki/XY_Trainer_Kit_(TCG)</x:v>
      </x:c>
      <x:c r="I342" t="str">
        <x:v>en; distinct catalogue/checklist identities for this exact row scope</x:v>
      </x:c>
      <x:c r="J342" t="str">
        <x:v>Two separately numbered 30-card XY Trainer Kit half-decks.</x:v>
      </x:c>
      <x:c r="K342" t="str">
        <x:v>en-302071e0cf37</x:v>
      </x:c>
      <x:c r="L342" t="str">
        <x:v>reference_count</x:v>
      </x:c>
    </x:row>
    <x:row r="343">
      <x:c r="A343" t="str">
        <x:v>REF-99144399ee0c</x:v>
      </x:c>
      <x:c r="B343" t="str">
        <x:v>2026-09-26-reference-counts</x:v>
      </x:c>
      <x:c r="C343" t="str">
        <x:v>en</x:v>
      </x:c>
      <x:c r="D343" t="str">
        <x:v>XY Trainer Kit: Sylveon &amp; Noivern</x:v>
      </x:c>
      <x:c r="E343" t="str">
        <x:v>Reference count</x:v>
      </x:c>
      <x:c r="F343" t="n">
        <x:v>60</x:v>
      </x:c>
      <x:c r="G343" t="str">
        <x:v>product_numbered_checklist</x:v>
      </x:c>
      <x:c r="H343" t="str">
        <x:v>https://bulbapedia.bulbagarden.net/wiki/XY_Trainer_Kit_(TCG)</x:v>
      </x:c>
      <x:c r="I343" t="str">
        <x:v>en; distinct catalogue/checklist identities for this exact row scope</x:v>
      </x:c>
      <x:c r="J343" t="str">
        <x:v>Two separately numbered 30-card XY Trainer Kit half-decks.</x:v>
      </x:c>
      <x:c r="K343" t="str">
        <x:v>en-6acc5b28480e</x:v>
      </x:c>
      <x:c r="L343" t="str">
        <x:v>reference_count</x:v>
      </x:c>
    </x:row>
    <x:row r="344">
      <x:c r="A344" t="str">
        <x:v>REF-a8c591699eab</x:v>
      </x:c>
      <x:c r="B344" t="str">
        <x:v>2026-09-26-reference-counts</x:v>
      </x:c>
      <x:c r="C344" t="str">
        <x:v>ja</x:v>
      </x:c>
      <x:c r="D344" t="str">
        <x:v>M-P Promotional cards</x:v>
      </x:c>
      <x:c r="E344" t="str">
        <x:v>Reference count</x:v>
      </x:c>
      <x:c r="F344" t="n">
        <x:v>145</x:v>
      </x:c>
      <x:c r="G344" t="str">
        <x:v>promo_numbering_extent</x:v>
      </x:c>
      <x:c r="H344" t="str">
        <x:v>https://bulbapedia.bulbagarden.net/wiki/M-P_Promotional_cards_(TCG)</x:v>
      </x:c>
      <x:c r="I344" t="str">
        <x:v>ja; distinct catalogue/checklist identities for this exact row scope</x:v>
      </x:c>
      <x:c r="J344" t="str">
        <x:v>Current M-P promotional catalogue numbering extent in the source snapshot; ongoing promo series.</x:v>
      </x:c>
      <x:c r="K344" t="str">
        <x:v>ja-201f35403317</x:v>
      </x:c>
      <x:c r="L344" t="str">
        <x:v>reference_count</x:v>
      </x:c>
    </x:row>
    <x:row r="345">
      <x:c r="A345" t="str">
        <x:v>REF-93e2f7b5e722</x:v>
      </x:c>
      <x:c r="B345" t="str">
        <x:v>2026-09-26-reference-counts</x:v>
      </x:c>
      <x:c r="C345" t="str">
        <x:v>ja</x:v>
      </x:c>
      <x:c r="D345" t="str">
        <x:v>30th Celebration</x:v>
      </x:c>
      <x:c r="E345" t="str">
        <x:v>Reference count</x:v>
      </x:c>
      <x:c r="F345" t="n">
        <x:v>160</x:v>
      </x:c>
      <x:c r="G345" t="str">
        <x:v>announced_lower_bound</x:v>
      </x:c>
      <x:c r="H345" t="str">
        <x:v>https://bulbapedia.bulbagarden.net/wiki/List_of_Japanese_TCG_Expansions</x:v>
      </x:c>
      <x:c r="I345" t="str">
        <x:v>ja; distinct catalogue/checklist identities for this exact row scope</x:v>
      </x:c>
      <x:c r="J345" t="str">
        <x:v>Minimum announced 30th Celebration catalogue size (160+); stored as lower bound pending final checklist reconciliation.</x:v>
      </x:c>
      <x:c r="K345" t="str">
        <x:v>ja-b1b5ce787164</x:v>
      </x:c>
      <x:c r="L345" t="str">
        <x:v>reference_count</x:v>
      </x:c>
    </x:row>
    <x:row r="346">
      <x:c r="A346" t="str">
        <x:v>REF-a99862a8dbc7</x:v>
      </x:c>
      <x:c r="B346" t="str">
        <x:v>2026-09-26-reference-counts</x:v>
      </x:c>
      <x:c r="C346" t="str">
        <x:v>ja</x:v>
      </x:c>
      <x:c r="D346" t="str">
        <x:v>Start Deck 100</x:v>
      </x:c>
      <x:c r="E346" t="str">
        <x:v>Reference count</x:v>
      </x:c>
      <x:c r="F346" t="n">
        <x:v>422</x:v>
      </x:c>
      <x:c r="G346" t="str">
        <x:v>secondary_numbered_checklist</x:v>
      </x:c>
      <x:c r="H346" t="str">
        <x:v>https://bulbapedia.bulbagarden.net/wiki/Start_Deck_100_(TCG)</x:v>
      </x:c>
      <x:c r="I346" t="str">
        <x:v>ja; distinct catalogue/checklist identities for this exact row scope</x:v>
      </x:c>
      <x:c r="J346" t="str">
        <x:v>Distinct Start Deck 100 catalogue identities: 414-number denominator plus documented beyond-denominator identities; not 100×60 physical deck cards.</x:v>
      </x:c>
      <x:c r="K346" t="str">
        <x:v>ja-db1b40ed6128</x:v>
      </x:c>
      <x:c r="L346" t="str">
        <x:v>reference_count</x:v>
      </x:c>
    </x:row>
    <x:row r="347">
      <x:c r="A347" t="str">
        <x:v>REF-671747d0d87d</x:v>
      </x:c>
      <x:c r="B347" t="str">
        <x:v>2026-09-26-reference-counts</x:v>
      </x:c>
      <x:c r="C347" t="str">
        <x:v>ja</x:v>
      </x:c>
      <x:c r="D347" t="str">
        <x:v>Unnumbered Promotional cards</x:v>
      </x:c>
      <x:c r="E347" t="str">
        <x:v>Reference count</x:v>
      </x:c>
      <x:c r="F347" t="n">
        <x:v>150</x:v>
      </x:c>
      <x:c r="G347" t="str">
        <x:v>secondary_catalogue_snapshot</x:v>
      </x:c>
      <x:c r="H347" t="str">
        <x:v>https://www.cardtrader.com/en/pokemon/expansions</x:v>
      </x:c>
      <x:c r="I347" t="str">
        <x:v>ja; distinct catalogue/checklist identities for this exact row scope</x:v>
      </x:c>
      <x:c r="J347" t="str">
        <x:v>Current secondary catalogue snapshot of distinct Japanese unnumbered promotional-card identities; ongoing open-ended promo scope.</x:v>
      </x:c>
      <x:c r="K347" t="str">
        <x:v>ja-dc7d8d809c94</x:v>
      </x:c>
      <x:c r="L347" t="str">
        <x:v>reference_count</x:v>
      </x:c>
    </x:row>
    <x:row r="348">
      <x:c r="A348" t="str">
        <x:v>REF-a24518347fb1</x:v>
      </x:c>
      <x:c r="B348" t="str">
        <x:v>2026-09-26-reference-counts</x:v>
      </x:c>
      <x:c r="C348" t="str">
        <x:v>zh-CN</x:v>
      </x:c>
      <x:c r="D348" t="str">
        <x:v>Marine Shadow: Banish</x:v>
      </x:c>
      <x:c r="E348" t="str">
        <x:v>Reference count</x:v>
      </x:c>
      <x:c r="F348" t="n">
        <x:v>173</x:v>
      </x:c>
      <x:c r="G348" t="str">
        <x:v>secondary_checklist</x:v>
      </x:c>
      <x:c r="H348" t="str">
        <x:v>https://bulbapedia.bulbagarden.net/wiki/Template:Simplified_Chinese_Releases</x:v>
      </x:c>
      <x:c r="I348" t="str">
        <x:v>zh-CN; distinct catalogue/checklist identities for this exact row scope</x:v>
      </x:c>
      <x:c r="J348" t="str">
        <x:v>Distinct numbered identities for Marine Shadow: Banish in the named Simplified Chinese set scope.</x:v>
      </x:c>
      <x:c r="K348" t="str">
        <x:v>zh-CN-7830668b1cfa</x:v>
      </x:c>
      <x:c r="L348" t="str">
        <x:v>reference_count</x:v>
      </x:c>
    </x:row>
    <x:row r="349">
      <x:c r="A349" t="str">
        <x:v>REF-cbcfafb2ad82</x:v>
      </x:c>
      <x:c r="B349" t="str">
        <x:v>2026-09-26-reference-counts</x:v>
      </x:c>
      <x:c r="C349" t="str">
        <x:v>zh-CN</x:v>
      </x:c>
      <x:c r="D349" t="str">
        <x:v>Marine Shadow: Roar</x:v>
      </x:c>
      <x:c r="E349" t="str">
        <x:v>Reference count</x:v>
      </x:c>
      <x:c r="F349" t="n">
        <x:v>170</x:v>
      </x:c>
      <x:c r="G349" t="str">
        <x:v>secondary_checklist</x:v>
      </x:c>
      <x:c r="H349" t="str">
        <x:v>https://bulbapedia.bulbagarden.net/wiki/Template:Simplified_Chinese_Releases</x:v>
      </x:c>
      <x:c r="I349" t="str">
        <x:v>zh-CN; distinct catalogue/checklist identities for this exact row scope</x:v>
      </x:c>
      <x:c r="J349" t="str">
        <x:v>Distinct numbered identities for Marine Shadow: Roar in the named Simplified Chinese set scope.</x:v>
      </x:c>
      <x:c r="K349" t="str">
        <x:v>zh-CN-4e11f8df413a</x:v>
      </x:c>
      <x:c r="L349" t="str">
        <x:v>reference_count</x:v>
      </x:c>
    </x:row>
    <x:row r="350">
      <x:c r="A350" t="str">
        <x:v>REF-836c76522813</x:v>
      </x:c>
      <x:c r="B350" t="str">
        <x:v>2026-09-26-reference-counts</x:v>
      </x:c>
      <x:c r="C350" t="str">
        <x:v>zh-CN</x:v>
      </x:c>
      <x:c r="D350" t="str">
        <x:v>Victory Lodestar</x:v>
      </x:c>
      <x:c r="E350" t="str">
        <x:v>Reference count</x:v>
      </x:c>
      <x:c r="F350" t="n">
        <x:v>72</x:v>
      </x:c>
      <x:c r="G350" t="str">
        <x:v>announced_lower_bound</x:v>
      </x:c>
      <x:c r="H350" t="str">
        <x:v>https://bulbapedia.bulbagarden.net/wiki/Template:Simplified_Chinese_Releases</x:v>
      </x:c>
      <x:c r="I350" t="str">
        <x:v>zh-CN; distinct catalogue/checklist identities for this exact row scope</x:v>
      </x:c>
      <x:c r="J350" t="str">
        <x:v>Printed/source catalogue denominator; treated as minimum because additional identities may exist beyond the stated 72.</x:v>
      </x:c>
      <x:c r="K350" t="str">
        <x:v>zh-CN-2097f2637c37</x:v>
      </x:c>
      <x:c r="L350" t="str">
        <x:v>reference_count</x:v>
      </x:c>
    </x:row>
    <x:row r="351">
      <x:c r="A351" t="str">
        <x:v>REF-f323ec4ec082</x:v>
      </x:c>
      <x:c r="B351" t="str">
        <x:v>2026-09-26-reference-counts</x:v>
      </x:c>
      <x:c r="C351" t="str">
        <x:v>zh-CN</x:v>
      </x:c>
      <x:c r="D351" t="str">
        <x:v>Collection 151: Journey</x:v>
      </x:c>
      <x:c r="E351" t="str">
        <x:v>Reference count</x:v>
      </x:c>
      <x:c r="F351" t="n">
        <x:v>192</x:v>
      </x:c>
      <x:c r="G351" t="str">
        <x:v>shared_catalogue</x:v>
      </x:c>
      <x:c r="H351" t="str">
        <x:v>https://bulbapedia.bulbagarden.net/wiki/Template:Simplified_Chinese_Releases</x:v>
      </x:c>
      <x:c r="I351" t="str">
        <x:v>zh-CN; distinct catalogue/checklist identities for this exact row scope</x:v>
      </x:c>
      <x:c r="J351" t="str">
        <x:v>Shared Collection 151 numbered catalogue count; Journey is a pack edition and overlaps the same 192-identity catalogue.</x:v>
      </x:c>
      <x:c r="K351" t="str">
        <x:v>zh-CN-d1ae3e65a60e</x:v>
      </x:c>
      <x:c r="L351" t="str">
        <x:v>reference_count</x:v>
      </x:c>
    </x:row>
    <x:row r="352">
      <x:c r="A352" t="str">
        <x:v>REF-fdd4d6528c88</x:v>
      </x:c>
      <x:c r="B352" t="str">
        <x:v>2026-09-26-reference-counts</x:v>
      </x:c>
      <x:c r="C352" t="str">
        <x:v>zh-CN</x:v>
      </x:c>
      <x:c r="D352" t="str">
        <x:v>Collection 151: Hope</x:v>
      </x:c>
      <x:c r="E352" t="str">
        <x:v>Reference count</x:v>
      </x:c>
      <x:c r="F352" t="n">
        <x:v>192</x:v>
      </x:c>
      <x:c r="G352" t="str">
        <x:v>shared_catalogue</x:v>
      </x:c>
      <x:c r="H352" t="str">
        <x:v>https://bulbapedia.bulbagarden.net/wiki/Template:Simplified_Chinese_Releases</x:v>
      </x:c>
      <x:c r="I352" t="str">
        <x:v>zh-CN; distinct catalogue/checklist identities for this exact row scope</x:v>
      </x:c>
      <x:c r="J352" t="str">
        <x:v>Shared Collection 151 numbered catalogue count; Hope is a pack edition and overlaps the same 192-identity catalogue.</x:v>
      </x:c>
      <x:c r="K352" t="str">
        <x:v>zh-CN-8e72634373e1</x:v>
      </x:c>
      <x:c r="L352" t="str">
        <x:v>reference_count</x:v>
      </x:c>
    </x:row>
    <x:row r="353">
      <x:c r="A353" t="str">
        <x:v>REF-ccfbc681f66b</x:v>
      </x:c>
      <x:c r="B353" t="str">
        <x:v>2026-09-26-reference-counts</x:v>
      </x:c>
      <x:c r="C353" t="str">
        <x:v>zh-CN</x:v>
      </x:c>
      <x:c r="D353" t="str">
        <x:v>Collection 151: Scare</x:v>
      </x:c>
      <x:c r="E353" t="str">
        <x:v>Reference count</x:v>
      </x:c>
      <x:c r="F353" t="n">
        <x:v>192</x:v>
      </x:c>
      <x:c r="G353" t="str">
        <x:v>shared_catalogue</x:v>
      </x:c>
      <x:c r="H353" t="str">
        <x:v>https://bulbapedia.bulbagarden.net/wiki/Template:Simplified_Chinese_Releases</x:v>
      </x:c>
      <x:c r="I353" t="str">
        <x:v>zh-CN; distinct catalogue/checklist identities for this exact row scope</x:v>
      </x:c>
      <x:c r="J353" t="str">
        <x:v>Shared Collection 151 numbered catalogue count; Scare is a pack edition and overlaps the same 192-identity catalogue.</x:v>
      </x:c>
      <x:c r="K353" t="str">
        <x:v>zh-CN-06deae5bed81</x:v>
      </x:c>
      <x:c r="L353" t="str">
        <x:v>reference_count</x:v>
      </x:c>
    </x:row>
    <x:row r="354">
      <x:c r="A354" t="str">
        <x:v>REF-d79cee4b2eb1</x:v>
      </x:c>
      <x:c r="B354" t="str">
        <x:v>2026-09-26-reference-counts</x:v>
      </x:c>
      <x:c r="C354" t="str">
        <x:v>zh-CN</x:v>
      </x:c>
      <x:c r="D354" t="str">
        <x:v>Collection 151: Gather</x:v>
      </x:c>
      <x:c r="E354" t="str">
        <x:v>Reference count</x:v>
      </x:c>
      <x:c r="F354" t="n">
        <x:v>192</x:v>
      </x:c>
      <x:c r="G354" t="str">
        <x:v>shared_catalogue</x:v>
      </x:c>
      <x:c r="H354" t="str">
        <x:v>https://bulbapedia.bulbagarden.net/wiki/Template:Simplified_Chinese_Releases</x:v>
      </x:c>
      <x:c r="I354" t="str">
        <x:v>zh-CN; distinct catalogue/checklist identities for this exact row scope</x:v>
      </x:c>
      <x:c r="J354" t="str">
        <x:v>Shared Collection 151 numbered catalogue count; Gather is a pack edition and overlaps the same 192-identity catalogue.</x:v>
      </x:c>
      <x:c r="K354" t="str">
        <x:v>zh-CN-18809c23b06f</x:v>
      </x:c>
      <x:c r="L354" t="str">
        <x:v>reference_count</x:v>
      </x:c>
    </x:row>
    <x:row r="355">
      <x:c r="A355" t="str">
        <x:v>REF-863bf14fcba1</x:v>
      </x:c>
      <x:c r="B355" t="str">
        <x:v>2026-09-26-reference-counts</x:v>
      </x:c>
      <x:c r="C355" t="str">
        <x:v>zh-CN</x:v>
      </x:c>
      <x:c r="D355" t="str">
        <x:v>Gem Pack Vol. 6</x:v>
      </x:c>
      <x:c r="E355" t="str">
        <x:v>Reference count</x:v>
      </x:c>
      <x:c r="F355" t="n">
        <x:v>196</x:v>
      </x:c>
      <x:c r="G355" t="str">
        <x:v>secondary_checklist</x:v>
      </x:c>
      <x:c r="H355" t="str">
        <x:v>https://bulbapedia.bulbagarden.net/wiki/Template:Simplified_Chinese_Releases</x:v>
      </x:c>
      <x:c r="I355" t="str">
        <x:v>zh-CN; distinct catalogue/checklist identities for this exact row scope</x:v>
      </x:c>
      <x:c r="J355" t="str">
        <x:v>Gem Pack Vol. 6 catalogue identities in the source checklist scope.</x:v>
      </x:c>
      <x:c r="K355" t="str">
        <x:v>zh-CN-7f5295a2c6c4</x:v>
      </x:c>
      <x:c r="L355" t="str">
        <x:v>reference_count</x:v>
      </x:c>
    </x:row>
    <x:row r="356">
      <x:c r="A356" t="str">
        <x:v>REF-813d471c0926</x:v>
      </x:c>
      <x:c r="B356" t="str">
        <x:v>2026-09-26-reference-counts</x:v>
      </x:c>
      <x:c r="C356" t="str">
        <x:v>zh-CN</x:v>
      </x:c>
      <x:c r="D356" t="str">
        <x:v>30th Celebration</x:v>
      </x:c>
      <x:c r="E356" t="str">
        <x:v>Reference count</x:v>
      </x:c>
      <x:c r="F356" t="n">
        <x:v>160</x:v>
      </x:c>
      <x:c r="G356" t="str">
        <x:v>announced_lower_bound</x:v>
      </x:c>
      <x:c r="H356" t="str">
        <x:v>https://bulbapedia.bulbagarden.net/wiki/Template:Simplified_Chinese_Releases</x:v>
      </x:c>
      <x:c r="I356" t="str">
        <x:v>zh-CN; distinct catalogue/checklist identities for this exact row scope</x:v>
      </x:c>
      <x:c r="J356" t="str">
        <x:v>Minimum announced 30th Celebration catalogue size (160+); stored as lower bound pending final checklist.</x:v>
      </x:c>
      <x:c r="K356" t="str">
        <x:v>zh-CN-02c213890e59</x:v>
      </x:c>
      <x:c r="L356" t="str">
        <x:v>reference_count</x:v>
      </x:c>
    </x:row>
    <x:row r="357">
      <x:c r="A357" t="str">
        <x:v>REF-60ea931d34da</x:v>
      </x:c>
      <x:c r="B357" t="str">
        <x:v>2026-09-26-reference-counts</x:v>
      </x:c>
      <x:c r="C357" t="str">
        <x:v>zh-CN</x:v>
      </x:c>
      <x:c r="D357" t="str">
        <x:v>30th-P Promotional cards</x:v>
      </x:c>
      <x:c r="E357" t="str">
        <x:v>Reference count</x:v>
      </x:c>
      <x:c r="F357" t="n">
        <x:v>31</x:v>
      </x:c>
      <x:c r="G357" t="str">
        <x:v>secondary_checklist</x:v>
      </x:c>
      <x:c r="H357" t="str">
        <x:v>https://bulbapedia.bulbagarden.net/wiki/Template:Simplified_Chinese_Releases</x:v>
      </x:c>
      <x:c r="I357" t="str">
        <x:v>zh-CN; distinct catalogue/checklist identities for this exact row scope</x:v>
      </x:c>
      <x:c r="J357" t="str">
        <x:v>Current 30th-P promotional catalogue identities in source scope.</x:v>
      </x:c>
      <x:c r="K357" t="str">
        <x:v>zh-CN-6262f13e0152</x:v>
      </x:c>
      <x:c r="L357" t="str">
        <x:v>reference_count</x:v>
      </x:c>
    </x:row>
    <x:row r="358">
      <x:c r="A358" t="str">
        <x:v>REF-5eeb89aa34bd</x:v>
      </x:c>
      <x:c r="B358" t="str">
        <x:v>2026-09-26-reference-counts</x:v>
      </x:c>
      <x:c r="C358" t="str">
        <x:v>zh-CN</x:v>
      </x:c>
      <x:c r="D358" t="str">
        <x:v>Dynamax Clash V Starter Decks</x:v>
      </x:c>
      <x:c r="E358" t="str">
        <x:v>Reference count</x:v>
      </x:c>
      <x:c r="F358" t="n">
        <x:v>222</x:v>
      </x:c>
      <x:c r="G358" t="str">
        <x:v>secondary_checklist</x:v>
      </x:c>
      <x:c r="H358" t="str">
        <x:v>https://bulbapedia.bulbagarden.net/wiki/Template:Simplified_Chinese_Releases</x:v>
      </x:c>
      <x:c r="I358" t="str">
        <x:v>zh-CN; distinct catalogue/checklist identities for this exact row scope</x:v>
      </x:c>
      <x:c r="J358" t="str">
        <x:v>Dynamax Clash V Starter Deck catalogue pool: numbered identities through the documented set extent; not physical deck-card quantity.</x:v>
      </x:c>
      <x:c r="K358" t="str">
        <x:v>zh-CN-b9059c7402f0</x:v>
      </x:c>
      <x:c r="L358" t="str">
        <x:v>reference_count</x:v>
      </x:c>
    </x:row>
    <x:row r="359">
      <x:c r="A359" t="str">
        <x:v>REF-5c72afc0aa7e</x:v>
      </x:c>
      <x:c r="B359" t="str">
        <x:v>2026-09-26-reference-counts</x:v>
      </x:c>
      <x:c r="C359" t="str">
        <x:v>zh-CN</x:v>
      </x:c>
      <x:c r="D359" t="str">
        <x:v>Gallant Galaxy V Starter Decks</x:v>
      </x:c>
      <x:c r="E359" t="str">
        <x:v>Reference count</x:v>
      </x:c>
      <x:c r="F359" t="n">
        <x:v>163</x:v>
      </x:c>
      <x:c r="G359" t="str">
        <x:v>secondary_checklist</x:v>
      </x:c>
      <x:c r="H359" t="str">
        <x:v>https://bulbapedia.bulbagarden.net/wiki/Template:Simplified_Chinese_Releases</x:v>
      </x:c>
      <x:c r="I359" t="str">
        <x:v>zh-CN; distinct catalogue/checklist identities for this exact row scope</x:v>
      </x:c>
      <x:c r="J359" t="str">
        <x:v>Gallant Galaxy V Starter Deck catalogue pool; not physical deck-card quantity.</x:v>
      </x:c>
      <x:c r="K359" t="str">
        <x:v>zh-CN-754715d30142</x:v>
      </x:c>
      <x:c r="L359" t="str">
        <x:v>reference_count</x:v>
      </x:c>
    </x:row>
    <x:row r="360">
      <x:c r="A360" t="str">
        <x:v>REF-8aba5afce69e</x:v>
      </x:c>
      <x:c r="B360" t="str">
        <x:v>2026-09-26-reference-counts</x:v>
      </x:c>
      <x:c r="C360" t="str">
        <x:v>zh-CN</x:v>
      </x:c>
      <x:c r="D360" t="str">
        <x:v>M-P Promotional cards</x:v>
      </x:c>
      <x:c r="E360" t="str">
        <x:v>Reference count</x:v>
      </x:c>
      <x:c r="F360" t="n">
        <x:v>1</x:v>
      </x:c>
      <x:c r="G360" t="str">
        <x:v>secondary_checklist</x:v>
      </x:c>
      <x:c r="H360" t="str">
        <x:v>https://bulbapedia.bulbagarden.net/wiki/Template:Simplified_Chinese_Releases</x:v>
      </x:c>
      <x:c r="I360" t="str">
        <x:v>zh-CN; distinct catalogue/checklist identities for this exact row scope</x:v>
      </x:c>
      <x:c r="J360" t="str">
        <x:v>Current released M-P Simplified Chinese promotional identity in the source snapshot; ongoing promo series.</x:v>
      </x:c>
      <x:c r="K360" t="str">
        <x:v>zh-CN-0b8024065063</x:v>
      </x:c>
      <x:c r="L360" t="str">
        <x:v>reference_count</x:v>
      </x:c>
    </x:row>
    <x:row r="361">
      <x:c r="A361" t="str">
        <x:v>REF-6b27733201a2</x:v>
      </x:c>
      <x:c r="B361" t="str">
        <x:v>2026-09-26-reference-counts</x:v>
      </x:c>
      <x:c r="C361" t="str">
        <x:v>zh-CN</x:v>
      </x:c>
      <x:c r="D361" t="str">
        <x:v>Pokémon Card Game Battle Academy</x:v>
      </x:c>
      <x:c r="E361" t="str">
        <x:v>Reference count</x:v>
      </x:c>
      <x:c r="F361" t="n">
        <x:v>98</x:v>
      </x:c>
      <x:c r="G361" t="str">
        <x:v>secondary_checklist</x:v>
      </x:c>
      <x:c r="H361" t="str">
        <x:v>https://bulbapedia.bulbagarden.net/wiki/Template:Simplified_Chinese_Releases ; https://www.pokemon.cn/tcg/</x:v>
      </x:c>
      <x:c r="I361" t="str">
        <x:v>zh-CN; distinct catalogue/checklist identities for this exact row scope</x:v>
      </x:c>
      <x:c r="J361" t="str">
        <x:v>Battle Academy product-specific catalogue identities; separate from the 240 physical cards across four constructed decks.</x:v>
      </x:c>
      <x:c r="K361" t="str">
        <x:v>zh-CN-17407eca3331</x:v>
      </x:c>
      <x:c r="L361" t="str">
        <x:v>reference_count</x:v>
      </x:c>
    </x:row>
    <x:row r="362">
      <x:c r="A362" t="str">
        <x:v>REF-cd2f98b75c50</x:v>
      </x:c>
      <x:c r="B362" t="str">
        <x:v>2026-09-26-reference-counts</x:v>
      </x:c>
      <x:c r="C362" t="str">
        <x:v>zh-CN</x:v>
      </x:c>
      <x:c r="D362" t="str">
        <x:v>Primordial Arts V Starter Decks</x:v>
      </x:c>
      <x:c r="E362" t="str">
        <x:v>Reference count</x:v>
      </x:c>
      <x:c r="F362" t="n">
        <x:v>183</x:v>
      </x:c>
      <x:c r="G362" t="str">
        <x:v>secondary_checklist</x:v>
      </x:c>
      <x:c r="H362" t="str">
        <x:v>https://bulbapedia.bulbagarden.net/wiki/Template:Simplified_Chinese_Releases</x:v>
      </x:c>
      <x:c r="I362" t="str">
        <x:v>zh-CN; distinct catalogue/checklist identities for this exact row scope</x:v>
      </x:c>
      <x:c r="J362" t="str">
        <x:v>Primordial Arts V Starter Deck catalogue pool; not physical deck-card quantity.</x:v>
      </x:c>
      <x:c r="K362" t="str">
        <x:v>zh-CN-0f55490115e0</x:v>
      </x:c>
      <x:c r="L362" t="str">
        <x:v>reference_count</x:v>
      </x:c>
    </x:row>
    <x:row r="363">
      <x:c r="A363" t="str">
        <x:v>REF-8591639568fb</x:v>
      </x:c>
      <x:c r="B363" t="str">
        <x:v>2026-09-26-reference-counts</x:v>
      </x:c>
      <x:c r="C363" t="str">
        <x:v>zh-CN</x:v>
      </x:c>
      <x:c r="D363" t="str">
        <x:v>S-P Promotional cards</x:v>
      </x:c>
      <x:c r="E363" t="str">
        <x:v>Reference count</x:v>
      </x:c>
      <x:c r="F363" t="n">
        <x:v>180</x:v>
      </x:c>
      <x:c r="G363" t="str">
        <x:v>secondary_checklist</x:v>
      </x:c>
      <x:c r="H363" t="str">
        <x:v>https://bulbapedia.bulbagarden.net/wiki/Template:Simplified_Chinese_Releases</x:v>
      </x:c>
      <x:c r="I363" t="str">
        <x:v>zh-CN; distinct catalogue/checklist identities for this exact row scope</x:v>
      </x:c>
      <x:c r="J363" t="str">
        <x:v>Current S-P Simplified Chinese promotional numbering extent; ongoing promo catalogue.</x:v>
      </x:c>
      <x:c r="K363" t="str">
        <x:v>zh-CN-a4ed9d742e92</x:v>
      </x:c>
      <x:c r="L363" t="str">
        <x:v>reference_count</x:v>
      </x:c>
    </x:row>
    <x:row r="364">
      <x:c r="A364" t="str">
        <x:v>REF-350f47eb490e</x:v>
      </x:c>
      <x:c r="B364" t="str">
        <x:v>2026-09-26-reference-counts</x:v>
      </x:c>
      <x:c r="C364" t="str">
        <x:v>zh-CN</x:v>
      </x:c>
      <x:c r="D364" t="str">
        <x:v>SM-P Promotional cards</x:v>
      </x:c>
      <x:c r="E364" t="str">
        <x:v>Reference count</x:v>
      </x:c>
      <x:c r="F364" t="n">
        <x:v>74</x:v>
      </x:c>
      <x:c r="G364" t="str">
        <x:v>secondary_checklist</x:v>
      </x:c>
      <x:c r="H364" t="str">
        <x:v>https://bulbapedia.bulbagarden.net/wiki/Template:Simplified_Chinese_Releases</x:v>
      </x:c>
      <x:c r="I364" t="str">
        <x:v>zh-CN; distinct catalogue/checklist identities for this exact row scope</x:v>
      </x:c>
      <x:c r="J364" t="str">
        <x:v>Current SM-P Simplified Chinese promotional catalogue identities in source scope.</x:v>
      </x:c>
      <x:c r="K364" t="str">
        <x:v>zh-CN-b0139dcd5a32</x:v>
      </x:c>
      <x:c r="L364" t="str">
        <x:v>reference_count</x:v>
      </x:c>
    </x:row>
    <x:row r="365">
      <x:c r="A365" t="str">
        <x:v>REF-ae78259cfc96</x:v>
      </x:c>
      <x:c r="B365" t="str">
        <x:v>2026-09-26-reference-counts</x:v>
      </x:c>
      <x:c r="C365" t="str">
        <x:v>zh-CN</x:v>
      </x:c>
      <x:c r="D365" t="str">
        <x:v>SV-P Promotional cards</x:v>
      </x:c>
      <x:c r="E365" t="str">
        <x:v>Reference count</x:v>
      </x:c>
      <x:c r="F365" t="n">
        <x:v>434</x:v>
      </x:c>
      <x:c r="G365" t="str">
        <x:v>secondary_checklist</x:v>
      </x:c>
      <x:c r="H365" t="str">
        <x:v>https://bulbapedia.bulbagarden.net/wiki/Template:Simplified_Chinese_Releases</x:v>
      </x:c>
      <x:c r="I365" t="str">
        <x:v>zh-CN; distinct catalogue/checklist identities for this exact row scope</x:v>
      </x:c>
      <x:c r="J365" t="str">
        <x:v>Current SV-P promotional numbering extent; ongoing catalogue, so this is an extent/snapshot rather than a closed-set total.</x:v>
      </x:c>
      <x:c r="K365" t="str">
        <x:v>zh-CN-b14492ebba16</x:v>
      </x:c>
      <x:c r="L365" t="str">
        <x:v>reference_count</x:v>
      </x:c>
    </x:row>
    <x:row r="366">
      <x:c r="A366" t="str">
        <x:v>REF-ac514365ffb2</x:v>
      </x:c>
      <x:c r="B366" t="str">
        <x:v>2026-09-26-reference-counts</x:v>
      </x:c>
      <x:c r="C366" t="str">
        <x:v>zh-CN</x:v>
      </x:c>
      <x:c r="D366" t="str">
        <x:v>Shining Synergy GX Starter Decks</x:v>
      </x:c>
      <x:c r="E366" t="str">
        <x:v>Reference count</x:v>
      </x:c>
      <x:c r="F366" t="n">
        <x:v>357</x:v>
      </x:c>
      <x:c r="G366" t="str">
        <x:v>secondary_checklist</x:v>
      </x:c>
      <x:c r="H366" t="str">
        <x:v>https://bulbapedia.bulbagarden.net/wiki/Template:Simplified_Chinese_Releases</x:v>
      </x:c>
      <x:c r="I366" t="str">
        <x:v>zh-CN; distinct catalogue/checklist identities for this exact row scope</x:v>
      </x:c>
      <x:c r="J366" t="str">
        <x:v>Shining Synergy GX Starter Deck distinct numbered identities, including beyond-denominator entries.</x:v>
      </x:c>
      <x:c r="K366" t="str">
        <x:v>zh-CN-bbdfaf4b06d8</x:v>
      </x:c>
      <x:c r="L366" t="str">
        <x:v>reference_count</x:v>
      </x:c>
    </x:row>
    <x:row r="367">
      <x:c r="A367" t="str">
        <x:v>REF-d6b9e6b348fc</x:v>
      </x:c>
      <x:c r="B367" t="str">
        <x:v>2026-09-26-reference-counts</x:v>
      </x:c>
      <x:c r="C367" t="str">
        <x:v>zh-CN</x:v>
      </x:c>
      <x:c r="D367" t="str">
        <x:v>Start Deck 100</x:v>
      </x:c>
      <x:c r="E367" t="str">
        <x:v>Reference count</x:v>
      </x:c>
      <x:c r="F367" t="n">
        <x:v>433</x:v>
      </x:c>
      <x:c r="G367" t="str">
        <x:v>secondary_checklist</x:v>
      </x:c>
      <x:c r="H367" t="str">
        <x:v>https://bulbapedia.bulbagarden.net/wiki/Template:Simplified_Chinese_Releases ; https://www.pokemon.cn/tcg/</x:v>
      </x:c>
      <x:c r="I367" t="str">
        <x:v>zh-CN; distinct catalogue/checklist identities for this exact row scope</x:v>
      </x:c>
      <x:c r="J367" t="str">
        <x:v>Start Deck 100 Simplified Chinese catalogue identities; distinct checklist pool, not the 60-card physical deck quantity.</x:v>
      </x:c>
      <x:c r="K367" t="str">
        <x:v>zh-CN-f17188026f82</x:v>
      </x:c>
      <x:c r="L367" t="str">
        <x:v>reference_count</x:v>
      </x:c>
    </x:row>
    <x:row r="368">
      <x:c r="A368" t="str">
        <x:v>REF-eb77b8e44037</x:v>
      </x:c>
      <x:c r="B368" t="str">
        <x:v>2026-09-26-reference-counts</x:v>
      </x:c>
      <x:c r="C368" t="str">
        <x:v>zh-CN</x:v>
      </x:c>
      <x:c r="D368" t="str">
        <x:v>Storming Emergence GX Starter Decks</x:v>
      </x:c>
      <x:c r="E368" t="str">
        <x:v>Reference count</x:v>
      </x:c>
      <x:c r="F368" t="n">
        <x:v>336</x:v>
      </x:c>
      <x:c r="G368" t="str">
        <x:v>secondary_checklist</x:v>
      </x:c>
      <x:c r="H368" t="str">
        <x:v>https://bulbapedia.bulbagarden.net/wiki/Template:Simplified_Chinese_Releases ; https://www.pokemon.cn/tcg/</x:v>
      </x:c>
      <x:c r="I368" t="str">
        <x:v>zh-CN; distinct catalogue/checklist identities for this exact row scope</x:v>
      </x:c>
      <x:c r="J368" t="str">
        <x:v>Storming Emergence GX Starter Deck distinct numbered catalogue identities.</x:v>
      </x:c>
      <x:c r="K368" t="str">
        <x:v>zh-CN-0fba1dd957df</x:v>
      </x:c>
      <x:c r="L368" t="str">
        <x:v>reference_count</x:v>
      </x:c>
    </x:row>
    <x:row r="369">
      <x:c r="A369" t="str">
        <x:v>REF-754dfac657c3</x:v>
      </x:c>
      <x:c r="B369" t="str">
        <x:v>2026-09-26-reference-counts</x:v>
      </x:c>
      <x:c r="C369" t="str">
        <x:v>zh-TW</x:v>
      </x:c>
      <x:c r="D369" t="str">
        <x:v>Base Set</x:v>
      </x:c>
      <x:c r="E369" t="str">
        <x:v>Reference count</x:v>
      </x:c>
      <x:c r="F369" t="n">
        <x:v>102</x:v>
      </x:c>
      <x:c r="G369" t="str">
        <x:v>regional_set_checklist</x:v>
      </x:c>
      <x:c r="H369" t="str">
        <x:v>https://asia.pokemon-card.com/tw/card-search/ ; https://bulbapedia.bulbagarden.net/wiki/Pok%C3%A9mon_in_Taiwan</x:v>
      </x:c>
      <x:c r="I369" t="str">
        <x:v>zh-TW; distinct catalogue/checklist identities for this exact row scope</x:v>
      </x:c>
      <x:c r="J369" t="str">
        <x:v>Historical Traditional Chinese Base Set catalogue identities.</x:v>
      </x:c>
      <x:c r="K369" t="str">
        <x:v>zh-TW-de875ceeabe3</x:v>
      </x:c>
      <x:c r="L369" t="str">
        <x:v>reference_count</x:v>
      </x:c>
    </x:row>
    <x:row r="370">
      <x:c r="A370" t="str">
        <x:v>REF-1e11f8185f3a</x:v>
      </x:c>
      <x:c r="B370" t="str">
        <x:v>2026-09-26-reference-counts</x:v>
      </x:c>
      <x:c r="C370" t="str">
        <x:v>zh-TW</x:v>
      </x:c>
      <x:c r="D370" t="str">
        <x:v>Pikachu World Collection — Traditional Chinese card</x:v>
      </x:c>
      <x:c r="E370" t="str">
        <x:v>Reference count</x:v>
      </x:c>
      <x:c r="F370" t="n">
        <x:v>1</x:v>
      </x:c>
      <x:c r="G370" t="str">
        <x:v>product_numbered_checklist</x:v>
      </x:c>
      <x:c r="H370" t="str">
        <x:v>https://asia.pokemon-card.com/tw/card-search/ ; https://bulbapedia.bulbagarden.net/wiki/Pok%C3%A9mon_in_Taiwan</x:v>
      </x:c>
      <x:c r="I370" t="str">
        <x:v>zh-TW; distinct catalogue/checklist identities for this exact row scope</x:v>
      </x:c>
      <x:c r="J370" t="str">
        <x:v>Single Traditional Chinese Pikachu World Collection card identity in this row scope.</x:v>
      </x:c>
      <x:c r="K370" t="str">
        <x:v>zh-TW-e8c0625ae4df</x:v>
      </x:c>
      <x:c r="L370" t="str">
        <x:v>reference_count</x:v>
      </x:c>
    </x:row>
    <x:row r="371">
      <x:c r="A371" t="str">
        <x:v>REF-44a9982df951</x:v>
      </x:c>
      <x:c r="B371" t="str">
        <x:v>2026-09-26-reference-counts</x:v>
      </x:c>
      <x:c r="C371" t="str">
        <x:v>zh-TW</x:v>
      </x:c>
      <x:c r="D371" t="str">
        <x:v>EX Legend Maker</x:v>
      </x:c>
      <x:c r="E371" t="str">
        <x:v>Reference count</x:v>
      </x:c>
      <x:c r="F371" t="n">
        <x:v>93</x:v>
      </x:c>
      <x:c r="G371" t="str">
        <x:v>regional_set_checklist</x:v>
      </x:c>
      <x:c r="H371" t="str">
        <x:v>https://asia.pokemon-card.com/tw/card-search/ ; https://bulbapedia.bulbagarden.net/wiki/Pok%C3%A9mon_in_Taiwan</x:v>
      </x:c>
      <x:c r="I371" t="str">
        <x:v>zh-TW; distinct catalogue/checklist identities for this exact row scope</x:v>
      </x:c>
      <x:c r="J371" t="str">
        <x:v>Traditional Chinese EX Legend Maker set identities, including the documented secret card.</x:v>
      </x:c>
      <x:c r="K371" t="str">
        <x:v>zh-TW-174859e51cd4</x:v>
      </x:c>
      <x:c r="L371" t="str">
        <x:v>reference_count</x:v>
      </x:c>
    </x:row>
    <x:row r="372">
      <x:c r="A372" t="str">
        <x:v>REF-d8f39cf3eae5</x:v>
      </x:c>
      <x:c r="B372" t="str">
        <x:v>2026-09-26-reference-counts</x:v>
      </x:c>
      <x:c r="C372" t="str">
        <x:v>zh-TW</x:v>
      </x:c>
      <x:c r="D372" t="str">
        <x:v>EX Trainer Kit 2</x:v>
      </x:c>
      <x:c r="E372" t="str">
        <x:v>Reference count</x:v>
      </x:c>
      <x:c r="F372" t="n">
        <x:v>24</x:v>
      </x:c>
      <x:c r="G372" t="str">
        <x:v>product_numbered_checklist</x:v>
      </x:c>
      <x:c r="H372" t="str">
        <x:v>https://asia.pokemon-card.com/tw/card-search/ ; https://bulbapedia.bulbagarden.net/wiki/Pok%C3%A9mon_in_Taiwan</x:v>
      </x:c>
      <x:c r="I372" t="str">
        <x:v>zh-TW; distinct catalogue/checklist identities for this exact row scope</x:v>
      </x:c>
      <x:c r="J372" t="str">
        <x:v>Two 12-card Trainer Kit 2 numbered half-deck checklists; not physical repeated cards.</x:v>
      </x:c>
      <x:c r="K372" t="str">
        <x:v>zh-TW-1d61985413dc</x:v>
      </x:c>
      <x:c r="L372" t="str">
        <x:v>reference_count</x:v>
      </x:c>
    </x:row>
    <x:row r="373">
      <x:c r="A373" t="str">
        <x:v>REF-bbfe5103760d</x:v>
      </x:c>
      <x:c r="B373" t="str">
        <x:v>2026-09-26-reference-counts</x:v>
      </x:c>
      <x:c r="C373" t="str">
        <x:v>zh-TW</x:v>
      </x:c>
      <x:c r="D373" t="str">
        <x:v>All Stars GX Starter Deck</x:v>
      </x:c>
      <x:c r="E373" t="str">
        <x:v>Reference count</x:v>
      </x:c>
      <x:c r="F373" t="n">
        <x:v>157</x:v>
      </x:c>
      <x:c r="G373" t="str">
        <x:v>product_numbered_checklist</x:v>
      </x:c>
      <x:c r="H373" t="str">
        <x:v>https://asia.pokemon-card.com/tw/card-search/ ; https://bulbapedia.bulbagarden.net/wiki/Pok%C3%A9mon_in_Taiwan</x:v>
      </x:c>
      <x:c r="I373" t="str">
        <x:v>zh-TW; distinct catalogue/checklist identities for this exact row scope</x:v>
      </x:c>
      <x:c r="J373" t="str">
        <x:v>All Stars GX Starter Deck product-specific distinct catalogue pool; not the physical 60-card deck size.</x:v>
      </x:c>
      <x:c r="K373" t="str">
        <x:v>zh-TW-bbd57f4d265f</x:v>
      </x:c>
      <x:c r="L373" t="str">
        <x:v>reference_count</x:v>
      </x:c>
    </x:row>
    <x:row r="374">
      <x:c r="A374" t="str">
        <x:v>REF-83dc4204de3f</x:v>
      </x:c>
      <x:c r="B374" t="str">
        <x:v>2026-09-26-reference-counts</x:v>
      </x:c>
      <x:c r="C374" t="str">
        <x:v>zh-TW</x:v>
      </x:c>
      <x:c r="D374" t="str">
        <x:v>Dreams Come True Collection: Set A</x:v>
      </x:c>
      <x:c r="E374" t="str">
        <x:v>Reference count</x:v>
      </x:c>
      <x:c r="F374" t="n">
        <x:v>226</x:v>
      </x:c>
      <x:c r="G374" t="str">
        <x:v>regional_set_checklist</x:v>
      </x:c>
      <x:c r="H374" t="str">
        <x:v>https://asia.pokemon-card.com/tw/card-search/ ; https://bulbapedia.bulbagarden.net/wiki/Pok%C3%A9mon_in_Taiwan</x:v>
      </x:c>
      <x:c r="I374" t="str">
        <x:v>zh-TW; distinct catalogue/checklist identities for this exact row scope</x:v>
      </x:c>
      <x:c r="J374" t="str">
        <x:v>Dreams Come True Collection Set A distinct numbered identities; regional catch-up checklist.</x:v>
      </x:c>
      <x:c r="K374" t="str">
        <x:v>zh-TW-72025093612f</x:v>
      </x:c>
      <x:c r="L374" t="str">
        <x:v>reference_count</x:v>
      </x:c>
    </x:row>
    <x:row r="375">
      <x:c r="A375" t="str">
        <x:v>REF-8449d77332dd</x:v>
      </x:c>
      <x:c r="B375" t="str">
        <x:v>2026-09-26-reference-counts</x:v>
      </x:c>
      <x:c r="C375" t="str">
        <x:v>zh-TW</x:v>
      </x:c>
      <x:c r="D375" t="str">
        <x:v>Dreams Come True Collection: Set B</x:v>
      </x:c>
      <x:c r="E375" t="str">
        <x:v>Reference count</x:v>
      </x:c>
      <x:c r="F375" t="n">
        <x:v>225</x:v>
      </x:c>
      <x:c r="G375" t="str">
        <x:v>regional_set_checklist</x:v>
      </x:c>
      <x:c r="H375" t="str">
        <x:v>https://asia.pokemon-card.com/tw/card-search/ ; https://bulbapedia.bulbagarden.net/wiki/Pok%C3%A9mon_in_Taiwan</x:v>
      </x:c>
      <x:c r="I375" t="str">
        <x:v>zh-TW; distinct catalogue/checklist identities for this exact row scope</x:v>
      </x:c>
      <x:c r="J375" t="str">
        <x:v>Dreams Come True Collection Set B distinct numbered identities; regional catch-up checklist.</x:v>
      </x:c>
      <x:c r="K375" t="str">
        <x:v>zh-TW-b2b8b4361d91</x:v>
      </x:c>
      <x:c r="L375" t="str">
        <x:v>reference_count</x:v>
      </x:c>
    </x:row>
    <x:row r="376">
      <x:c r="A376" t="str">
        <x:v>REF-23be3c8b9a9a</x:v>
      </x:c>
      <x:c r="B376" t="str">
        <x:v>2026-09-26-reference-counts</x:v>
      </x:c>
      <x:c r="C376" t="str">
        <x:v>zh-TW</x:v>
      </x:c>
      <x:c r="D376" t="str">
        <x:v>Dreams Come True GX Starter Deck</x:v>
      </x:c>
      <x:c r="E376" t="str">
        <x:v>Reference count</x:v>
      </x:c>
      <x:c r="F376" t="n">
        <x:v>176</x:v>
      </x:c>
      <x:c r="G376" t="str">
        <x:v>product_numbered_checklist</x:v>
      </x:c>
      <x:c r="H376" t="str">
        <x:v>https://asia.pokemon-card.com/tw/card-search/ ; https://bulbapedia.bulbagarden.net/wiki/Pok%C3%A9mon_in_Taiwan</x:v>
      </x:c>
      <x:c r="I376" t="str">
        <x:v>zh-TW; distinct catalogue/checklist identities for this exact row scope</x:v>
      </x:c>
      <x:c r="J376" t="str">
        <x:v>Dreams Come True GX Starter Deck product-specific catalogue pool; not physical deck quantity.</x:v>
      </x:c>
      <x:c r="K376" t="str">
        <x:v>zh-TW-6f7e74c62ae7</x:v>
      </x:c>
      <x:c r="L376" t="str">
        <x:v>reference_count</x:v>
      </x:c>
    </x:row>
    <x:row r="377">
      <x:c r="A377" t="str">
        <x:v>REF-f16c89e931a8</x:v>
      </x:c>
      <x:c r="B377" t="str">
        <x:v>2026-09-26-reference-counts</x:v>
      </x:c>
      <x:c r="C377" t="str">
        <x:v>zh-TW</x:v>
      </x:c>
      <x:c r="D377" t="str">
        <x:v>Double Burst GX Starter Deck</x:v>
      </x:c>
      <x:c r="E377" t="str">
        <x:v>Reference count</x:v>
      </x:c>
      <x:c r="F377" t="n">
        <x:v>169</x:v>
      </x:c>
      <x:c r="G377" t="str">
        <x:v>product_numbered_checklist</x:v>
      </x:c>
      <x:c r="H377" t="str">
        <x:v>https://asia.pokemon-card.com/tw/card-search/ ; https://bulbapedia.bulbagarden.net/wiki/Pok%C3%A9mon_in_Taiwan</x:v>
      </x:c>
      <x:c r="I377" t="str">
        <x:v>zh-TW; distinct catalogue/checklist identities for this exact row scope</x:v>
      </x:c>
      <x:c r="J377" t="str">
        <x:v>Double Burst GX Starter Deck product-specific catalogue pool; not physical deck quantity.</x:v>
      </x:c>
      <x:c r="K377" t="str">
        <x:v>zh-TW-fa701929df73</x:v>
      </x:c>
      <x:c r="L377" t="str">
        <x:v>reference_count</x:v>
      </x:c>
    </x:row>
    <x:row r="378">
      <x:c r="A378" t="str">
        <x:v>REF-1ad49ae88545</x:v>
      </x:c>
      <x:c r="B378" t="str">
        <x:v>2026-09-26-reference-counts</x:v>
      </x:c>
      <x:c r="C378" t="str">
        <x:v>zh-TW</x:v>
      </x:c>
      <x:c r="D378" t="str">
        <x:v>Double Burst: Set A</x:v>
      </x:c>
      <x:c r="E378" t="str">
        <x:v>Reference count</x:v>
      </x:c>
      <x:c r="F378" t="n">
        <x:v>230</x:v>
      </x:c>
      <x:c r="G378" t="str">
        <x:v>regional_set_checklist</x:v>
      </x:c>
      <x:c r="H378" t="str">
        <x:v>https://asia.pokemon-card.com/tw/card-search/ ; https://bulbapedia.bulbagarden.net/wiki/Pok%C3%A9mon_in_Taiwan</x:v>
      </x:c>
      <x:c r="I378" t="str">
        <x:v>zh-TW; distinct catalogue/checklist identities for this exact row scope</x:v>
      </x:c>
      <x:c r="J378" t="str">
        <x:v>Double Burst Set A distinct numbered identities.</x:v>
      </x:c>
      <x:c r="K378" t="str">
        <x:v>zh-TW-697dc026abac</x:v>
      </x:c>
      <x:c r="L378" t="str">
        <x:v>reference_count</x:v>
      </x:c>
    </x:row>
    <x:row r="379">
      <x:c r="A379" t="str">
        <x:v>REF-7f95e8631443</x:v>
      </x:c>
      <x:c r="B379" t="str">
        <x:v>2026-09-26-reference-counts</x:v>
      </x:c>
      <x:c r="C379" t="str">
        <x:v>zh-TW</x:v>
      </x:c>
      <x:c r="D379" t="str">
        <x:v>Double Burst: Set B</x:v>
      </x:c>
      <x:c r="E379" t="str">
        <x:v>Reference count</x:v>
      </x:c>
      <x:c r="F379" t="n">
        <x:v>230</x:v>
      </x:c>
      <x:c r="G379" t="str">
        <x:v>regional_set_checklist</x:v>
      </x:c>
      <x:c r="H379" t="str">
        <x:v>https://asia.pokemon-card.com/tw/card-search/ ; https://bulbapedia.bulbagarden.net/wiki/Pok%C3%A9mon_in_Taiwan</x:v>
      </x:c>
      <x:c r="I379" t="str">
        <x:v>zh-TW; distinct catalogue/checklist identities for this exact row scope</x:v>
      </x:c>
      <x:c r="J379" t="str">
        <x:v>Double Burst Set B distinct numbered identities.</x:v>
      </x:c>
      <x:c r="K379" t="str">
        <x:v>zh-TW-a1c2fff1a1ef</x:v>
      </x:c>
      <x:c r="L379" t="str">
        <x:v>reference_count</x:v>
      </x:c>
    </x:row>
    <x:row r="380">
      <x:c r="A380" t="str">
        <x:v>REF-13dea8a69411</x:v>
      </x:c>
      <x:c r="B380" t="str">
        <x:v>2026-09-26-reference-counts</x:v>
      </x:c>
      <x:c r="C380" t="str">
        <x:v>zh-TW</x:v>
      </x:c>
      <x:c r="D380" t="str">
        <x:v>Legendary Clash GX Starter Deck</x:v>
      </x:c>
      <x:c r="E380" t="str">
        <x:v>Reference count</x:v>
      </x:c>
      <x:c r="F380" t="n">
        <x:v>168</x:v>
      </x:c>
      <x:c r="G380" t="str">
        <x:v>product_numbered_checklist</x:v>
      </x:c>
      <x:c r="H380" t="str">
        <x:v>https://asia.pokemon-card.com/tw/card-search/ ; https://bulbapedia.bulbagarden.net/wiki/Pok%C3%A9mon_in_Taiwan</x:v>
      </x:c>
      <x:c r="I380" t="str">
        <x:v>zh-TW; distinct catalogue/checklist identities for this exact row scope</x:v>
      </x:c>
      <x:c r="J380" t="str">
        <x:v>Legendary Clash GX Starter Deck product-specific catalogue pool.</x:v>
      </x:c>
      <x:c r="K380" t="str">
        <x:v>zh-TW-ffbc69fcb8f3</x:v>
      </x:c>
      <x:c r="L380" t="str">
        <x:v>reference_count</x:v>
      </x:c>
    </x:row>
    <x:row r="381">
      <x:c r="A381" t="str">
        <x:v>REF-333b74a5c795</x:v>
      </x:c>
      <x:c r="B381" t="str">
        <x:v>2026-09-26-reference-counts</x:v>
      </x:c>
      <x:c r="C381" t="str">
        <x:v>zh-TW</x:v>
      </x:c>
      <x:c r="D381" t="str">
        <x:v>Legendary Clash: Set A</x:v>
      </x:c>
      <x:c r="E381" t="str">
        <x:v>Reference count</x:v>
      </x:c>
      <x:c r="F381" t="n">
        <x:v>252</x:v>
      </x:c>
      <x:c r="G381" t="str">
        <x:v>regional_set_checklist</x:v>
      </x:c>
      <x:c r="H381" t="str">
        <x:v>https://asia.pokemon-card.com/tw/card-search/ ; https://bulbapedia.bulbagarden.net/wiki/Pok%C3%A9mon_in_Taiwan</x:v>
      </x:c>
      <x:c r="I381" t="str">
        <x:v>zh-TW; distinct catalogue/checklist identities for this exact row scope</x:v>
      </x:c>
      <x:c r="J381" t="str">
        <x:v>Legendary Clash Set A distinct numbered identities.</x:v>
      </x:c>
      <x:c r="K381" t="str">
        <x:v>zh-TW-a3f1035342ed</x:v>
      </x:c>
      <x:c r="L381" t="str">
        <x:v>reference_count</x:v>
      </x:c>
    </x:row>
    <x:row r="382">
      <x:c r="A382" t="str">
        <x:v>REF-e6206bcb7ae3</x:v>
      </x:c>
      <x:c r="B382" t="str">
        <x:v>2026-09-26-reference-counts</x:v>
      </x:c>
      <x:c r="C382" t="str">
        <x:v>zh-TW</x:v>
      </x:c>
      <x:c r="D382" t="str">
        <x:v>Legendary Clash: Set B</x:v>
      </x:c>
      <x:c r="E382" t="str">
        <x:v>Reference count</x:v>
      </x:c>
      <x:c r="F382" t="n">
        <x:v>252</x:v>
      </x:c>
      <x:c r="G382" t="str">
        <x:v>regional_set_checklist</x:v>
      </x:c>
      <x:c r="H382" t="str">
        <x:v>https://asia.pokemon-card.com/tw/card-search/ ; https://bulbapedia.bulbagarden.net/wiki/Pok%C3%A9mon_in_Taiwan</x:v>
      </x:c>
      <x:c r="I382" t="str">
        <x:v>zh-TW; distinct catalogue/checklist identities for this exact row scope</x:v>
      </x:c>
      <x:c r="J382" t="str">
        <x:v>Legendary Clash Set B distinct numbered identities.</x:v>
      </x:c>
      <x:c r="K382" t="str">
        <x:v>zh-TW-d8a28fa21e5b</x:v>
      </x:c>
      <x:c r="L382" t="str">
        <x:v>reference_count</x:v>
      </x:c>
    </x:row>
    <x:row r="383">
      <x:c r="A383" t="str">
        <x:v>REF-afb627adc6e5</x:v>
      </x:c>
      <x:c r="B383" t="str">
        <x:v>2026-09-26-reference-counts</x:v>
      </x:c>
      <x:c r="C383" t="str">
        <x:v>zh-TW</x:v>
      </x:c>
      <x:c r="D383" t="str">
        <x:v>Sword &amp; Shield V Starter Deck</x:v>
      </x:c>
      <x:c r="E383" t="str">
        <x:v>Reference count</x:v>
      </x:c>
      <x:c r="F383" t="n">
        <x:v>164</x:v>
      </x:c>
      <x:c r="G383" t="str">
        <x:v>product_numbered_checklist</x:v>
      </x:c>
      <x:c r="H383" t="str">
        <x:v>https://asia.pokemon-card.com/tw/card-search/ ; https://bulbapedia.bulbagarden.net/wiki/Pok%C3%A9mon_in_Taiwan</x:v>
      </x:c>
      <x:c r="I383" t="str">
        <x:v>zh-TW; distinct catalogue/checklist identities for this exact row scope</x:v>
      </x:c>
      <x:c r="J383" t="str">
        <x:v>Sword &amp; Shield V Starter Deck product-specific catalogue pool.</x:v>
      </x:c>
      <x:c r="K383" t="str">
        <x:v>zh-TW-7a214d78ab26</x:v>
      </x:c>
      <x:c r="L383" t="str">
        <x:v>reference_count</x:v>
      </x:c>
    </x:row>
    <x:row r="384">
      <x:c r="A384" t="str">
        <x:v>REF-2712c23794e0</x:v>
      </x:c>
      <x:c r="B384" t="str">
        <x:v>2026-09-26-reference-counts</x:v>
      </x:c>
      <x:c r="C384" t="str">
        <x:v>zh-TW</x:v>
      </x:c>
      <x:c r="D384" t="str">
        <x:v>Sword &amp; Shield: Set A</x:v>
      </x:c>
      <x:c r="E384" t="str">
        <x:v>Reference count</x:v>
      </x:c>
      <x:c r="F384" t="n">
        <x:v>187</x:v>
      </x:c>
      <x:c r="G384" t="str">
        <x:v>regional_set_checklist</x:v>
      </x:c>
      <x:c r="H384" t="str">
        <x:v>https://asia.pokemon-card.com/tw/card-search/ ; https://bulbapedia.bulbagarden.net/wiki/Pok%C3%A9mon_in_Taiwan</x:v>
      </x:c>
      <x:c r="I384" t="str">
        <x:v>zh-TW; distinct catalogue/checklist identities for this exact row scope</x:v>
      </x:c>
      <x:c r="J384" t="str">
        <x:v>Sword &amp; Shield Set A distinct numbered identities.</x:v>
      </x:c>
      <x:c r="K384" t="str">
        <x:v>zh-TW-08c3dcbf7c89</x:v>
      </x:c>
      <x:c r="L384" t="str">
        <x:v>reference_count</x:v>
      </x:c>
    </x:row>
    <x:row r="385">
      <x:c r="A385" t="str">
        <x:v>REF-1e204bd4ab83</x:v>
      </x:c>
      <x:c r="B385" t="str">
        <x:v>2026-09-26-reference-counts</x:v>
      </x:c>
      <x:c r="C385" t="str">
        <x:v>zh-TW</x:v>
      </x:c>
      <x:c r="D385" t="str">
        <x:v>Sword &amp; Shield: Set B</x:v>
      </x:c>
      <x:c r="E385" t="str">
        <x:v>Reference count</x:v>
      </x:c>
      <x:c r="F385" t="n">
        <x:v>187</x:v>
      </x:c>
      <x:c r="G385" t="str">
        <x:v>regional_set_checklist</x:v>
      </x:c>
      <x:c r="H385" t="str">
        <x:v>https://asia.pokemon-card.com/tw/card-search/ ; https://bulbapedia.bulbagarden.net/wiki/Pok%C3%A9mon_in_Taiwan</x:v>
      </x:c>
      <x:c r="I385" t="str">
        <x:v>zh-TW; distinct catalogue/checklist identities for this exact row scope</x:v>
      </x:c>
      <x:c r="J385" t="str">
        <x:v>Sword &amp; Shield Set B distinct numbered identities.</x:v>
      </x:c>
      <x:c r="K385" t="str">
        <x:v>zh-TW-1d3647011297</x:v>
      </x:c>
      <x:c r="L385" t="str">
        <x:v>reference_count</x:v>
      </x:c>
    </x:row>
    <x:row r="386">
      <x:c r="A386" t="str">
        <x:v>REF-65fa97ef1497</x:v>
      </x:c>
      <x:c r="B386" t="str">
        <x:v>2026-09-26-reference-counts</x:v>
      </x:c>
      <x:c r="C386" t="str">
        <x:v>zh-TW</x:v>
      </x:c>
      <x:c r="D386" t="str">
        <x:v>Infinite Power V Starter Deck</x:v>
      </x:c>
      <x:c r="E386" t="str">
        <x:v>Reference count</x:v>
      </x:c>
      <x:c r="F386" t="n">
        <x:v>157</x:v>
      </x:c>
      <x:c r="G386" t="str">
        <x:v>product_numbered_checklist</x:v>
      </x:c>
      <x:c r="H386" t="str">
        <x:v>https://asia.pokemon-card.com/tw/card-search/ ; https://bulbapedia.bulbagarden.net/wiki/Pok%C3%A9mon_in_Taiwan</x:v>
      </x:c>
      <x:c r="I386" t="str">
        <x:v>zh-TW; distinct catalogue/checklist identities for this exact row scope</x:v>
      </x:c>
      <x:c r="J386" t="str">
        <x:v>Infinite Power V Starter Deck product-specific catalogue pool.</x:v>
      </x:c>
      <x:c r="K386" t="str">
        <x:v>zh-TW-881ba9c7b206</x:v>
      </x:c>
      <x:c r="L386" t="str">
        <x:v>reference_count</x:v>
      </x:c>
    </x:row>
    <x:row r="387">
      <x:c r="A387" t="str">
        <x:v>REF-9aa94d1b6960</x:v>
      </x:c>
      <x:c r="B387" t="str">
        <x:v>2026-09-26-reference-counts</x:v>
      </x:c>
      <x:c r="C387" t="str">
        <x:v>zh-TW</x:v>
      </x:c>
      <x:c r="D387" t="str">
        <x:v>Infinite Power: Set A</x:v>
      </x:c>
      <x:c r="E387" t="str">
        <x:v>Reference count</x:v>
      </x:c>
      <x:c r="F387" t="n">
        <x:v>170</x:v>
      </x:c>
      <x:c r="G387" t="str">
        <x:v>regional_set_checklist</x:v>
      </x:c>
      <x:c r="H387" t="str">
        <x:v>https://asia.pokemon-card.com/tw/card-search/ ; https://bulbapedia.bulbagarden.net/wiki/Pok%C3%A9mon_in_Taiwan</x:v>
      </x:c>
      <x:c r="I387" t="str">
        <x:v>zh-TW; distinct catalogue/checklist identities for this exact row scope</x:v>
      </x:c>
      <x:c r="J387" t="str">
        <x:v>Infinite Power Set A distinct numbered identities.</x:v>
      </x:c>
      <x:c r="K387" t="str">
        <x:v>zh-TW-b9871021b603</x:v>
      </x:c>
      <x:c r="L387" t="str">
        <x:v>reference_count</x:v>
      </x:c>
    </x:row>
    <x:row r="388">
      <x:c r="A388" t="str">
        <x:v>REF-c4d5ae48ac05</x:v>
      </x:c>
      <x:c r="B388" t="str">
        <x:v>2026-09-26-reference-counts</x:v>
      </x:c>
      <x:c r="C388" t="str">
        <x:v>zh-TW</x:v>
      </x:c>
      <x:c r="D388" t="str">
        <x:v>Infinite Power: Set B</x:v>
      </x:c>
      <x:c r="E388" t="str">
        <x:v>Reference count</x:v>
      </x:c>
      <x:c r="F388" t="n">
        <x:v>172</x:v>
      </x:c>
      <x:c r="G388" t="str">
        <x:v>regional_set_checklist</x:v>
      </x:c>
      <x:c r="H388" t="str">
        <x:v>https://asia.pokemon-card.com/tw/card-search/ ; https://bulbapedia.bulbagarden.net/wiki/Pok%C3%A9mon_in_Taiwan</x:v>
      </x:c>
      <x:c r="I388" t="str">
        <x:v>zh-TW; distinct catalogue/checklist identities for this exact row scope</x:v>
      </x:c>
      <x:c r="J388" t="str">
        <x:v>Infinite Power Set B distinct numbered identities.</x:v>
      </x:c>
      <x:c r="K388" t="str">
        <x:v>zh-TW-b29b74d4c92f</x:v>
      </x:c>
      <x:c r="L388" t="str">
        <x:v>reference_count</x:v>
      </x:c>
    </x:row>
    <x:row r="389">
      <x:c r="A389" t="str">
        <x:v>REF-da1bf000e28d</x:v>
      </x:c>
      <x:c r="B389" t="str">
        <x:v>2026-09-26-reference-counts</x:v>
      </x:c>
      <x:c r="C389" t="str">
        <x:v>zh-TW</x:v>
      </x:c>
      <x:c r="D389" t="str">
        <x:v>Amazing Volt Tackle</x:v>
      </x:c>
      <x:c r="E389" t="str">
        <x:v>Reference count</x:v>
      </x:c>
      <x:c r="F389" t="n">
        <x:v>121</x:v>
      </x:c>
      <x:c r="G389" t="str">
        <x:v>synchronized_same_numbering</x:v>
      </x:c>
      <x:c r="H389" t="str">
        <x:v>https://bulbapedia.bulbagarden.net/wiki/Pok%C3%A9mon_in_Taiwan ; https://asia.pokemon-card.com/tw/card-search/</x:v>
      </x:c>
      <x:c r="I389" t="str">
        <x:v>zh-TW; distinct catalogue/checklist identities for this exact row scope</x:v>
      </x:c>
      <x:c r="J389" t="str">
        <x:v>Traditional Chinese release uses the synchronized Japanese card identities and numbering for this set; reference count inherited from the matching Japanese checklist.</x:v>
      </x:c>
      <x:c r="K389" t="str">
        <x:v>zh-TW-4fe71a34ad45</x:v>
      </x:c>
      <x:c r="L389" t="str">
        <x:v>reference_count</x:v>
      </x:c>
    </x:row>
    <x:row r="390">
      <x:c r="A390" t="str">
        <x:v>REF-297f8c1eb114</x:v>
      </x:c>
      <x:c r="B390" t="str">
        <x:v>2026-09-26-reference-counts</x:v>
      </x:c>
      <x:c r="C390" t="str">
        <x:v>zh-TW</x:v>
      </x:c>
      <x:c r="D390" t="str">
        <x:v>Shiny Star V</x:v>
      </x:c>
      <x:c r="E390" t="str">
        <x:v>Reference count</x:v>
      </x:c>
      <x:c r="F390" t="n">
        <x:v>330</x:v>
      </x:c>
      <x:c r="G390" t="str">
        <x:v>synchronized_same_numbering</x:v>
      </x:c>
      <x:c r="H390" t="str">
        <x:v>https://bulbapedia.bulbagarden.net/wiki/Pok%C3%A9mon_in_Taiwan ; https://asia.pokemon-card.com/tw/card-search/</x:v>
      </x:c>
      <x:c r="I390" t="str">
        <x:v>zh-TW; distinct catalogue/checklist identities for this exact row scope</x:v>
      </x:c>
      <x:c r="J390" t="str">
        <x:v>Traditional Chinese release uses the synchronized Japanese card identities and numbering for this set; reference count inherited from the matching Japanese checklist.</x:v>
      </x:c>
      <x:c r="K390" t="str">
        <x:v>zh-TW-7c2698d8198c</x:v>
      </x:c>
      <x:c r="L390" t="str">
        <x:v>reference_count</x:v>
      </x:c>
    </x:row>
    <x:row r="391">
      <x:c r="A391" t="str">
        <x:v>REF-b57f6d5dddde</x:v>
      </x:c>
      <x:c r="B391" t="str">
        <x:v>2026-09-26-reference-counts</x:v>
      </x:c>
      <x:c r="C391" t="str">
        <x:v>zh-TW</x:v>
      </x:c>
      <x:c r="D391" t="str">
        <x:v>V Starter Deck: Partner</x:v>
      </x:c>
      <x:c r="E391" t="str">
        <x:v>Reference count</x:v>
      </x:c>
      <x:c r="F391" t="n">
        <x:v>135</x:v>
      </x:c>
      <x:c r="G391" t="str">
        <x:v>product_numbered_checklist</x:v>
      </x:c>
      <x:c r="H391" t="str">
        <x:v>https://asia.pokemon-card.com/tw/card-search/ ; https://bulbapedia.bulbagarden.net/wiki/Pok%C3%A9mon_in_Taiwan</x:v>
      </x:c>
      <x:c r="I391" t="str">
        <x:v>zh-TW; distinct catalogue/checklist identities for this exact row scope</x:v>
      </x:c>
      <x:c r="J391" t="str">
        <x:v>V Starter Deck: Partner product-specific catalogue pool.</x:v>
      </x:c>
      <x:c r="K391" t="str">
        <x:v>zh-TW-34fe73a731d5</x:v>
      </x:c>
      <x:c r="L391" t="str">
        <x:v>reference_count</x:v>
      </x:c>
    </x:row>
    <x:row r="392">
      <x:c r="A392" t="str">
        <x:v>REF-b9c64ae9ef4d</x:v>
      </x:c>
      <x:c r="B392" t="str">
        <x:v>2026-09-26-reference-counts</x:v>
      </x:c>
      <x:c r="C392" t="str">
        <x:v>zh-TW</x:v>
      </x:c>
      <x:c r="D392" t="str">
        <x:v>Rapid Strike Master</x:v>
      </x:c>
      <x:c r="E392" t="str">
        <x:v>Reference count</x:v>
      </x:c>
      <x:c r="F392" t="n">
        <x:v>91</x:v>
      </x:c>
      <x:c r="G392" t="str">
        <x:v>synchronized_same_numbering</x:v>
      </x:c>
      <x:c r="H392" t="str">
        <x:v>https://bulbapedia.bulbagarden.net/wiki/Pok%C3%A9mon_in_Taiwan ; https://asia.pokemon-card.com/tw/card-search/</x:v>
      </x:c>
      <x:c r="I392" t="str">
        <x:v>zh-TW; distinct catalogue/checklist identities for this exact row scope</x:v>
      </x:c>
      <x:c r="J392" t="str">
        <x:v>Traditional Chinese release uses the synchronized Japanese card identities and numbering for this set; reference count inherited from the matching Japanese checklist.</x:v>
      </x:c>
      <x:c r="K392" t="str">
        <x:v>zh-TW-22bafcb43c40</x:v>
      </x:c>
      <x:c r="L392" t="str">
        <x:v>reference_count</x:v>
      </x:c>
    </x:row>
    <x:row r="393">
      <x:c r="A393" t="str">
        <x:v>REF-bdd57f91fecc</x:v>
      </x:c>
      <x:c r="B393" t="str">
        <x:v>2026-09-26-reference-counts</x:v>
      </x:c>
      <x:c r="C393" t="str">
        <x:v>zh-TW</x:v>
      </x:c>
      <x:c r="D393" t="str">
        <x:v>Single Strike Master</x:v>
      </x:c>
      <x:c r="E393" t="str">
        <x:v>Reference count</x:v>
      </x:c>
      <x:c r="F393" t="n">
        <x:v>91</x:v>
      </x:c>
      <x:c r="G393" t="str">
        <x:v>synchronized_same_numbering</x:v>
      </x:c>
      <x:c r="H393" t="str">
        <x:v>https://bulbapedia.bulbagarden.net/wiki/Pok%C3%A9mon_in_Taiwan ; https://asia.pokemon-card.com/tw/card-search/</x:v>
      </x:c>
      <x:c r="I393" t="str">
        <x:v>zh-TW; distinct catalogue/checklist identities for this exact row scope</x:v>
      </x:c>
      <x:c r="J393" t="str">
        <x:v>Traditional Chinese release uses the synchronized Japanese card identities and numbering for this set; reference count inherited from the matching Japanese checklist.</x:v>
      </x:c>
      <x:c r="K393" t="str">
        <x:v>zh-TW-9097625c11de</x:v>
      </x:c>
      <x:c r="L393" t="str">
        <x:v>reference_count</x:v>
      </x:c>
    </x:row>
    <x:row r="394">
      <x:c r="A394" t="str">
        <x:v>REF-d7aed96039ed</x:v>
      </x:c>
      <x:c r="B394" t="str">
        <x:v>2026-09-26-reference-counts</x:v>
      </x:c>
      <x:c r="C394" t="str">
        <x:v>zh-TW</x:v>
      </x:c>
      <x:c r="D394" t="str">
        <x:v>V Starter Deck: Challenge</x:v>
      </x:c>
      <x:c r="E394" t="str">
        <x:v>Reference count</x:v>
      </x:c>
      <x:c r="F394" t="n">
        <x:v>156</x:v>
      </x:c>
      <x:c r="G394" t="str">
        <x:v>product_numbered_checklist</x:v>
      </x:c>
      <x:c r="H394" t="str">
        <x:v>https://asia.pokemon-card.com/tw/card-search/ ; https://bulbapedia.bulbagarden.net/wiki/Pok%C3%A9mon_in_Taiwan</x:v>
      </x:c>
      <x:c r="I394" t="str">
        <x:v>zh-TW; distinct catalogue/checklist identities for this exact row scope</x:v>
      </x:c>
      <x:c r="J394" t="str">
        <x:v>V Starter Deck: Challenge product-specific catalogue pool.</x:v>
      </x:c>
      <x:c r="K394" t="str">
        <x:v>zh-TW-4f37ed1f19a0</x:v>
      </x:c>
      <x:c r="L394" t="str">
        <x:v>reference_count</x:v>
      </x:c>
    </x:row>
    <x:row r="395">
      <x:c r="A395" t="str">
        <x:v>REF-a25e6d21ba16</x:v>
      </x:c>
      <x:c r="B395" t="str">
        <x:v>2026-09-26-reference-counts</x:v>
      </x:c>
      <x:c r="C395" t="str">
        <x:v>zh-TW</x:v>
      </x:c>
      <x:c r="D395" t="str">
        <x:v>Jet-Black Spirit</x:v>
      </x:c>
      <x:c r="E395" t="str">
        <x:v>Reference count</x:v>
      </x:c>
      <x:c r="F395" t="n">
        <x:v>95</x:v>
      </x:c>
      <x:c r="G395" t="str">
        <x:v>synchronized_same_numbering</x:v>
      </x:c>
      <x:c r="H395" t="str">
        <x:v>https://bulbapedia.bulbagarden.net/wiki/Pok%C3%A9mon_in_Taiwan ; https://asia.pokemon-card.com/tw/card-search/</x:v>
      </x:c>
      <x:c r="I395" t="str">
        <x:v>zh-TW; distinct catalogue/checklist identities for this exact row scope</x:v>
      </x:c>
      <x:c r="J395" t="str">
        <x:v>Traditional Chinese release uses the synchronized Japanese card identities and numbering for this set; reference count inherited from the matching Japanese checklist.</x:v>
      </x:c>
      <x:c r="K395" t="str">
        <x:v>zh-TW-948804025988</x:v>
      </x:c>
      <x:c r="L395" t="str">
        <x:v>reference_count</x:v>
      </x:c>
    </x:row>
    <x:row r="396">
      <x:c r="A396" t="str">
        <x:v>REF-557d983eb91e</x:v>
      </x:c>
      <x:c r="B396" t="str">
        <x:v>2026-09-26-reference-counts</x:v>
      </x:c>
      <x:c r="C396" t="str">
        <x:v>zh-TW</x:v>
      </x:c>
      <x:c r="D396" t="str">
        <x:v>Silver Lance</x:v>
      </x:c>
      <x:c r="E396" t="str">
        <x:v>Reference count</x:v>
      </x:c>
      <x:c r="F396" t="n">
        <x:v>95</x:v>
      </x:c>
      <x:c r="G396" t="str">
        <x:v>synchronized_same_numbering</x:v>
      </x:c>
      <x:c r="H396" t="str">
        <x:v>https://bulbapedia.bulbagarden.net/wiki/Pok%C3%A9mon_in_Taiwan ; https://asia.pokemon-card.com/tw/card-search/</x:v>
      </x:c>
      <x:c r="I396" t="str">
        <x:v>zh-TW; distinct catalogue/checklist identities for this exact row scope</x:v>
      </x:c>
      <x:c r="J396" t="str">
        <x:v>Traditional Chinese release uses the synchronized Japanese card identities and numbering for this set; reference count inherited from the matching Japanese checklist.</x:v>
      </x:c>
      <x:c r="K396" t="str">
        <x:v>zh-TW-1ce049c3e526</x:v>
      </x:c>
      <x:c r="L396" t="str">
        <x:v>reference_count</x:v>
      </x:c>
    </x:row>
    <x:row r="397">
      <x:c r="A397" t="str">
        <x:v>REF-e5740cb92b6d</x:v>
      </x:c>
      <x:c r="B397" t="str">
        <x:v>2026-09-26-reference-counts</x:v>
      </x:c>
      <x:c r="C397" t="str">
        <x:v>zh-TW</x:v>
      </x:c>
      <x:c r="D397" t="str">
        <x:v>Eevee Heroes</x:v>
      </x:c>
      <x:c r="E397" t="str">
        <x:v>Reference count</x:v>
      </x:c>
      <x:c r="F397" t="n">
        <x:v>101</x:v>
      </x:c>
      <x:c r="G397" t="str">
        <x:v>synchronized_same_numbering</x:v>
      </x:c>
      <x:c r="H397" t="str">
        <x:v>https://bulbapedia.bulbagarden.net/wiki/Pok%C3%A9mon_in_Taiwan ; https://asia.pokemon-card.com/tw/card-search/</x:v>
      </x:c>
      <x:c r="I397" t="str">
        <x:v>zh-TW; distinct catalogue/checklist identities for this exact row scope</x:v>
      </x:c>
      <x:c r="J397" t="str">
        <x:v>Traditional Chinese release uses the synchronized Japanese card identities and numbering for this set; reference count inherited from the matching Japanese checklist.</x:v>
      </x:c>
      <x:c r="K397" t="str">
        <x:v>zh-TW-0a24fa37675e</x:v>
      </x:c>
      <x:c r="L397" t="str">
        <x:v>reference_count</x:v>
      </x:c>
    </x:row>
    <x:row r="398">
      <x:c r="A398" t="str">
        <x:v>REF-6e6e46df24b6</x:v>
      </x:c>
      <x:c r="B398" t="str">
        <x:v>2026-09-26-reference-counts</x:v>
      </x:c>
      <x:c r="C398" t="str">
        <x:v>zh-TW</x:v>
      </x:c>
      <x:c r="D398" t="str">
        <x:v>V Starter Deck: Evolution</x:v>
      </x:c>
      <x:c r="E398" t="str">
        <x:v>Reference count</x:v>
      </x:c>
      <x:c r="F398" t="n">
        <x:v>171</x:v>
      </x:c>
      <x:c r="G398" t="str">
        <x:v>product_numbered_checklist</x:v>
      </x:c>
      <x:c r="H398" t="str">
        <x:v>https://asia.pokemon-card.com/tw/card-search/ ; https://bulbapedia.bulbagarden.net/wiki/Pok%C3%A9mon_in_Taiwan</x:v>
      </x:c>
      <x:c r="I398" t="str">
        <x:v>zh-TW; distinct catalogue/checklist identities for this exact row scope</x:v>
      </x:c>
      <x:c r="J398" t="str">
        <x:v>V Starter Deck: Evolution distinct printed identities; one nominal numbering slot is not a separate printed identity in the reconciled checklist.</x:v>
      </x:c>
      <x:c r="K398" t="str">
        <x:v>zh-TW-e025c97a3003</x:v>
      </x:c>
      <x:c r="L398" t="str">
        <x:v>reference_count</x:v>
      </x:c>
    </x:row>
    <x:row r="399">
      <x:c r="A399" t="str">
        <x:v>REF-394727af374d</x:v>
      </x:c>
      <x:c r="B399" t="str">
        <x:v>2026-09-26-reference-counts</x:v>
      </x:c>
      <x:c r="C399" t="str">
        <x:v>zh-TW</x:v>
      </x:c>
      <x:c r="D399" t="str">
        <x:v>Blue Sky Stream</x:v>
      </x:c>
      <x:c r="E399" t="str">
        <x:v>Reference count</x:v>
      </x:c>
      <x:c r="F399" t="n">
        <x:v>90</x:v>
      </x:c>
      <x:c r="G399" t="str">
        <x:v>synchronized_same_numbering</x:v>
      </x:c>
      <x:c r="H399" t="str">
        <x:v>https://bulbapedia.bulbagarden.net/wiki/Pok%C3%A9mon_in_Taiwan ; https://asia.pokemon-card.com/tw/card-search/</x:v>
      </x:c>
      <x:c r="I399" t="str">
        <x:v>zh-TW; distinct catalogue/checklist identities for this exact row scope</x:v>
      </x:c>
      <x:c r="J399" t="str">
        <x:v>Traditional Chinese release uses the synchronized Japanese card identities and numbering for this set; reference count inherited from the matching Japanese checklist.</x:v>
      </x:c>
      <x:c r="K399" t="str">
        <x:v>zh-TW-0896e483a152</x:v>
      </x:c>
      <x:c r="L399" t="str">
        <x:v>reference_count</x:v>
      </x:c>
    </x:row>
    <x:row r="400">
      <x:c r="A400" t="str">
        <x:v>REF-a8b881121f05</x:v>
      </x:c>
      <x:c r="B400" t="str">
        <x:v>2026-09-26-reference-counts</x:v>
      </x:c>
      <x:c r="C400" t="str">
        <x:v>zh-TW</x:v>
      </x:c>
      <x:c r="D400" t="str">
        <x:v>Skyscraping Perfection</x:v>
      </x:c>
      <x:c r="E400" t="str">
        <x:v>Reference count</x:v>
      </x:c>
      <x:c r="F400" t="n">
        <x:v>90</x:v>
      </x:c>
      <x:c r="G400" t="str">
        <x:v>synchronized_same_numbering</x:v>
      </x:c>
      <x:c r="H400" t="str">
        <x:v>https://bulbapedia.bulbagarden.net/wiki/Pok%C3%A9mon_in_Taiwan ; https://asia.pokemon-card.com/tw/card-search/</x:v>
      </x:c>
      <x:c r="I400" t="str">
        <x:v>zh-TW; distinct catalogue/checklist identities for this exact row scope</x:v>
      </x:c>
      <x:c r="J400" t="str">
        <x:v>Traditional Chinese release uses the synchronized Japanese card identities and numbering for this set; reference count inherited from the matching Japanese checklist.</x:v>
      </x:c>
      <x:c r="K400" t="str">
        <x:v>zh-TW-3c7f9a347753</x:v>
      </x:c>
      <x:c r="L400" t="str">
        <x:v>reference_count</x:v>
      </x:c>
    </x:row>
    <x:row r="401">
      <x:c r="A401" t="str">
        <x:v>REF-50202f502425</x:v>
      </x:c>
      <x:c r="B401" t="str">
        <x:v>2026-09-26-reference-counts</x:v>
      </x:c>
      <x:c r="C401" t="str">
        <x:v>zh-TW</x:v>
      </x:c>
      <x:c r="D401" t="str">
        <x:v>Family Pokémon Card Game</x:v>
      </x:c>
      <x:c r="E401" t="str">
        <x:v>Reference count</x:v>
      </x:c>
      <x:c r="F401" t="n">
        <x:v>78</x:v>
      </x:c>
      <x:c r="G401" t="str">
        <x:v>product_numbered_checklist</x:v>
      </x:c>
      <x:c r="H401" t="str">
        <x:v>https://asia.pokemon-card.com/tw/card-search/ ; https://bulbapedia.bulbagarden.net/wiki/Pok%C3%A9mon_in_Taiwan</x:v>
      </x:c>
      <x:c r="I401" t="str">
        <x:v>zh-TW; distinct catalogue/checklist identities for this exact row scope</x:v>
      </x:c>
      <x:c r="J401" t="str">
        <x:v>Family Pokémon Card Game product-specific distinct catalogue identities.</x:v>
      </x:c>
      <x:c r="K401" t="str">
        <x:v>zh-TW-ea9bed1e2837</x:v>
      </x:c>
      <x:c r="L401" t="str">
        <x:v>reference_count</x:v>
      </x:c>
    </x:row>
    <x:row r="402">
      <x:c r="A402" t="str">
        <x:v>REF-bfbb341f93a5</x:v>
      </x:c>
      <x:c r="B402" t="str">
        <x:v>2026-09-26-reference-counts</x:v>
      </x:c>
      <x:c r="C402" t="str">
        <x:v>zh-TW</x:v>
      </x:c>
      <x:c r="D402" t="str">
        <x:v>Greninja V-UNION</x:v>
      </x:c>
      <x:c r="E402" t="str">
        <x:v>Reference count</x:v>
      </x:c>
      <x:c r="F402" t="n">
        <x:v>5</x:v>
      </x:c>
      <x:c r="G402" t="str">
        <x:v>product_numbered_checklist</x:v>
      </x:c>
      <x:c r="H402" t="str">
        <x:v>https://asia.pokemon-card.com/tw/card-search/ ; https://bulbapedia.bulbagarden.net/wiki/Pok%C3%A9mon_in_Taiwan</x:v>
      </x:c>
      <x:c r="I402" t="str">
        <x:v>zh-TW; distinct catalogue/checklist identities for this exact row scope</x:v>
      </x:c>
      <x:c r="J402" t="str">
        <x:v>Greninja V-UNION product identities: four V-UNION pieces plus the product-specific supporting identity in the checklist scope.</x:v>
      </x:c>
      <x:c r="K402" t="str">
        <x:v>zh-TW-1e56408052d8</x:v>
      </x:c>
      <x:c r="L402" t="str">
        <x:v>reference_count</x:v>
      </x:c>
    </x:row>
    <x:row r="403">
      <x:c r="A403" t="str">
        <x:v>REF-9627bf8d9148</x:v>
      </x:c>
      <x:c r="B403" t="str">
        <x:v>2026-09-26-reference-counts</x:v>
      </x:c>
      <x:c r="C403" t="str">
        <x:v>zh-TW</x:v>
      </x:c>
      <x:c r="D403" t="str">
        <x:v>Mewtwo V-UNION</x:v>
      </x:c>
      <x:c r="E403" t="str">
        <x:v>Reference count</x:v>
      </x:c>
      <x:c r="F403" t="n">
        <x:v>5</x:v>
      </x:c>
      <x:c r="G403" t="str">
        <x:v>product_numbered_checklist</x:v>
      </x:c>
      <x:c r="H403" t="str">
        <x:v>https://asia.pokemon-card.com/tw/card-search/ ; https://bulbapedia.bulbagarden.net/wiki/Pok%C3%A9mon_in_Taiwan</x:v>
      </x:c>
      <x:c r="I403" t="str">
        <x:v>zh-TW; distinct catalogue/checklist identities for this exact row scope</x:v>
      </x:c>
      <x:c r="J403" t="str">
        <x:v>Mewtwo V-UNION product identities: four V-UNION pieces plus the product-specific supporting identity in the checklist scope.</x:v>
      </x:c>
      <x:c r="K403" t="str">
        <x:v>zh-TW-4be3f10dba4e</x:v>
      </x:c>
      <x:c r="L403" t="str">
        <x:v>reference_count</x:v>
      </x:c>
    </x:row>
    <x:row r="404">
      <x:c r="A404" t="str">
        <x:v>REF-da2e85a15151</x:v>
      </x:c>
      <x:c r="B404" t="str">
        <x:v>2026-09-26-reference-counts</x:v>
      </x:c>
      <x:c r="C404" t="str">
        <x:v>zh-TW</x:v>
      </x:c>
      <x:c r="D404" t="str">
        <x:v>Zacian V-UNION</x:v>
      </x:c>
      <x:c r="E404" t="str">
        <x:v>Reference count</x:v>
      </x:c>
      <x:c r="F404" t="n">
        <x:v>5</x:v>
      </x:c>
      <x:c r="G404" t="str">
        <x:v>product_numbered_checklist</x:v>
      </x:c>
      <x:c r="H404" t="str">
        <x:v>https://asia.pokemon-card.com/tw/card-search/ ; https://bulbapedia.bulbagarden.net/wiki/Pok%C3%A9mon_in_Taiwan</x:v>
      </x:c>
      <x:c r="I404" t="str">
        <x:v>zh-TW; distinct catalogue/checklist identities for this exact row scope</x:v>
      </x:c>
      <x:c r="J404" t="str">
        <x:v>Zacian V-UNION product identities: four V-UNION pieces plus the product-specific supporting identity in the checklist scope.</x:v>
      </x:c>
      <x:c r="K404" t="str">
        <x:v>zh-TW-fd587194a3dc</x:v>
      </x:c>
      <x:c r="L404" t="str">
        <x:v>reference_count</x:v>
      </x:c>
    </x:row>
    <x:row r="405">
      <x:c r="A405" t="str">
        <x:v>REF-e16e522ab5f7</x:v>
      </x:c>
      <x:c r="B405" t="str">
        <x:v>2026-09-26-reference-counts</x:v>
      </x:c>
      <x:c r="C405" t="str">
        <x:v>zh-TW</x:v>
      </x:c>
      <x:c r="D405" t="str">
        <x:v>Fusion Arts</x:v>
      </x:c>
      <x:c r="E405" t="str">
        <x:v>Reference count</x:v>
      </x:c>
      <x:c r="F405" t="n">
        <x:v>129</x:v>
      </x:c>
      <x:c r="G405" t="str">
        <x:v>synchronized_same_numbering</x:v>
      </x:c>
      <x:c r="H405" t="str">
        <x:v>https://bulbapedia.bulbagarden.net/wiki/Pok%C3%A9mon_in_Taiwan ; https://asia.pokemon-card.com/tw/card-search/</x:v>
      </x:c>
      <x:c r="I405" t="str">
        <x:v>zh-TW; distinct catalogue/checklist identities for this exact row scope</x:v>
      </x:c>
      <x:c r="J405" t="str">
        <x:v>Traditional Chinese release uses the synchronized Japanese card identities and numbering for this set; reference count inherited from the matching Japanese checklist.</x:v>
      </x:c>
      <x:c r="K405" t="str">
        <x:v>zh-TW-ed2b47d834a0</x:v>
      </x:c>
      <x:c r="L405" t="str">
        <x:v>reference_count</x:v>
      </x:c>
    </x:row>
    <x:row r="406">
      <x:c r="A406" t="str">
        <x:v>REF-47fcb89d7bd8</x:v>
      </x:c>
      <x:c r="B406" t="str">
        <x:v>2026-09-26-reference-counts</x:v>
      </x:c>
      <x:c r="C406" t="str">
        <x:v>zh-TW</x:v>
      </x:c>
      <x:c r="D406" t="str">
        <x:v>V Starter Deck: Power</x:v>
      </x:c>
      <x:c r="E406" t="str">
        <x:v>Reference count</x:v>
      </x:c>
      <x:c r="F406" t="n">
        <x:v>159</x:v>
      </x:c>
      <x:c r="G406" t="str">
        <x:v>product_numbered_checklist</x:v>
      </x:c>
      <x:c r="H406" t="str">
        <x:v>https://asia.pokemon-card.com/tw/card-search/ ; https://bulbapedia.bulbagarden.net/wiki/Pok%C3%A9mon_in_Taiwan</x:v>
      </x:c>
      <x:c r="I406" t="str">
        <x:v>zh-TW; distinct catalogue/checklist identities for this exact row scope</x:v>
      </x:c>
      <x:c r="J406" t="str">
        <x:v>V Starter Deck: Power product-specific catalogue pool.</x:v>
      </x:c>
      <x:c r="K406" t="str">
        <x:v>zh-TW-b504d14277db</x:v>
      </x:c>
      <x:c r="L406" t="str">
        <x:v>reference_count</x:v>
      </x:c>
    </x:row>
    <x:row r="407">
      <x:c r="A407" t="str">
        <x:v>REF-5debf2856b77</x:v>
      </x:c>
      <x:c r="B407" t="str">
        <x:v>2026-09-26-reference-counts</x:v>
      </x:c>
      <x:c r="C407" t="str">
        <x:v>zh-TW</x:v>
      </x:c>
      <x:c r="D407" t="str">
        <x:v>25th Anniversary Collection</x:v>
      </x:c>
      <x:c r="E407" t="str">
        <x:v>Reference count</x:v>
      </x:c>
      <x:c r="F407" t="n">
        <x:v>30</x:v>
      </x:c>
      <x:c r="G407" t="str">
        <x:v>synchronized_same_numbering</x:v>
      </x:c>
      <x:c r="H407" t="str">
        <x:v>https://bulbapedia.bulbagarden.net/wiki/Pok%C3%A9mon_in_Taiwan ; https://asia.pokemon-card.com/tw/card-search/</x:v>
      </x:c>
      <x:c r="I407" t="str">
        <x:v>zh-TW; distinct catalogue/checklist identities for this exact row scope</x:v>
      </x:c>
      <x:c r="J407" t="str">
        <x:v>Traditional Chinese release uses the synchronized Japanese card identities and numbering for this set; reference count inherited from the matching Japanese checklist.</x:v>
      </x:c>
      <x:c r="K407" t="str">
        <x:v>zh-TW-0b27f7830bd5</x:v>
      </x:c>
      <x:c r="L407" t="str">
        <x:v>reference_count</x:v>
      </x:c>
    </x:row>
    <x:row r="408">
      <x:c r="A408" t="str">
        <x:v>REF-43728b56d461</x:v>
      </x:c>
      <x:c r="B408" t="str">
        <x:v>2026-09-26-reference-counts</x:v>
      </x:c>
      <x:c r="C408" t="str">
        <x:v>zh-TW</x:v>
      </x:c>
      <x:c r="D408" t="str">
        <x:v>VMAX Climax</x:v>
      </x:c>
      <x:c r="E408" t="str">
        <x:v>Reference count</x:v>
      </x:c>
      <x:c r="F408" t="n">
        <x:v>285</x:v>
      </x:c>
      <x:c r="G408" t="str">
        <x:v>synchronized_same_numbering</x:v>
      </x:c>
      <x:c r="H408" t="str">
        <x:v>https://bulbapedia.bulbagarden.net/wiki/Pok%C3%A9mon_in_Taiwan ; https://asia.pokemon-card.com/tw/card-search/</x:v>
      </x:c>
      <x:c r="I408" t="str">
        <x:v>zh-TW; distinct catalogue/checklist identities for this exact row scope</x:v>
      </x:c>
      <x:c r="J408" t="str">
        <x:v>Traditional Chinese release uses the synchronized Japanese card identities and numbering for this set; reference count inherited from the matching Japanese checklist.</x:v>
      </x:c>
      <x:c r="K408" t="str">
        <x:v>zh-TW-3f0100ff734e</x:v>
      </x:c>
      <x:c r="L408" t="str">
        <x:v>reference_count</x:v>
      </x:c>
    </x:row>
    <x:row r="409">
      <x:c r="A409" t="str">
        <x:v>REF-f8ae012b315a</x:v>
      </x:c>
      <x:c r="B409" t="str">
        <x:v>2026-09-26-reference-counts</x:v>
      </x:c>
      <x:c r="C409" t="str">
        <x:v>zh-TW</x:v>
      </x:c>
      <x:c r="D409" t="str">
        <x:v>Premium Trainer Box VSTAR</x:v>
      </x:c>
      <x:c r="E409" t="str">
        <x:v>Reference count</x:v>
      </x:c>
      <x:c r="F409" t="n">
        <x:v>38</x:v>
      </x:c>
      <x:c r="G409" t="str">
        <x:v>product_numbered_checklist</x:v>
      </x:c>
      <x:c r="H409" t="str">
        <x:v>https://asia.pokemon-card.com/tw/card-search/ ; https://bulbapedia.bulbagarden.net/wiki/Pok%C3%A9mon_in_Taiwan</x:v>
      </x:c>
      <x:c r="I409" t="str">
        <x:v>zh-TW; distinct catalogue/checklist identities for this exact row scope</x:v>
      </x:c>
      <x:c r="J409" t="str">
        <x:v>Premium Trainer Box VSTAR product-specific catalogue identities, not physical accessory/card quantities.</x:v>
      </x:c>
      <x:c r="K409" t="str">
        <x:v>zh-TW-da84927efd3c</x:v>
      </x:c>
      <x:c r="L409" t="str">
        <x:v>reference_count</x:v>
      </x:c>
    </x:row>
    <x:row r="410">
      <x:c r="A410" t="str">
        <x:v>REF-773cf55634bc</x:v>
      </x:c>
      <x:c r="B410" t="str">
        <x:v>2026-09-26-reference-counts</x:v>
      </x:c>
      <x:c r="C410" t="str">
        <x:v>zh-TW</x:v>
      </x:c>
      <x:c r="D410" t="str">
        <x:v>Special Deck Set: Zacian &amp; Zamazenta vs Eternatus</x:v>
      </x:c>
      <x:c r="E410" t="str">
        <x:v>Reference count</x:v>
      </x:c>
      <x:c r="F410" t="n">
        <x:v>30</x:v>
      </x:c>
      <x:c r="G410" t="str">
        <x:v>product_numbered_checklist</x:v>
      </x:c>
      <x:c r="H410" t="str">
        <x:v>https://asia.pokemon-card.com/tw/card-search/ ; https://bulbapedia.bulbagarden.net/wiki/Pok%C3%A9mon_in_Taiwan</x:v>
      </x:c>
      <x:c r="I410" t="str">
        <x:v>zh-TW; distinct catalogue/checklist identities for this exact row scope</x:v>
      </x:c>
      <x:c r="J410" t="str">
        <x:v>Special Deck Set Zacian &amp; Zamazenta vs Eternatus distinct numbered identities.</x:v>
      </x:c>
      <x:c r="K410" t="str">
        <x:v>zh-TW-49aecb4f6801</x:v>
      </x:c>
      <x:c r="L410" t="str">
        <x:v>reference_count</x:v>
      </x:c>
    </x:row>
    <x:row r="411">
      <x:c r="A411" t="str">
        <x:v>REF-b2fb2a262f2c</x:v>
      </x:c>
      <x:c r="B411" t="str">
        <x:v>2026-09-26-reference-counts</x:v>
      </x:c>
      <x:c r="C411" t="str">
        <x:v>zh-TW</x:v>
      </x:c>
      <x:c r="D411" t="str">
        <x:v>Star Birth</x:v>
      </x:c>
      <x:c r="E411" t="str">
        <x:v>Reference count</x:v>
      </x:c>
      <x:c r="F411" t="n">
        <x:v>127</x:v>
      </x:c>
      <x:c r="G411" t="str">
        <x:v>synchronized_same_numbering</x:v>
      </x:c>
      <x:c r="H411" t="str">
        <x:v>https://bulbapedia.bulbagarden.net/wiki/Pok%C3%A9mon_in_Taiwan ; https://asia.pokemon-card.com/tw/card-search/</x:v>
      </x:c>
      <x:c r="I411" t="str">
        <x:v>zh-TW; distinct catalogue/checklist identities for this exact row scope</x:v>
      </x:c>
      <x:c r="J411" t="str">
        <x:v>Traditional Chinese release uses the synchronized Japanese card identities and numbering for this set; reference count inherited from the matching Japanese checklist.</x:v>
      </x:c>
      <x:c r="K411" t="str">
        <x:v>zh-TW-e2c3f070ae3a</x:v>
      </x:c>
      <x:c r="L411" t="str">
        <x:v>reference_count</x:v>
      </x:c>
    </x:row>
    <x:row r="412">
      <x:c r="A412" t="str">
        <x:v>REF-eb1c4d2b043b</x:v>
      </x:c>
      <x:c r="B412" t="str">
        <x:v>2026-09-26-reference-counts</x:v>
      </x:c>
      <x:c r="C412" t="str">
        <x:v>zh-TW</x:v>
      </x:c>
      <x:c r="D412" t="str">
        <x:v>Start Deck 100</x:v>
      </x:c>
      <x:c r="E412" t="str">
        <x:v>Reference count</x:v>
      </x:c>
      <x:c r="F412" t="n">
        <x:v>422</x:v>
      </x:c>
      <x:c r="G412" t="str">
        <x:v>product_numbered_checklist</x:v>
      </x:c>
      <x:c r="H412" t="str">
        <x:v>https://asia.pokemon-card.com/tw/card-search/ ; https://bulbapedia.bulbagarden.net/wiki/Pok%C3%A9mon_in_Taiwan</x:v>
      </x:c>
      <x:c r="I412" t="str">
        <x:v>zh-TW; distinct catalogue/checklist identities for this exact row scope</x:v>
      </x:c>
      <x:c r="J412" t="str">
        <x:v>Start Deck 100 Traditional Chinese catalogue identities, aligned to the synchronized numbered checklist; not physical deck quantity.</x:v>
      </x:c>
      <x:c r="K412" t="str">
        <x:v>zh-TW-79452a9b4969</x:v>
      </x:c>
      <x:c r="L412" t="str">
        <x:v>reference_count</x:v>
      </x:c>
    </x:row>
    <x:row r="413">
      <x:c r="A413" t="str">
        <x:v>REF-70c8343610d9</x:v>
      </x:c>
      <x:c r="B413" t="str">
        <x:v>2026-09-26-reference-counts</x:v>
      </x:c>
      <x:c r="C413" t="str">
        <x:v>zh-TW</x:v>
      </x:c>
      <x:c r="D413" t="str">
        <x:v>Battle Region</x:v>
      </x:c>
      <x:c r="E413" t="str">
        <x:v>Reference count</x:v>
      </x:c>
      <x:c r="F413" t="n">
        <x:v>93</x:v>
      </x:c>
      <x:c r="G413" t="str">
        <x:v>synchronized_same_numbering</x:v>
      </x:c>
      <x:c r="H413" t="str">
        <x:v>https://bulbapedia.bulbagarden.net/wiki/Pok%C3%A9mon_in_Taiwan ; https://asia.pokemon-card.com/tw/card-search/</x:v>
      </x:c>
      <x:c r="I413" t="str">
        <x:v>zh-TW; distinct catalogue/checklist identities for this exact row scope</x:v>
      </x:c>
      <x:c r="J413" t="str">
        <x:v>Traditional Chinese release uses the synchronized Japanese card identities and numbering for this set; reference count inherited from the matching Japanese checklist.</x:v>
      </x:c>
      <x:c r="K413" t="str">
        <x:v>zh-TW-ebfd52323273</x:v>
      </x:c>
      <x:c r="L413" t="str">
        <x:v>reference_count</x:v>
      </x:c>
    </x:row>
    <x:row r="414">
      <x:c r="A414" t="str">
        <x:v>REF-858e9f85930d</x:v>
      </x:c>
      <x:c r="B414" t="str">
        <x:v>2026-09-26-reference-counts</x:v>
      </x:c>
      <x:c r="C414" t="str">
        <x:v>zh-TW</x:v>
      </x:c>
      <x:c r="D414" t="str">
        <x:v>Starter Set VSTAR: Darkrai</x:v>
      </x:c>
      <x:c r="E414" t="str">
        <x:v>Reference count</x:v>
      </x:c>
      <x:c r="F414" t="n">
        <x:v>21</x:v>
      </x:c>
      <x:c r="G414" t="str">
        <x:v>product_numbered_checklist</x:v>
      </x:c>
      <x:c r="H414" t="str">
        <x:v>https://asia.pokemon-card.com/tw/card-search/ ; https://bulbapedia.bulbagarden.net/wiki/Pok%C3%A9mon_in_Taiwan</x:v>
      </x:c>
      <x:c r="I414" t="str">
        <x:v>zh-TW; distinct catalogue/checklist identities for this exact row scope</x:v>
      </x:c>
      <x:c r="J414" t="str">
        <x:v>Starter Set VSTAR: Darkrai distinct numbered product identities.</x:v>
      </x:c>
      <x:c r="K414" t="str">
        <x:v>zh-TW-c1e632571ef2</x:v>
      </x:c>
      <x:c r="L414" t="str">
        <x:v>reference_count</x:v>
      </x:c>
    </x:row>
    <x:row r="415">
      <x:c r="A415" t="str">
        <x:v>REF-7e47ed003233</x:v>
      </x:c>
      <x:c r="B415" t="str">
        <x:v>2026-09-26-reference-counts</x:v>
      </x:c>
      <x:c r="C415" t="str">
        <x:v>zh-TW</x:v>
      </x:c>
      <x:c r="D415" t="str">
        <x:v>Starter Set VSTAR: Lucario</x:v>
      </x:c>
      <x:c r="E415" t="str">
        <x:v>Reference count</x:v>
      </x:c>
      <x:c r="F415" t="n">
        <x:v>22</x:v>
      </x:c>
      <x:c r="G415" t="str">
        <x:v>product_numbered_checklist</x:v>
      </x:c>
      <x:c r="H415" t="str">
        <x:v>https://asia.pokemon-card.com/tw/card-search/ ; https://bulbapedia.bulbagarden.net/wiki/Pok%C3%A9mon_in_Taiwan</x:v>
      </x:c>
      <x:c r="I415" t="str">
        <x:v>zh-TW; distinct catalogue/checklist identities for this exact row scope</x:v>
      </x:c>
      <x:c r="J415" t="str">
        <x:v>Starter Set VSTAR: Lucario distinct numbered product identities.</x:v>
      </x:c>
      <x:c r="K415" t="str">
        <x:v>zh-TW-9b45ecdadbd5</x:v>
      </x:c>
      <x:c r="L415" t="str">
        <x:v>reference_count</x:v>
      </x:c>
    </x:row>
    <x:row r="416">
      <x:c r="A416" t="str">
        <x:v>REF-86b37d9d1833</x:v>
      </x:c>
      <x:c r="B416" t="str">
        <x:v>2026-09-26-reference-counts</x:v>
      </x:c>
      <x:c r="C416" t="str">
        <x:v>zh-TW</x:v>
      </x:c>
      <x:c r="D416" t="str">
        <x:v>Space Juggler</x:v>
      </x:c>
      <x:c r="E416" t="str">
        <x:v>Reference count</x:v>
      </x:c>
      <x:c r="F416" t="n">
        <x:v>88</x:v>
      </x:c>
      <x:c r="G416" t="str">
        <x:v>synchronized_same_numbering</x:v>
      </x:c>
      <x:c r="H416" t="str">
        <x:v>https://bulbapedia.bulbagarden.net/wiki/Pok%C3%A9mon_in_Taiwan ; https://asia.pokemon-card.com/tw/card-search/</x:v>
      </x:c>
      <x:c r="I416" t="str">
        <x:v>zh-TW; distinct catalogue/checklist identities for this exact row scope</x:v>
      </x:c>
      <x:c r="J416" t="str">
        <x:v>Traditional Chinese release uses the synchronized Japanese card identities and numbering for this set; reference count inherited from the matching Japanese checklist.</x:v>
      </x:c>
      <x:c r="K416" t="str">
        <x:v>zh-TW-eaa598c96da0</x:v>
      </x:c>
      <x:c r="L416" t="str">
        <x:v>reference_count</x:v>
      </x:c>
    </x:row>
    <x:row r="417">
      <x:c r="A417" t="str">
        <x:v>REF-875d4aea176d</x:v>
      </x:c>
      <x:c r="B417" t="str">
        <x:v>2026-09-26-reference-counts</x:v>
      </x:c>
      <x:c r="C417" t="str">
        <x:v>zh-TW</x:v>
      </x:c>
      <x:c r="D417" t="str">
        <x:v>Time Gazer</x:v>
      </x:c>
      <x:c r="E417" t="str">
        <x:v>Reference count</x:v>
      </x:c>
      <x:c r="F417" t="n">
        <x:v>88</x:v>
      </x:c>
      <x:c r="G417" t="str">
        <x:v>synchronized_same_numbering</x:v>
      </x:c>
      <x:c r="H417" t="str">
        <x:v>https://bulbapedia.bulbagarden.net/wiki/Pok%C3%A9mon_in_Taiwan ; https://asia.pokemon-card.com/tw/card-search/</x:v>
      </x:c>
      <x:c r="I417" t="str">
        <x:v>zh-TW; distinct catalogue/checklist identities for this exact row scope</x:v>
      </x:c>
      <x:c r="J417" t="str">
        <x:v>Traditional Chinese release uses the synchronized Japanese card identities and numbering for this set; reference count inherited from the matching Japanese checklist.</x:v>
      </x:c>
      <x:c r="K417" t="str">
        <x:v>zh-TW-2fb8917a506c</x:v>
      </x:c>
      <x:c r="L417" t="str">
        <x:v>reference_count</x:v>
      </x:c>
    </x:row>
    <x:row r="418">
      <x:c r="A418" t="str">
        <x:v>REF-4dd648604a8c</x:v>
      </x:c>
      <x:c r="B418" t="str">
        <x:v>2026-09-26-reference-counts</x:v>
      </x:c>
      <x:c r="C418" t="str">
        <x:v>zh-TW</x:v>
      </x:c>
      <x:c r="D418" t="str">
        <x:v>Dark Phantasma</x:v>
      </x:c>
      <x:c r="E418" t="str">
        <x:v>Reference count</x:v>
      </x:c>
      <x:c r="F418" t="n">
        <x:v>99</x:v>
      </x:c>
      <x:c r="G418" t="str">
        <x:v>synchronized_same_numbering</x:v>
      </x:c>
      <x:c r="H418" t="str">
        <x:v>https://bulbapedia.bulbagarden.net/wiki/Pok%C3%A9mon_in_Taiwan ; https://asia.pokemon-card.com/tw/card-search/</x:v>
      </x:c>
      <x:c r="I418" t="str">
        <x:v>zh-TW; distinct catalogue/checklist identities for this exact row scope</x:v>
      </x:c>
      <x:c r="J418" t="str">
        <x:v>Traditional Chinese release uses the synchronized Japanese card identities and numbering for this set; reference count inherited from the matching Japanese checklist.</x:v>
      </x:c>
      <x:c r="K418" t="str">
        <x:v>zh-TW-34c58ef32c27</x:v>
      </x:c>
      <x:c r="L418" t="str">
        <x:v>reference_count</x:v>
      </x:c>
    </x:row>
    <x:row r="419">
      <x:c r="A419" t="str">
        <x:v>REF-d34305e109fd</x:v>
      </x:c>
      <x:c r="B419" t="str">
        <x:v>2026-09-26-reference-counts</x:v>
      </x:c>
      <x:c r="C419" t="str">
        <x:v>zh-TW</x:v>
      </x:c>
      <x:c r="D419" t="str">
        <x:v>Pokémon GO</x:v>
      </x:c>
      <x:c r="E419" t="str">
        <x:v>Reference count</x:v>
      </x:c>
      <x:c r="F419" t="n">
        <x:v>93</x:v>
      </x:c>
      <x:c r="G419" t="str">
        <x:v>synchronized_same_numbering</x:v>
      </x:c>
      <x:c r="H419" t="str">
        <x:v>https://bulbapedia.bulbagarden.net/wiki/Pok%C3%A9mon_in_Taiwan ; https://asia.pokemon-card.com/tw/card-search/</x:v>
      </x:c>
      <x:c r="I419" t="str">
        <x:v>zh-TW; distinct catalogue/checklist identities for this exact row scope</x:v>
      </x:c>
      <x:c r="J419" t="str">
        <x:v>Traditional Chinese release uses the synchronized Japanese card identities and numbering for this set; reference count inherited from the matching Japanese checklist.</x:v>
      </x:c>
      <x:c r="K419" t="str">
        <x:v>zh-TW-e470539f39cb</x:v>
      </x:c>
      <x:c r="L419" t="str">
        <x:v>reference_count</x:v>
      </x:c>
    </x:row>
    <x:row r="420">
      <x:c r="A420" t="str">
        <x:v>REF-81b57875619f</x:v>
      </x:c>
      <x:c r="B420" t="str">
        <x:v>2026-09-26-reference-counts</x:v>
      </x:c>
      <x:c r="C420" t="str">
        <x:v>zh-TW</x:v>
      </x:c>
      <x:c r="D420" t="str">
        <x:v>Lost Abyss</x:v>
      </x:c>
      <x:c r="E420" t="str">
        <x:v>Reference count</x:v>
      </x:c>
      <x:c r="F420" t="n">
        <x:v>127</x:v>
      </x:c>
      <x:c r="G420" t="str">
        <x:v>synchronized_same_numbering</x:v>
      </x:c>
      <x:c r="H420" t="str">
        <x:v>https://bulbapedia.bulbagarden.net/wiki/Pok%C3%A9mon_in_Taiwan ; https://asia.pokemon-card.com/tw/card-search/</x:v>
      </x:c>
      <x:c r="I420" t="str">
        <x:v>zh-TW; distinct catalogue/checklist identities for this exact row scope</x:v>
      </x:c>
      <x:c r="J420" t="str">
        <x:v>Traditional Chinese release uses the synchronized Japanese card identities and numbering for this set; reference count inherited from the matching Japanese checklist.</x:v>
      </x:c>
      <x:c r="K420" t="str">
        <x:v>zh-TW-94514bb5b58e</x:v>
      </x:c>
      <x:c r="L420" t="str">
        <x:v>reference_count</x:v>
      </x:c>
    </x:row>
    <x:row r="421">
      <x:c r="A421" t="str">
        <x:v>REF-d1193c9fbf2c</x:v>
      </x:c>
      <x:c r="B421" t="str">
        <x:v>2026-09-26-reference-counts</x:v>
      </x:c>
      <x:c r="C421" t="str">
        <x:v>zh-TW</x:v>
      </x:c>
      <x:c r="D421" t="str">
        <x:v>VSTAR &amp; VMAX High-Class Deck: Deoxys</x:v>
      </x:c>
      <x:c r="E421" t="str">
        <x:v>Reference count</x:v>
      </x:c>
      <x:c r="F421" t="n">
        <x:v>20</x:v>
      </x:c>
      <x:c r="G421" t="str">
        <x:v>product_numbered_checklist</x:v>
      </x:c>
      <x:c r="H421" t="str">
        <x:v>https://asia.pokemon-card.com/tw/card-search/ ; https://bulbapedia.bulbagarden.net/wiki/Pok%C3%A9mon_in_Taiwan</x:v>
      </x:c>
      <x:c r="I421" t="str">
        <x:v>zh-TW; distinct catalogue/checklist identities for this exact row scope</x:v>
      </x:c>
      <x:c r="J421" t="str">
        <x:v>VSTAR &amp; VMAX High-Class Deck: Deoxys numbered product identities (001/020–020/020); excludes unnumbered/basic-energy duplication.</x:v>
      </x:c>
      <x:c r="K421" t="str">
        <x:v>zh-TW-b04e14397ea6</x:v>
      </x:c>
      <x:c r="L421" t="str">
        <x:v>reference_count</x:v>
      </x:c>
    </x:row>
    <x:row r="422">
      <x:c r="A422" t="str">
        <x:v>REF-9b7b51c6faa5</x:v>
      </x:c>
      <x:c r="B422" t="str">
        <x:v>2026-09-26-reference-counts</x:v>
      </x:c>
      <x:c r="C422" t="str">
        <x:v>zh-TW</x:v>
      </x:c>
      <x:c r="D422" t="str">
        <x:v>VSTAR &amp; VMAX High-Class Deck: Zeraora</x:v>
      </x:c>
      <x:c r="E422" t="str">
        <x:v>Reference count</x:v>
      </x:c>
      <x:c r="F422" t="n">
        <x:v>20</x:v>
      </x:c>
      <x:c r="G422" t="str">
        <x:v>product_numbered_checklist</x:v>
      </x:c>
      <x:c r="H422" t="str">
        <x:v>https://asia.pokemon-card.com/tw/card-search/ ; https://bulbapedia.bulbagarden.net/wiki/Pok%C3%A9mon_in_Taiwan</x:v>
      </x:c>
      <x:c r="I422" t="str">
        <x:v>zh-TW; distinct catalogue/checklist identities for this exact row scope</x:v>
      </x:c>
      <x:c r="J422" t="str">
        <x:v>VSTAR &amp; VMAX High-Class Deck: Zeraora numbered product identities (001/020–020/020); excludes unnumbered/basic-energy duplication.</x:v>
      </x:c>
      <x:c r="K422" t="str">
        <x:v>zh-TW-d5f405f1ae6f</x:v>
      </x:c>
      <x:c r="L422" t="str">
        <x:v>reference_count</x:v>
      </x:c>
    </x:row>
    <x:row r="423">
      <x:c r="A423" t="str">
        <x:v>REF-f564cea51e63</x:v>
      </x:c>
      <x:c r="B423" t="str">
        <x:v>2026-09-26-reference-counts</x:v>
      </x:c>
      <x:c r="C423" t="str">
        <x:v>zh-TW</x:v>
      </x:c>
      <x:c r="D423" t="str">
        <x:v>VSTAR Special Set</x:v>
      </x:c>
      <x:c r="E423" t="str">
        <x:v>Reference count</x:v>
      </x:c>
      <x:c r="F423" t="n">
        <x:v>6</x:v>
      </x:c>
      <x:c r="G423" t="str">
        <x:v>product_numbered_checklist</x:v>
      </x:c>
      <x:c r="H423" t="str">
        <x:v>https://asia.pokemon-card.com/tw/card-search/ ; https://bulbapedia.bulbagarden.net/wiki/Pok%C3%A9mon_in_Taiwan</x:v>
      </x:c>
      <x:c r="I423" t="str">
        <x:v>zh-TW; distinct catalogue/checklist identities for this exact row scope</x:v>
      </x:c>
      <x:c r="J423" t="str">
        <x:v>VSTAR Special Set product-specific numbered identities.</x:v>
      </x:c>
      <x:c r="K423" t="str">
        <x:v>zh-TW-c31260236d59</x:v>
      </x:c>
      <x:c r="L423" t="str">
        <x:v>reference_count</x:v>
      </x:c>
    </x:row>
    <x:row r="424">
      <x:c r="A424" t="str">
        <x:v>REF-a6c53956e906</x:v>
      </x:c>
      <x:c r="B424" t="str">
        <x:v>2026-09-26-reference-counts</x:v>
      </x:c>
      <x:c r="C424" t="str">
        <x:v>zh-TW</x:v>
      </x:c>
      <x:c r="D424" t="str">
        <x:v>Incandescent Arcana</x:v>
      </x:c>
      <x:c r="E424" t="str">
        <x:v>Reference count</x:v>
      </x:c>
      <x:c r="F424" t="n">
        <x:v>94</x:v>
      </x:c>
      <x:c r="G424" t="str">
        <x:v>synchronized_same_numbering</x:v>
      </x:c>
      <x:c r="H424" t="str">
        <x:v>https://bulbapedia.bulbagarden.net/wiki/Pok%C3%A9mon_in_Taiwan ; https://asia.pokemon-card.com/tw/card-search/</x:v>
      </x:c>
      <x:c r="I424" t="str">
        <x:v>zh-TW; distinct catalogue/checklist identities for this exact row scope</x:v>
      </x:c>
      <x:c r="J424" t="str">
        <x:v>Traditional Chinese release uses the synchronized Japanese card identities and numbering for this set; reference count inherited from the matching Japanese checklist.</x:v>
      </x:c>
      <x:c r="K424" t="str">
        <x:v>zh-TW-0cda223fc777</x:v>
      </x:c>
      <x:c r="L424" t="str">
        <x:v>reference_count</x:v>
      </x:c>
    </x:row>
    <x:row r="425">
      <x:c r="A425" t="str">
        <x:v>REF-191f3ffda898</x:v>
      </x:c>
      <x:c r="B425" t="str">
        <x:v>2026-09-26-reference-counts</x:v>
      </x:c>
      <x:c r="C425" t="str">
        <x:v>zh-TW</x:v>
      </x:c>
      <x:c r="D425" t="str">
        <x:v>Start Deck 100 Special Edition</x:v>
      </x:c>
      <x:c r="E425" t="str">
        <x:v>Reference count</x:v>
      </x:c>
      <x:c r="F425" t="n">
        <x:v>25</x:v>
      </x:c>
      <x:c r="G425" t="str">
        <x:v>product_numbered_checklist</x:v>
      </x:c>
      <x:c r="H425" t="str">
        <x:v>https://asia.pokemon-card.com/tw/card-search/ ; https://bulbapedia.bulbagarden.net/wiki/Pok%C3%A9mon_in_Taiwan</x:v>
      </x:c>
      <x:c r="I425" t="str">
        <x:v>zh-TW; distinct catalogue/checklist identities for this exact row scope</x:v>
      </x:c>
      <x:c r="J425" t="str">
        <x:v>Start Deck 100 Special Edition product-specific distinct catalogue identities.</x:v>
      </x:c>
      <x:c r="K425" t="str">
        <x:v>zh-TW-1d3741cdbc9b</x:v>
      </x:c>
      <x:c r="L425" t="str">
        <x:v>reference_count</x:v>
      </x:c>
    </x:row>
    <x:row r="426">
      <x:c r="A426" t="str">
        <x:v>REF-4e4f6b52fae7</x:v>
      </x:c>
      <x:c r="B426" t="str">
        <x:v>2026-09-26-reference-counts</x:v>
      </x:c>
      <x:c r="C426" t="str">
        <x:v>zh-TW</x:v>
      </x:c>
      <x:c r="D426" t="str">
        <x:v>Paradigm Trigger</x:v>
      </x:c>
      <x:c r="E426" t="str">
        <x:v>Reference count</x:v>
      </x:c>
      <x:c r="F426" t="n">
        <x:v>125</x:v>
      </x:c>
      <x:c r="G426" t="str">
        <x:v>synchronized_same_numbering</x:v>
      </x:c>
      <x:c r="H426" t="str">
        <x:v>https://bulbapedia.bulbagarden.net/wiki/Pok%C3%A9mon_in_Taiwan ; https://asia.pokemon-card.com/tw/card-search/</x:v>
      </x:c>
      <x:c r="I426" t="str">
        <x:v>zh-TW; distinct catalogue/checklist identities for this exact row scope</x:v>
      </x:c>
      <x:c r="J426" t="str">
        <x:v>Traditional Chinese release uses the synchronized Japanese card identities and numbering for this set; reference count inherited from the matching Japanese checklist.</x:v>
      </x:c>
      <x:c r="K426" t="str">
        <x:v>zh-TW-5be09528cd62</x:v>
      </x:c>
      <x:c r="L426" t="str">
        <x:v>reference_count</x:v>
      </x:c>
    </x:row>
    <x:row r="427">
      <x:c r="A427" t="str">
        <x:v>REF-0ff1ccf913d8</x:v>
      </x:c>
      <x:c r="B427" t="str">
        <x:v>2026-09-26-reference-counts</x:v>
      </x:c>
      <x:c r="C427" t="str">
        <x:v>zh-TW</x:v>
      </x:c>
      <x:c r="D427" t="str">
        <x:v>V Start Deck: Charizard</x:v>
      </x:c>
      <x:c r="E427" t="str">
        <x:v>Reference count</x:v>
      </x:c>
      <x:c r="F427" t="n">
        <x:v>21</x:v>
      </x:c>
      <x:c r="G427" t="str">
        <x:v>product_numbered_checklist</x:v>
      </x:c>
      <x:c r="H427" t="str">
        <x:v>https://asia.pokemon-card.com/tw/card-search/ ; https://bulbapedia.bulbagarden.net/wiki/Pok%C3%A9mon_in_Taiwan</x:v>
      </x:c>
      <x:c r="I427" t="str">
        <x:v>zh-TW; distinct catalogue/checklist identities for this exact row scope</x:v>
      </x:c>
      <x:c r="J427" t="str">
        <x:v>V Start Deck: Charizard distinct numbered identities.</x:v>
      </x:c>
      <x:c r="K427" t="str">
        <x:v>zh-TW-35e579fae35b</x:v>
      </x:c>
      <x:c r="L427" t="str">
        <x:v>reference_count</x:v>
      </x:c>
    </x:row>
    <x:row r="428">
      <x:c r="A428" t="str">
        <x:v>REF-a6b2f30c711a</x:v>
      </x:c>
      <x:c r="B428" t="str">
        <x:v>2026-09-26-reference-counts</x:v>
      </x:c>
      <x:c r="C428" t="str">
        <x:v>zh-TW</x:v>
      </x:c>
      <x:c r="D428" t="str">
        <x:v>V Start Deck: Mewtwo</x:v>
      </x:c>
      <x:c r="E428" t="str">
        <x:v>Reference count</x:v>
      </x:c>
      <x:c r="F428" t="n">
        <x:v>22</x:v>
      </x:c>
      <x:c r="G428" t="str">
        <x:v>product_numbered_checklist</x:v>
      </x:c>
      <x:c r="H428" t="str">
        <x:v>https://asia.pokemon-card.com/tw/card-search/ ; https://bulbapedia.bulbagarden.net/wiki/Pok%C3%A9mon_in_Taiwan</x:v>
      </x:c>
      <x:c r="I428" t="str">
        <x:v>zh-TW; distinct catalogue/checklist identities for this exact row scope</x:v>
      </x:c>
      <x:c r="J428" t="str">
        <x:v>V Start Deck: Mewtwo distinct numbered identities.</x:v>
      </x:c>
      <x:c r="K428" t="str">
        <x:v>zh-TW-a438f4fbf85e</x:v>
      </x:c>
      <x:c r="L428" t="str">
        <x:v>reference_count</x:v>
      </x:c>
    </x:row>
    <x:row r="429">
      <x:c r="A429" t="str">
        <x:v>REF-068af902a197</x:v>
      </x:c>
      <x:c r="B429" t="str">
        <x:v>2026-09-26-reference-counts</x:v>
      </x:c>
      <x:c r="C429" t="str">
        <x:v>zh-TW</x:v>
      </x:c>
      <x:c r="D429" t="str">
        <x:v>V Start Deck: Pikachu</x:v>
      </x:c>
      <x:c r="E429" t="str">
        <x:v>Reference count</x:v>
      </x:c>
      <x:c r="F429" t="n">
        <x:v>22</x:v>
      </x:c>
      <x:c r="G429" t="str">
        <x:v>product_numbered_checklist</x:v>
      </x:c>
      <x:c r="H429" t="str">
        <x:v>https://asia.pokemon-card.com/tw/card-search/ ; https://bulbapedia.bulbagarden.net/wiki/Pok%C3%A9mon_in_Taiwan</x:v>
      </x:c>
      <x:c r="I429" t="str">
        <x:v>zh-TW; distinct catalogue/checklist identities for this exact row scope</x:v>
      </x:c>
      <x:c r="J429" t="str">
        <x:v>V Start Deck: Pikachu distinct numbered identities.</x:v>
      </x:c>
      <x:c r="K429" t="str">
        <x:v>zh-TW-698096b84e15</x:v>
      </x:c>
      <x:c r="L429" t="str">
        <x:v>reference_count</x:v>
      </x:c>
    </x:row>
    <x:row r="430">
      <x:c r="A430" t="str">
        <x:v>REF-e4ba3e1d569d</x:v>
      </x:c>
      <x:c r="B430" t="str">
        <x:v>2026-09-26-reference-counts</x:v>
      </x:c>
      <x:c r="C430" t="str">
        <x:v>zh-TW</x:v>
      </x:c>
      <x:c r="D430" t="str">
        <x:v>VSTAR Universe</x:v>
      </x:c>
      <x:c r="E430" t="str">
        <x:v>Reference count</x:v>
      </x:c>
      <x:c r="F430" t="n">
        <x:v>262</x:v>
      </x:c>
      <x:c r="G430" t="str">
        <x:v>synchronized_same_numbering</x:v>
      </x:c>
      <x:c r="H430" t="str">
        <x:v>https://bulbapedia.bulbagarden.net/wiki/Pok%C3%A9mon_in_Taiwan ; https://asia.pokemon-card.com/tw/card-search/</x:v>
      </x:c>
      <x:c r="I430" t="str">
        <x:v>zh-TW; distinct catalogue/checklist identities for this exact row scope</x:v>
      </x:c>
      <x:c r="J430" t="str">
        <x:v>Traditional Chinese release uses the synchronized Japanese card identities and numbering for this set; reference count inherited from the matching Japanese checklist.</x:v>
      </x:c>
      <x:c r="K430" t="str">
        <x:v>zh-TW-f19bf711ab15</x:v>
      </x:c>
      <x:c r="L430" t="str">
        <x:v>reference_count</x:v>
      </x:c>
    </x:row>
    <x:row r="431">
      <x:c r="A431" t="str">
        <x:v>REF-127e704f3c80</x:v>
      </x:c>
      <x:c r="B431" t="str">
        <x:v>2026-09-26-reference-counts</x:v>
      </x:c>
      <x:c r="C431" t="str">
        <x:v>zh-TW</x:v>
      </x:c>
      <x:c r="D431" t="str">
        <x:v>Special Deck Set: Charizard VSTAR vs Rayquaza VMAX</x:v>
      </x:c>
      <x:c r="E431" t="str">
        <x:v>Reference count</x:v>
      </x:c>
      <x:c r="F431" t="n">
        <x:v>32</x:v>
      </x:c>
      <x:c r="G431" t="str">
        <x:v>product_numbered_checklist</x:v>
      </x:c>
      <x:c r="H431" t="str">
        <x:v>https://asia.pokemon-card.com/tw/card-search/ ; https://bulbapedia.bulbagarden.net/wiki/Pok%C3%A9mon_in_Taiwan</x:v>
      </x:c>
      <x:c r="I431" t="str">
        <x:v>zh-TW; distinct catalogue/checklist identities for this exact row scope</x:v>
      </x:c>
      <x:c r="J431" t="str">
        <x:v>Special Deck Set: Charizard VSTAR vs Rayquaza VMAX distinct numbered identities.</x:v>
      </x:c>
      <x:c r="K431" t="str">
        <x:v>zh-TW-6213b9de84cd</x:v>
      </x:c>
      <x:c r="L431" t="str">
        <x:v>reference_count</x:v>
      </x:c>
    </x:row>
    <x:row r="432">
      <x:c r="A432" t="str">
        <x:v>REF-e6f3f1df6592</x:v>
      </x:c>
      <x:c r="B432" t="str">
        <x:v>2026-09-26-reference-counts</x:v>
      </x:c>
      <x:c r="C432" t="str">
        <x:v>zh-TW</x:v>
      </x:c>
      <x:c r="D432" t="str">
        <x:v>Scarlet ex</x:v>
      </x:c>
      <x:c r="E432" t="str">
        <x:v>Reference count</x:v>
      </x:c>
      <x:c r="F432" t="n">
        <x:v>108</x:v>
      </x:c>
      <x:c r="G432" t="str">
        <x:v>synchronized_same_numbering</x:v>
      </x:c>
      <x:c r="H432" t="str">
        <x:v>https://bulbapedia.bulbagarden.net/wiki/Pok%C3%A9mon_in_Taiwan ; https://asia.pokemon-card.com/tw/card-search/</x:v>
      </x:c>
      <x:c r="I432" t="str">
        <x:v>zh-TW; distinct catalogue/checklist identities for this exact row scope</x:v>
      </x:c>
      <x:c r="J432" t="str">
        <x:v>Traditional Chinese release uses the synchronized Japanese card identities and numbering for this set; reference count inherited from the matching Japanese checklist.</x:v>
      </x:c>
      <x:c r="K432" t="str">
        <x:v>zh-TW-15c77b4e7ab4</x:v>
      </x:c>
      <x:c r="L432" t="str">
        <x:v>reference_count</x:v>
      </x:c>
    </x:row>
    <x:row r="433">
      <x:c r="A433" t="str">
        <x:v>REF-d30d66fae2dc</x:v>
      </x:c>
      <x:c r="B433" t="str">
        <x:v>2026-09-26-reference-counts</x:v>
      </x:c>
      <x:c r="C433" t="str">
        <x:v>zh-TW</x:v>
      </x:c>
      <x:c r="D433" t="str">
        <x:v>Starter Set ex: Fuecoco &amp; Ampharos ex</x:v>
      </x:c>
      <x:c r="E433" t="str">
        <x:v>Reference count</x:v>
      </x:c>
      <x:c r="F433" t="n">
        <x:v>24</x:v>
      </x:c>
      <x:c r="G433" t="str">
        <x:v>product_numbered_checklist</x:v>
      </x:c>
      <x:c r="H433" t="str">
        <x:v>https://asia.pokemon-card.com/tw/card-search/ ; https://bulbapedia.bulbagarden.net/wiki/Pok%C3%A9mon_in_Taiwan</x:v>
      </x:c>
      <x:c r="I433" t="str">
        <x:v>zh-TW; distinct catalogue/checklist identities for this exact row scope</x:v>
      </x:c>
      <x:c r="J433" t="str">
        <x:v>Starter Set ex: Fuecoco &amp; Ampharos ex distinct numbered identities.</x:v>
      </x:c>
      <x:c r="K433" t="str">
        <x:v>zh-TW-1431bed2cddd</x:v>
      </x:c>
      <x:c r="L433" t="str">
        <x:v>reference_count</x:v>
      </x:c>
    </x:row>
    <x:row r="434">
      <x:c r="A434" t="str">
        <x:v>REF-8ce226dd043a</x:v>
      </x:c>
      <x:c r="B434" t="str">
        <x:v>2026-09-26-reference-counts</x:v>
      </x:c>
      <x:c r="C434" t="str">
        <x:v>zh-TW</x:v>
      </x:c>
      <x:c r="D434" t="str">
        <x:v>Starter Set ex: Quaxly &amp; Mimikyu ex</x:v>
      </x:c>
      <x:c r="E434" t="str">
        <x:v>Reference count</x:v>
      </x:c>
      <x:c r="F434" t="n">
        <x:v>26</x:v>
      </x:c>
      <x:c r="G434" t="str">
        <x:v>product_numbered_checklist</x:v>
      </x:c>
      <x:c r="H434" t="str">
        <x:v>https://asia.pokemon-card.com/tw/card-search/ ; https://bulbapedia.bulbagarden.net/wiki/Pok%C3%A9mon_in_Taiwan</x:v>
      </x:c>
      <x:c r="I434" t="str">
        <x:v>zh-TW; distinct catalogue/checklist identities for this exact row scope</x:v>
      </x:c>
      <x:c r="J434" t="str">
        <x:v>Starter Set ex: Quaxly &amp; Mimikyu ex distinct numbered identities.</x:v>
      </x:c>
      <x:c r="K434" t="str">
        <x:v>zh-TW-0e91100f19e4</x:v>
      </x:c>
      <x:c r="L434" t="str">
        <x:v>reference_count</x:v>
      </x:c>
    </x:row>
    <x:row r="435">
      <x:c r="A435" t="str">
        <x:v>REF-24529e03c0fb</x:v>
      </x:c>
      <x:c r="B435" t="str">
        <x:v>2026-09-26-reference-counts</x:v>
      </x:c>
      <x:c r="C435" t="str">
        <x:v>zh-TW</x:v>
      </x:c>
      <x:c r="D435" t="str">
        <x:v>Starter Set ex: Sprigatito &amp; Lucario ex</x:v>
      </x:c>
      <x:c r="E435" t="str">
        <x:v>Reference count</x:v>
      </x:c>
      <x:c r="F435" t="n">
        <x:v>25</x:v>
      </x:c>
      <x:c r="G435" t="str">
        <x:v>product_numbered_checklist</x:v>
      </x:c>
      <x:c r="H435" t="str">
        <x:v>https://asia.pokemon-card.com/tw/card-search/ ; https://bulbapedia.bulbagarden.net/wiki/Pok%C3%A9mon_in_Taiwan</x:v>
      </x:c>
      <x:c r="I435" t="str">
        <x:v>zh-TW; distinct catalogue/checklist identities for this exact row scope</x:v>
      </x:c>
      <x:c r="J435" t="str">
        <x:v>Starter Set ex: Sprigatito &amp; Lucario ex distinct numbered identities.</x:v>
      </x:c>
      <x:c r="K435" t="str">
        <x:v>zh-TW-097b4570ee69</x:v>
      </x:c>
      <x:c r="L435" t="str">
        <x:v>reference_count</x:v>
      </x:c>
    </x:row>
    <x:row r="436">
      <x:c r="A436" t="str">
        <x:v>REF-55f057df3ac7</x:v>
      </x:c>
      <x:c r="B436" t="str">
        <x:v>2026-09-26-reference-counts</x:v>
      </x:c>
      <x:c r="C436" t="str">
        <x:v>zh-TW</x:v>
      </x:c>
      <x:c r="D436" t="str">
        <x:v>Violet ex</x:v>
      </x:c>
      <x:c r="E436" t="str">
        <x:v>Reference count</x:v>
      </x:c>
      <x:c r="F436" t="n">
        <x:v>108</x:v>
      </x:c>
      <x:c r="G436" t="str">
        <x:v>synchronized_same_numbering</x:v>
      </x:c>
      <x:c r="H436" t="str">
        <x:v>https://bulbapedia.bulbagarden.net/wiki/Pok%C3%A9mon_in_Taiwan ; https://asia.pokemon-card.com/tw/card-search/</x:v>
      </x:c>
      <x:c r="I436" t="str">
        <x:v>zh-TW; distinct catalogue/checklist identities for this exact row scope</x:v>
      </x:c>
      <x:c r="J436" t="str">
        <x:v>Traditional Chinese release uses the synchronized Japanese card identities and numbering for this set; reference count inherited from the matching Japanese checklist.</x:v>
      </x:c>
      <x:c r="K436" t="str">
        <x:v>zh-TW-88527930c211</x:v>
      </x:c>
      <x:c r="L436" t="str">
        <x:v>reference_count</x:v>
      </x:c>
    </x:row>
    <x:row r="437">
      <x:c r="A437" t="str">
        <x:v>REF-52b8a2290aff</x:v>
      </x:c>
      <x:c r="B437" t="str">
        <x:v>2026-09-26-reference-counts</x:v>
      </x:c>
      <x:c r="C437" t="str">
        <x:v>zh-TW</x:v>
      </x:c>
      <x:c r="D437" t="str">
        <x:v>Premium Trainer Box ex</x:v>
      </x:c>
      <x:c r="E437" t="str">
        <x:v>Reference count</x:v>
      </x:c>
      <x:c r="F437" t="n">
        <x:v>36</x:v>
      </x:c>
      <x:c r="G437" t="str">
        <x:v>product_numbered_checklist</x:v>
      </x:c>
      <x:c r="H437" t="str">
        <x:v>https://asia.pokemon-card.com/tw/card-search/ ; https://bulbapedia.bulbagarden.net/wiki/Pok%C3%A9mon_in_Taiwan</x:v>
      </x:c>
      <x:c r="I437" t="str">
        <x:v>zh-TW; distinct catalogue/checklist identities for this exact row scope</x:v>
      </x:c>
      <x:c r="J437" t="str">
        <x:v>Premium Trainer Box ex product-specific catalogue identities.</x:v>
      </x:c>
      <x:c r="K437" t="str">
        <x:v>zh-TW-ad64ada63d4e</x:v>
      </x:c>
      <x:c r="L437" t="str">
        <x:v>reference_count</x:v>
      </x:c>
    </x:row>
    <x:row r="438">
      <x:c r="A438" t="str">
        <x:v>REF-ff157e78d95d</x:v>
      </x:c>
      <x:c r="B438" t="str">
        <x:v>2026-09-26-reference-counts</x:v>
      </x:c>
      <x:c r="C438" t="str">
        <x:v>zh-TW</x:v>
      </x:c>
      <x:c r="D438" t="str">
        <x:v>Triplet Beat</x:v>
      </x:c>
      <x:c r="E438" t="str">
        <x:v>Reference count</x:v>
      </x:c>
      <x:c r="F438" t="n">
        <x:v>103</x:v>
      </x:c>
      <x:c r="G438" t="str">
        <x:v>synchronized_same_numbering</x:v>
      </x:c>
      <x:c r="H438" t="str">
        <x:v>https://bulbapedia.bulbagarden.net/wiki/Pok%C3%A9mon_in_Taiwan ; https://asia.pokemon-card.com/tw/card-search/</x:v>
      </x:c>
      <x:c r="I438" t="str">
        <x:v>zh-TW; distinct catalogue/checklist identities for this exact row scope</x:v>
      </x:c>
      <x:c r="J438" t="str">
        <x:v>Traditional Chinese release uses the synchronized Japanese card identities and numbering for this set; reference count inherited from the matching Japanese checklist.</x:v>
      </x:c>
      <x:c r="K438" t="str">
        <x:v>zh-TW-a9afe84246a2</x:v>
      </x:c>
      <x:c r="L438" t="str">
        <x:v>reference_count</x:v>
      </x:c>
    </x:row>
    <x:row r="439">
      <x:c r="A439" t="str">
        <x:v>REF-eda932a6fdb5</x:v>
      </x:c>
      <x:c r="B439" t="str">
        <x:v>2026-09-26-reference-counts</x:v>
      </x:c>
      <x:c r="C439" t="str">
        <x:v>zh-TW</x:v>
      </x:c>
      <x:c r="D439" t="str">
        <x:v>Clay Burst</x:v>
      </x:c>
      <x:c r="E439" t="str">
        <x:v>Reference count</x:v>
      </x:c>
      <x:c r="F439" t="n">
        <x:v>99</x:v>
      </x:c>
      <x:c r="G439" t="str">
        <x:v>synchronized_same_numbering</x:v>
      </x:c>
      <x:c r="H439" t="str">
        <x:v>https://bulbapedia.bulbagarden.net/wiki/Pok%C3%A9mon_in_Taiwan ; https://asia.pokemon-card.com/tw/card-search/</x:v>
      </x:c>
      <x:c r="I439" t="str">
        <x:v>zh-TW; distinct catalogue/checklist identities for this exact row scope</x:v>
      </x:c>
      <x:c r="J439" t="str">
        <x:v>Traditional Chinese release uses the synchronized Japanese card identities and numbering for this set; reference count inherited from the matching Japanese checklist.</x:v>
      </x:c>
      <x:c r="K439" t="str">
        <x:v>zh-TW-294bff0baa30</x:v>
      </x:c>
      <x:c r="L439" t="str">
        <x:v>reference_count</x:v>
      </x:c>
    </x:row>
    <x:row r="440">
      <x:c r="A440" t="str">
        <x:v>REF-301842f18cb7</x:v>
      </x:c>
      <x:c r="B440" t="str">
        <x:v>2026-09-26-reference-counts</x:v>
      </x:c>
      <x:c r="C440" t="str">
        <x:v>zh-TW</x:v>
      </x:c>
      <x:c r="D440" t="str">
        <x:v>Snow Hazard</x:v>
      </x:c>
      <x:c r="E440" t="str">
        <x:v>Reference count</x:v>
      </x:c>
      <x:c r="F440" t="n">
        <x:v>99</x:v>
      </x:c>
      <x:c r="G440" t="str">
        <x:v>synchronized_same_numbering</x:v>
      </x:c>
      <x:c r="H440" t="str">
        <x:v>https://bulbapedia.bulbagarden.net/wiki/Pok%C3%A9mon_in_Taiwan ; https://asia.pokemon-card.com/tw/card-search/</x:v>
      </x:c>
      <x:c r="I440" t="str">
        <x:v>zh-TW; distinct catalogue/checklist identities for this exact row scope</x:v>
      </x:c>
      <x:c r="J440" t="str">
        <x:v>Traditional Chinese release uses the synchronized Japanese card identities and numbering for this set; reference count inherited from the matching Japanese checklist.</x:v>
      </x:c>
      <x:c r="K440" t="str">
        <x:v>zh-TW-2d7f316f10e4</x:v>
      </x:c>
      <x:c r="L440" t="str">
        <x:v>reference_count</x:v>
      </x:c>
    </x:row>
    <x:row r="441">
      <x:c r="A441" t="str">
        <x:v>REF-c21be14093a1</x:v>
      </x:c>
      <x:c r="B441" t="str">
        <x:v>2026-09-26-reference-counts</x:v>
      </x:c>
      <x:c r="C441" t="str">
        <x:v>zh-TW</x:v>
      </x:c>
      <x:c r="D441" t="str">
        <x:v>Starter Set ex: Pikachu Special Set</x:v>
      </x:c>
      <x:c r="E441" t="str">
        <x:v>Reference count</x:v>
      </x:c>
      <x:c r="F441" t="n">
        <x:v>22</x:v>
      </x:c>
      <x:c r="G441" t="str">
        <x:v>product_numbered_checklist</x:v>
      </x:c>
      <x:c r="H441" t="str">
        <x:v>https://asia.pokemon-card.com/tw/card-search/ ; https://bulbapedia.bulbagarden.net/wiki/Pok%C3%A9mon_in_Taiwan</x:v>
      </x:c>
      <x:c r="I441" t="str">
        <x:v>zh-TW; distinct catalogue/checklist identities for this exact row scope</x:v>
      </x:c>
      <x:c r="J441" t="str">
        <x:v>Starter Set ex: Pikachu Special Set distinct numbered identities.</x:v>
      </x:c>
      <x:c r="K441" t="str">
        <x:v>zh-TW-51bdd451cf9e</x:v>
      </x:c>
      <x:c r="L441" t="str">
        <x:v>reference_count</x:v>
      </x:c>
    </x:row>
    <x:row r="442">
      <x:c r="A442" t="str">
        <x:v>REF-27d0629ba385</x:v>
      </x:c>
      <x:c r="B442" t="str">
        <x:v>2026-09-26-reference-counts</x:v>
      </x:c>
      <x:c r="C442" t="str">
        <x:v>zh-TW</x:v>
      </x:c>
      <x:c r="D442" t="str">
        <x:v>ex Special Set</x:v>
      </x:c>
      <x:c r="E442" t="str">
        <x:v>Reference count</x:v>
      </x:c>
      <x:c r="F442" t="n">
        <x:v>7</x:v>
      </x:c>
      <x:c r="G442" t="str">
        <x:v>product_numbered_checklist</x:v>
      </x:c>
      <x:c r="H442" t="str">
        <x:v>https://asia.pokemon-card.com/tw/card-search/ ; https://bulbapedia.bulbagarden.net/wiki/Pok%C3%A9mon_in_Taiwan</x:v>
      </x:c>
      <x:c r="I442" t="str">
        <x:v>zh-TW; distinct catalogue/checklist identities for this exact row scope</x:v>
      </x:c>
      <x:c r="J442" t="str">
        <x:v>ex Special Set product-specific distinct numbered identities.</x:v>
      </x:c>
      <x:c r="K442" t="str">
        <x:v>zh-TW-2bde775c2fe4</x:v>
      </x:c>
      <x:c r="L442" t="str">
        <x:v>reference_count</x:v>
      </x:c>
    </x:row>
    <x:row r="443">
      <x:c r="A443" t="str">
        <x:v>REF-df75ace66f84</x:v>
      </x:c>
      <x:c r="B443" t="str">
        <x:v>2026-09-26-reference-counts</x:v>
      </x:c>
      <x:c r="C443" t="str">
        <x:v>zh-TW</x:v>
      </x:c>
      <x:c r="D443" t="str">
        <x:v>ex Start Decks</x:v>
      </x:c>
      <x:c r="E443" t="str">
        <x:v>Reference count</x:v>
      </x:c>
      <x:c r="F443" t="n">
        <x:v>147</x:v>
      </x:c>
      <x:c r="G443" t="str">
        <x:v>product_numbered_checklist</x:v>
      </x:c>
      <x:c r="H443" t="str">
        <x:v>https://asia.pokemon-card.com/tw/card-search/ ; https://bulbapedia.bulbagarden.net/wiki/Pok%C3%A9mon_in_Taiwan</x:v>
      </x:c>
      <x:c r="I443" t="str">
        <x:v>zh-TW; distinct catalogue/checklist identities for this exact row scope</x:v>
      </x:c>
      <x:c r="J443" t="str">
        <x:v>ex Start Decks combined distinct catalogue pool in this product-family scope.</x:v>
      </x:c>
      <x:c r="K443" t="str">
        <x:v>zh-TW-16c34ed22967</x:v>
      </x:c>
      <x:c r="L443" t="str">
        <x:v>reference_count</x:v>
      </x:c>
    </x:row>
    <x:row r="444">
      <x:c r="A444" t="str">
        <x:v>REF-e09a08b145bb</x:v>
      </x:c>
      <x:c r="B444" t="str">
        <x:v>2026-09-26-reference-counts</x:v>
      </x:c>
      <x:c r="C444" t="str">
        <x:v>zh-TW</x:v>
      </x:c>
      <x:c r="D444" t="str">
        <x:v>Deck Build Box Ruler of the Black Flame</x:v>
      </x:c>
      <x:c r="E444" t="str">
        <x:v>Reference count</x:v>
      </x:c>
      <x:c r="F444" t="n">
        <x:v>46</x:v>
      </x:c>
      <x:c r="G444" t="str">
        <x:v>product_numbered_checklist</x:v>
      </x:c>
      <x:c r="H444" t="str">
        <x:v>https://asia.pokemon-card.com/tw/card-search/ ; https://bulbapedia.bulbagarden.net/wiki/Pok%C3%A9mon_in_Taiwan</x:v>
      </x:c>
      <x:c r="I444" t="str">
        <x:v>zh-TW; distinct catalogue/checklist identities for this exact row scope</x:v>
      </x:c>
      <x:c r="J444" t="str">
        <x:v>Deck Build Box Ruler of the Black Flame product-specific catalogue identities.</x:v>
      </x:c>
      <x:c r="K444" t="str">
        <x:v>zh-TW-17bf7041d61f</x:v>
      </x:c>
      <x:c r="L444" t="str">
        <x:v>reference_count</x:v>
      </x:c>
    </x:row>
    <x:row r="445">
      <x:c r="A445" t="str">
        <x:v>REF-4504dfd60e82</x:v>
      </x:c>
      <x:c r="B445" t="str">
        <x:v>2026-09-26-reference-counts</x:v>
      </x:c>
      <x:c r="C445" t="str">
        <x:v>zh-TW</x:v>
      </x:c>
      <x:c r="D445" t="str">
        <x:v>Ruler of the Black Flame</x:v>
      </x:c>
      <x:c r="E445" t="str">
        <x:v>Reference count</x:v>
      </x:c>
      <x:c r="F445" t="n">
        <x:v>141</x:v>
      </x:c>
      <x:c r="G445" t="str">
        <x:v>synchronized_same_numbering</x:v>
      </x:c>
      <x:c r="H445" t="str">
        <x:v>https://bulbapedia.bulbagarden.net/wiki/Pok%C3%A9mon_in_Taiwan ; https://asia.pokemon-card.com/tw/card-search/</x:v>
      </x:c>
      <x:c r="I445" t="str">
        <x:v>zh-TW; distinct catalogue/checklist identities for this exact row scope</x:v>
      </x:c>
      <x:c r="J445" t="str">
        <x:v>Traditional Chinese release uses the synchronized Japanese card identities and numbering for this set; reference count inherited from the matching Japanese checklist.</x:v>
      </x:c>
      <x:c r="K445" t="str">
        <x:v>zh-TW-97582d8a2d7c</x:v>
      </x:c>
      <x:c r="L445" t="str">
        <x:v>reference_count</x:v>
      </x:c>
    </x:row>
    <x:row r="446">
      <x:c r="A446" t="str">
        <x:v>REF-ef90c73acb7a</x:v>
      </x:c>
      <x:c r="B446" t="str">
        <x:v>2026-09-26-reference-counts</x:v>
      </x:c>
      <x:c r="C446" t="str">
        <x:v>zh-TW</x:v>
      </x:c>
      <x:c r="D446" t="str">
        <x:v>Raging Surf</x:v>
      </x:c>
      <x:c r="E446" t="str">
        <x:v>Reference count</x:v>
      </x:c>
      <x:c r="F446" t="n">
        <x:v>92</x:v>
      </x:c>
      <x:c r="G446" t="str">
        <x:v>synchronized_same_numbering</x:v>
      </x:c>
      <x:c r="H446" t="str">
        <x:v>https://bulbapedia.bulbagarden.net/wiki/Pok%C3%A9mon_in_Taiwan ; https://asia.pokemon-card.com/tw/card-search/</x:v>
      </x:c>
      <x:c r="I446" t="str">
        <x:v>zh-TW; distinct catalogue/checklist identities for this exact row scope</x:v>
      </x:c>
      <x:c r="J446" t="str">
        <x:v>Traditional Chinese release uses the synchronized Japanese card identities and numbering for this set; reference count inherited from the matching Japanese checklist.</x:v>
      </x:c>
      <x:c r="K446" t="str">
        <x:v>zh-TW-a993463f10a7</x:v>
      </x:c>
      <x:c r="L446" t="str">
        <x:v>reference_count</x:v>
      </x:c>
    </x:row>
    <x:row r="447">
      <x:c r="A447" t="str">
        <x:v>REF-43bedfef14dd</x:v>
      </x:c>
      <x:c r="B447" t="str">
        <x:v>2026-09-26-reference-counts</x:v>
      </x:c>
      <x:c r="C447" t="str">
        <x:v>zh-TW</x:v>
      </x:c>
      <x:c r="D447" t="str">
        <x:v>Starter Set: Tera Mewtwo ex</x:v>
      </x:c>
      <x:c r="E447" t="str">
        <x:v>Reference count</x:v>
      </x:c>
      <x:c r="F447" t="n">
        <x:v>21</x:v>
      </x:c>
      <x:c r="G447" t="str">
        <x:v>product_numbered_checklist</x:v>
      </x:c>
      <x:c r="H447" t="str">
        <x:v>https://asia.pokemon-card.com/tw/card-search/ ; https://bulbapedia.bulbagarden.net/wiki/Pok%C3%A9mon_in_Taiwan</x:v>
      </x:c>
      <x:c r="I447" t="str">
        <x:v>zh-TW; distinct catalogue/checklist identities for this exact row scope</x:v>
      </x:c>
      <x:c r="J447" t="str">
        <x:v>Starter Set: Tera Mewtwo ex distinct numbered identities.</x:v>
      </x:c>
      <x:c r="K447" t="str">
        <x:v>zh-TW-dd10ca3114e3</x:v>
      </x:c>
      <x:c r="L447" t="str">
        <x:v>reference_count</x:v>
      </x:c>
    </x:row>
    <x:row r="448">
      <x:c r="A448" t="str">
        <x:v>REF-eebdd193486d</x:v>
      </x:c>
      <x:c r="B448" t="str">
        <x:v>2026-09-26-reference-counts</x:v>
      </x:c>
      <x:c r="C448" t="str">
        <x:v>zh-TW</x:v>
      </x:c>
      <x:c r="D448" t="str">
        <x:v>Starter Set: Tera Skeledirge ex</x:v>
      </x:c>
      <x:c r="E448" t="str">
        <x:v>Reference count</x:v>
      </x:c>
      <x:c r="F448" t="n">
        <x:v>21</x:v>
      </x:c>
      <x:c r="G448" t="str">
        <x:v>product_numbered_checklist</x:v>
      </x:c>
      <x:c r="H448" t="str">
        <x:v>https://asia.pokemon-card.com/tw/card-search/ ; https://bulbapedia.bulbagarden.net/wiki/Pok%C3%A9mon_in_Taiwan</x:v>
      </x:c>
      <x:c r="I448" t="str">
        <x:v>zh-TW; distinct catalogue/checklist identities for this exact row scope</x:v>
      </x:c>
      <x:c r="J448" t="str">
        <x:v>Starter Set: Tera Skeledirge ex distinct numbered identities.</x:v>
      </x:c>
      <x:c r="K448" t="str">
        <x:v>zh-TW-223009b1f580</x:v>
      </x:c>
      <x:c r="L448" t="str">
        <x:v>reference_count</x:v>
      </x:c>
    </x:row>
    <x:row r="449">
      <x:c r="A449" t="str">
        <x:v>REF-097501a0fa6e</x:v>
      </x:c>
      <x:c r="B449" t="str">
        <x:v>2026-09-26-reference-counts</x:v>
      </x:c>
      <x:c r="C449" t="str">
        <x:v>zh-TW</x:v>
      </x:c>
      <x:c r="D449" t="str">
        <x:v>Ancient Roar</x:v>
      </x:c>
      <x:c r="E449" t="str">
        <x:v>Reference count</x:v>
      </x:c>
      <x:c r="F449" t="n">
        <x:v>95</x:v>
      </x:c>
      <x:c r="G449" t="str">
        <x:v>synchronized_same_numbering</x:v>
      </x:c>
      <x:c r="H449" t="str">
        <x:v>https://bulbapedia.bulbagarden.net/wiki/Pok%C3%A9mon_in_Taiwan ; https://asia.pokemon-card.com/tw/card-search/</x:v>
      </x:c>
      <x:c r="I449" t="str">
        <x:v>zh-TW; distinct catalogue/checklist identities for this exact row scope</x:v>
      </x:c>
      <x:c r="J449" t="str">
        <x:v>Traditional Chinese release uses the synchronized Japanese card identities and numbering for this set; reference count inherited from the matching Japanese checklist.</x:v>
      </x:c>
      <x:c r="K449" t="str">
        <x:v>zh-TW-6b7f80cfa785</x:v>
      </x:c>
      <x:c r="L449" t="str">
        <x:v>reference_count</x:v>
      </x:c>
    </x:row>
    <x:row r="450">
      <x:c r="A450" t="str">
        <x:v>REF-6b70f4576472</x:v>
      </x:c>
      <x:c r="B450" t="str">
        <x:v>2026-09-26-reference-counts</x:v>
      </x:c>
      <x:c r="C450" t="str">
        <x:v>zh-TW</x:v>
      </x:c>
      <x:c r="D450" t="str">
        <x:v>Future Flash</x:v>
      </x:c>
      <x:c r="E450" t="str">
        <x:v>Reference count</x:v>
      </x:c>
      <x:c r="F450" t="n">
        <x:v>95</x:v>
      </x:c>
      <x:c r="G450" t="str">
        <x:v>synchronized_same_numbering</x:v>
      </x:c>
      <x:c r="H450" t="str">
        <x:v>https://bulbapedia.bulbagarden.net/wiki/Pok%C3%A9mon_in_Taiwan ; https://asia.pokemon-card.com/tw/card-search/</x:v>
      </x:c>
      <x:c r="I450" t="str">
        <x:v>zh-TW; distinct catalogue/checklist identities for this exact row scope</x:v>
      </x:c>
      <x:c r="J450" t="str">
        <x:v>Traditional Chinese release uses the synchronized Japanese card identities and numbering for this set; reference count inherited from the matching Japanese checklist.</x:v>
      </x:c>
      <x:c r="K450" t="str">
        <x:v>zh-TW-f036e3380424</x:v>
      </x:c>
      <x:c r="L450" t="str">
        <x:v>reference_count</x:v>
      </x:c>
    </x:row>
    <x:row r="451">
      <x:c r="A451" t="str">
        <x:v>REF-7615af9dcd3f</x:v>
      </x:c>
      <x:c r="B451" t="str">
        <x:v>2026-09-26-reference-counts</x:v>
      </x:c>
      <x:c r="C451" t="str">
        <x:v>zh-TW</x:v>
      </x:c>
      <x:c r="D451" t="str">
        <x:v>Cyber Judge</x:v>
      </x:c>
      <x:c r="E451" t="str">
        <x:v>Reference count</x:v>
      </x:c>
      <x:c r="F451" t="n">
        <x:v>100</x:v>
      </x:c>
      <x:c r="G451" t="str">
        <x:v>synchronized_same_numbering</x:v>
      </x:c>
      <x:c r="H451" t="str">
        <x:v>https://bulbapedia.bulbagarden.net/wiki/Pok%C3%A9mon_in_Taiwan ; https://asia.pokemon-card.com/tw/card-search/</x:v>
      </x:c>
      <x:c r="I451" t="str">
        <x:v>zh-TW; distinct catalogue/checklist identities for this exact row scope</x:v>
      </x:c>
      <x:c r="J451" t="str">
        <x:v>Traditional Chinese release uses the synchronized Japanese card identities and numbering for this set; reference count inherited from the matching Japanese checklist.</x:v>
      </x:c>
      <x:c r="K451" t="str">
        <x:v>zh-TW-59408e931538</x:v>
      </x:c>
      <x:c r="L451" t="str">
        <x:v>reference_count</x:v>
      </x:c>
    </x:row>
    <x:row r="452">
      <x:c r="A452" t="str">
        <x:v>REF-12e1252c787b</x:v>
      </x:c>
      <x:c r="B452" t="str">
        <x:v>2026-09-26-reference-counts</x:v>
      </x:c>
      <x:c r="C452" t="str">
        <x:v>zh-TW</x:v>
      </x:c>
      <x:c r="D452" t="str">
        <x:v>Starter Set: Ancient Koraidon ex</x:v>
      </x:c>
      <x:c r="E452" t="str">
        <x:v>Reference count</x:v>
      </x:c>
      <x:c r="F452" t="n">
        <x:v>24</x:v>
      </x:c>
      <x:c r="G452" t="str">
        <x:v>product_numbered_checklist</x:v>
      </x:c>
      <x:c r="H452" t="str">
        <x:v>https://asia.pokemon-card.com/tw/card-search/ ; https://bulbapedia.bulbagarden.net/wiki/Pok%C3%A9mon_in_Taiwan</x:v>
      </x:c>
      <x:c r="I452" t="str">
        <x:v>zh-TW; distinct catalogue/checklist identities for this exact row scope</x:v>
      </x:c>
      <x:c r="J452" t="str">
        <x:v>Starter Set: Ancient Koraidon ex distinct numbered identities.</x:v>
      </x:c>
      <x:c r="K452" t="str">
        <x:v>zh-TW-ce9c29c7e2f0</x:v>
      </x:c>
      <x:c r="L452" t="str">
        <x:v>reference_count</x:v>
      </x:c>
    </x:row>
    <x:row r="453">
      <x:c r="A453" t="str">
        <x:v>REF-41584c1d937c</x:v>
      </x:c>
      <x:c r="B453" t="str">
        <x:v>2026-09-26-reference-counts</x:v>
      </x:c>
      <x:c r="C453" t="str">
        <x:v>zh-TW</x:v>
      </x:c>
      <x:c r="D453" t="str">
        <x:v>Starter Set: Future Miraidon ex</x:v>
      </x:c>
      <x:c r="E453" t="str">
        <x:v>Reference count</x:v>
      </x:c>
      <x:c r="F453" t="n">
        <x:v>24</x:v>
      </x:c>
      <x:c r="G453" t="str">
        <x:v>product_numbered_checklist</x:v>
      </x:c>
      <x:c r="H453" t="str">
        <x:v>https://asia.pokemon-card.com/tw/card-search/ ; https://bulbapedia.bulbagarden.net/wiki/Pok%C3%A9mon_in_Taiwan</x:v>
      </x:c>
      <x:c r="I453" t="str">
        <x:v>zh-TW; distinct catalogue/checklist identities for this exact row scope</x:v>
      </x:c>
      <x:c r="J453" t="str">
        <x:v>Starter Set: Future Miraidon ex distinct numbered identities.</x:v>
      </x:c>
      <x:c r="K453" t="str">
        <x:v>zh-TW-016cca521d10</x:v>
      </x:c>
      <x:c r="L453" t="str">
        <x:v>reference_count</x:v>
      </x:c>
    </x:row>
    <x:row r="454">
      <x:c r="A454" t="str">
        <x:v>REF-ecf01a6da3df</x:v>
      </x:c>
      <x:c r="B454" t="str">
        <x:v>2026-09-26-reference-counts</x:v>
      </x:c>
      <x:c r="C454" t="str">
        <x:v>zh-TW</x:v>
      </x:c>
      <x:c r="D454" t="str">
        <x:v>Wild Force</x:v>
      </x:c>
      <x:c r="E454" t="str">
        <x:v>Reference count</x:v>
      </x:c>
      <x:c r="F454" t="n">
        <x:v>100</x:v>
      </x:c>
      <x:c r="G454" t="str">
        <x:v>synchronized_same_numbering</x:v>
      </x:c>
      <x:c r="H454" t="str">
        <x:v>https://bulbapedia.bulbagarden.net/wiki/Pok%C3%A9mon_in_Taiwan ; https://asia.pokemon-card.com/tw/card-search/</x:v>
      </x:c>
      <x:c r="I454" t="str">
        <x:v>zh-TW; distinct catalogue/checklist identities for this exact row scope</x:v>
      </x:c>
      <x:c r="J454" t="str">
        <x:v>Traditional Chinese release uses the synchronized Japanese card identities and numbering for this set; reference count inherited from the matching Japanese checklist.</x:v>
      </x:c>
      <x:c r="K454" t="str">
        <x:v>zh-TW-b6835058e99c</x:v>
      </x:c>
      <x:c r="L454" t="str">
        <x:v>reference_count</x:v>
      </x:c>
    </x:row>
    <x:row r="455">
      <x:c r="A455" t="str">
        <x:v>REF-0df48a60de19</x:v>
      </x:c>
      <x:c r="B455" t="str">
        <x:v>2026-09-26-reference-counts</x:v>
      </x:c>
      <x:c r="C455" t="str">
        <x:v>zh-TW</x:v>
      </x:c>
      <x:c r="D455" t="str">
        <x:v>Crimson Haze</x:v>
      </x:c>
      <x:c r="E455" t="str">
        <x:v>Reference count</x:v>
      </x:c>
      <x:c r="F455" t="n">
        <x:v>96</x:v>
      </x:c>
      <x:c r="G455" t="str">
        <x:v>synchronized_same_numbering</x:v>
      </x:c>
      <x:c r="H455" t="str">
        <x:v>https://bulbapedia.bulbagarden.net/wiki/Pok%C3%A9mon_in_Taiwan ; https://asia.pokemon-card.com/tw/card-search/</x:v>
      </x:c>
      <x:c r="I455" t="str">
        <x:v>zh-TW; distinct catalogue/checklist identities for this exact row scope</x:v>
      </x:c>
      <x:c r="J455" t="str">
        <x:v>Traditional Chinese release uses the synchronized Japanese card identities and numbering for this set; reference count inherited from the matching Japanese checklist.</x:v>
      </x:c>
      <x:c r="K455" t="str">
        <x:v>zh-TW-8fe572a829b0</x:v>
      </x:c>
      <x:c r="L455" t="str">
        <x:v>reference_count</x:v>
      </x:c>
    </x:row>
    <x:row r="456">
      <x:c r="A456" t="str">
        <x:v>REF-9cf66eeffe65</x:v>
      </x:c>
      <x:c r="B456" t="str">
        <x:v>2026-09-26-reference-counts</x:v>
      </x:c>
      <x:c r="C456" t="str">
        <x:v>zh-TW</x:v>
      </x:c>
      <x:c r="D456" t="str">
        <x:v>Transformation Mask</x:v>
      </x:c>
      <x:c r="E456" t="str">
        <x:v>Reference count</x:v>
      </x:c>
      <x:c r="F456" t="n">
        <x:v>133</x:v>
      </x:c>
      <x:c r="G456" t="str">
        <x:v>synchronized_same_numbering</x:v>
      </x:c>
      <x:c r="H456" t="str">
        <x:v>https://bulbapedia.bulbagarden.net/wiki/Pok%C3%A9mon_in_Taiwan ; https://asia.pokemon-card.com/tw/card-search/</x:v>
      </x:c>
      <x:c r="I456" t="str">
        <x:v>zh-TW; distinct catalogue/checklist identities for this exact row scope</x:v>
      </x:c>
      <x:c r="J456" t="str">
        <x:v>Traditional Chinese release uses the synchronized Japanese card identities and numbering for this set; reference count inherited from the matching Japanese checklist.</x:v>
      </x:c>
      <x:c r="K456" t="str">
        <x:v>zh-TW-98e99def19ee</x:v>
      </x:c>
      <x:c r="L456" t="str">
        <x:v>reference_count</x:v>
      </x:c>
    </x:row>
    <x:row r="457">
      <x:c r="A457" t="str">
        <x:v>REF-44d2a56bf62e</x:v>
      </x:c>
      <x:c r="B457" t="str">
        <x:v>2026-09-26-reference-counts</x:v>
      </x:c>
      <x:c r="C457" t="str">
        <x:v>zh-TW</x:v>
      </x:c>
      <x:c r="D457" t="str">
        <x:v>Night Wanderer</x:v>
      </x:c>
      <x:c r="E457" t="str">
        <x:v>Reference count</x:v>
      </x:c>
      <x:c r="F457" t="n">
        <x:v>94</x:v>
      </x:c>
      <x:c r="G457" t="str">
        <x:v>synchronized_same_numbering</x:v>
      </x:c>
      <x:c r="H457" t="str">
        <x:v>https://bulbapedia.bulbagarden.net/wiki/Pok%C3%A9mon_in_Taiwan ; https://asia.pokemon-card.com/tw/card-search/</x:v>
      </x:c>
      <x:c r="I457" t="str">
        <x:v>zh-TW; distinct catalogue/checklist identities for this exact row scope</x:v>
      </x:c>
      <x:c r="J457" t="str">
        <x:v>Traditional Chinese release uses the synchronized Japanese card identities and numbering for this set; reference count inherited from the matching Japanese checklist.</x:v>
      </x:c>
      <x:c r="K457" t="str">
        <x:v>zh-TW-04373519f7b5</x:v>
      </x:c>
      <x:c r="L457" t="str">
        <x:v>reference_count</x:v>
      </x:c>
    </x:row>
    <x:row r="458">
      <x:c r="A458" t="str">
        <x:v>REF-1cbadfc77a0c</x:v>
      </x:c>
      <x:c r="B458" t="str">
        <x:v>2026-09-26-reference-counts</x:v>
      </x:c>
      <x:c r="C458" t="str">
        <x:v>zh-TW</x:v>
      </x:c>
      <x:c r="D458" t="str">
        <x:v>Tactical Deck: Gardevoir ex</x:v>
      </x:c>
      <x:c r="E458" t="str">
        <x:v>Reference count</x:v>
      </x:c>
      <x:c r="F458" t="n">
        <x:v>22</x:v>
      </x:c>
      <x:c r="G458" t="str">
        <x:v>product_numbered_checklist</x:v>
      </x:c>
      <x:c r="H458" t="str">
        <x:v>https://asia.pokemon-card.com/tw/card-search/ ; https://bulbapedia.bulbagarden.net/wiki/Pok%C3%A9mon_in_Taiwan</x:v>
      </x:c>
      <x:c r="I458" t="str">
        <x:v>zh-TW; distinct catalogue/checklist identities for this exact row scope</x:v>
      </x:c>
      <x:c r="J458" t="str">
        <x:v>Tactical Deck: Gardevoir ex distinct numbered identities.</x:v>
      </x:c>
      <x:c r="K458" t="str">
        <x:v>zh-TW-4de816b05a4e</x:v>
      </x:c>
      <x:c r="L458" t="str">
        <x:v>reference_count</x:v>
      </x:c>
    </x:row>
    <x:row r="459">
      <x:c r="A459" t="str">
        <x:v>REF-f55ca2a28fd0</x:v>
      </x:c>
      <x:c r="B459" t="str">
        <x:v>2026-09-26-reference-counts</x:v>
      </x:c>
      <x:c r="C459" t="str">
        <x:v>zh-TW</x:v>
      </x:c>
      <x:c r="D459" t="str">
        <x:v>Tactical Deck: Meowscarada ex</x:v>
      </x:c>
      <x:c r="E459" t="str">
        <x:v>Reference count</x:v>
      </x:c>
      <x:c r="F459" t="n">
        <x:v>22</x:v>
      </x:c>
      <x:c r="G459" t="str">
        <x:v>product_numbered_checklist</x:v>
      </x:c>
      <x:c r="H459" t="str">
        <x:v>https://asia.pokemon-card.com/tw/card-search/ ; https://bulbapedia.bulbagarden.net/wiki/Pok%C3%A9mon_in_Taiwan</x:v>
      </x:c>
      <x:c r="I459" t="str">
        <x:v>zh-TW; distinct catalogue/checklist identities for this exact row scope</x:v>
      </x:c>
      <x:c r="J459" t="str">
        <x:v>Tactical Deck: Meowscarada ex distinct numbered identities.</x:v>
      </x:c>
      <x:c r="K459" t="str">
        <x:v>zh-TW-c9078c8d0f32</x:v>
      </x:c>
      <x:c r="L459" t="str">
        <x:v>reference_count</x:v>
      </x:c>
    </x:row>
    <x:row r="460">
      <x:c r="A460" t="str">
        <x:v>REF-c8551b0ed86c</x:v>
      </x:c>
      <x:c r="B460" t="str">
        <x:v>2026-09-26-reference-counts</x:v>
      </x:c>
      <x:c r="C460" t="str">
        <x:v>zh-TW</x:v>
      </x:c>
      <x:c r="D460" t="str">
        <x:v>Tactical Deck: Miraidon ex</x:v>
      </x:c>
      <x:c r="E460" t="str">
        <x:v>Reference count</x:v>
      </x:c>
      <x:c r="F460" t="n">
        <x:v>21</x:v>
      </x:c>
      <x:c r="G460" t="str">
        <x:v>product_numbered_checklist</x:v>
      </x:c>
      <x:c r="H460" t="str">
        <x:v>https://asia.pokemon-card.com/tw/card-search/ ; https://bulbapedia.bulbagarden.net/wiki/Pok%C3%A9mon_in_Taiwan</x:v>
      </x:c>
      <x:c r="I460" t="str">
        <x:v>zh-TW; distinct catalogue/checklist identities for this exact row scope</x:v>
      </x:c>
      <x:c r="J460" t="str">
        <x:v>Tactical Deck: Miraidon ex distinct numbered identities.</x:v>
      </x:c>
      <x:c r="K460" t="str">
        <x:v>zh-TW-558de9471c94</x:v>
      </x:c>
      <x:c r="L460" t="str">
        <x:v>reference_count</x:v>
      </x:c>
    </x:row>
    <x:row r="461">
      <x:c r="A461" t="str">
        <x:v>REF-45ace8303c37</x:v>
      </x:c>
      <x:c r="B461" t="str">
        <x:v>2026-09-26-reference-counts</x:v>
      </x:c>
      <x:c r="C461" t="str">
        <x:v>zh-TW</x:v>
      </x:c>
      <x:c r="D461" t="str">
        <x:v>Tactical Deck: Scizor ex</x:v>
      </x:c>
      <x:c r="E461" t="str">
        <x:v>Reference count</x:v>
      </x:c>
      <x:c r="F461" t="n">
        <x:v>18</x:v>
      </x:c>
      <x:c r="G461" t="str">
        <x:v>product_numbered_checklist</x:v>
      </x:c>
      <x:c r="H461" t="str">
        <x:v>https://asia.pokemon-card.com/tw/card-search/ ; https://bulbapedia.bulbagarden.net/wiki/Pok%C3%A9mon_in_Taiwan</x:v>
      </x:c>
      <x:c r="I461" t="str">
        <x:v>zh-TW; distinct catalogue/checklist identities for this exact row scope</x:v>
      </x:c>
      <x:c r="J461" t="str">
        <x:v>Tactical Deck: Scizor ex distinct numbered identities.</x:v>
      </x:c>
      <x:c r="K461" t="str">
        <x:v>zh-TW-15708abcba22</x:v>
      </x:c>
      <x:c r="L461" t="str">
        <x:v>reference_count</x:v>
      </x:c>
    </x:row>
    <x:row r="462">
      <x:c r="A462" t="str">
        <x:v>REF-7d51da272462</x:v>
      </x:c>
      <x:c r="B462" t="str">
        <x:v>2026-09-26-reference-counts</x:v>
      </x:c>
      <x:c r="C462" t="str">
        <x:v>zh-TW</x:v>
      </x:c>
      <x:c r="D462" t="str">
        <x:v>Tactical Deck: Tera Charizard ex</x:v>
      </x:c>
      <x:c r="E462" t="str">
        <x:v>Reference count</x:v>
      </x:c>
      <x:c r="F462" t="n">
        <x:v>21</x:v>
      </x:c>
      <x:c r="G462" t="str">
        <x:v>product_numbered_checklist</x:v>
      </x:c>
      <x:c r="H462" t="str">
        <x:v>https://asia.pokemon-card.com/tw/card-search/ ; https://bulbapedia.bulbagarden.net/wiki/Pok%C3%A9mon_in_Taiwan</x:v>
      </x:c>
      <x:c r="I462" t="str">
        <x:v>zh-TW; distinct catalogue/checklist identities for this exact row scope</x:v>
      </x:c>
      <x:c r="J462" t="str">
        <x:v>Tactical Deck: Tera Charizard ex distinct numbered identities.</x:v>
      </x:c>
      <x:c r="K462" t="str">
        <x:v>zh-TW-d004bb41fcd7</x:v>
      </x:c>
      <x:c r="L462" t="str">
        <x:v>reference_count</x:v>
      </x:c>
    </x:row>
    <x:row r="463">
      <x:c r="A463" t="str">
        <x:v>REF-2e375666bb78</x:v>
      </x:c>
      <x:c r="B463" t="str">
        <x:v>2026-09-26-reference-counts</x:v>
      </x:c>
      <x:c r="C463" t="str">
        <x:v>zh-TW</x:v>
      </x:c>
      <x:c r="D463" t="str">
        <x:v>Tactical Deck: Tera Garchomp ex</x:v>
      </x:c>
      <x:c r="E463" t="str">
        <x:v>Reference count</x:v>
      </x:c>
      <x:c r="F463" t="n">
        <x:v>19</x:v>
      </x:c>
      <x:c r="G463" t="str">
        <x:v>product_numbered_checklist</x:v>
      </x:c>
      <x:c r="H463" t="str">
        <x:v>https://asia.pokemon-card.com/tw/card-search/ ; https://bulbapedia.bulbagarden.net/wiki/Pok%C3%A9mon_in_Taiwan</x:v>
      </x:c>
      <x:c r="I463" t="str">
        <x:v>zh-TW; distinct catalogue/checklist identities for this exact row scope</x:v>
      </x:c>
      <x:c r="J463" t="str">
        <x:v>Tactical Deck: Tera Garchomp ex distinct numbered identities.</x:v>
      </x:c>
      <x:c r="K463" t="str">
        <x:v>zh-TW-92dede729e8e</x:v>
      </x:c>
      <x:c r="L463" t="str">
        <x:v>reference_count</x:v>
      </x:c>
    </x:row>
    <x:row r="464">
      <x:c r="A464" t="str">
        <x:v>REF-73ad043de469</x:v>
      </x:c>
      <x:c r="B464" t="str">
        <x:v>2026-09-26-reference-counts</x:v>
      </x:c>
      <x:c r="C464" t="str">
        <x:v>zh-TW</x:v>
      </x:c>
      <x:c r="D464" t="str">
        <x:v>Stellar Miracle</x:v>
      </x:c>
      <x:c r="E464" t="str">
        <x:v>Reference count</x:v>
      </x:c>
      <x:c r="F464" t="n">
        <x:v>135</x:v>
      </x:c>
      <x:c r="G464" t="str">
        <x:v>synchronized_same_numbering</x:v>
      </x:c>
      <x:c r="H464" t="str">
        <x:v>https://bulbapedia.bulbagarden.net/wiki/Pok%C3%A9mon_in_Taiwan ; https://asia.pokemon-card.com/tw/card-search/</x:v>
      </x:c>
      <x:c r="I464" t="str">
        <x:v>zh-TW; distinct catalogue/checklist identities for this exact row scope</x:v>
      </x:c>
      <x:c r="J464" t="str">
        <x:v>Traditional Chinese release uses the synchronized Japanese card identities and numbering for this set; reference count inherited from the matching Japanese checklist.</x:v>
      </x:c>
      <x:c r="K464" t="str">
        <x:v>zh-TW-2a8a58fea56e</x:v>
      </x:c>
      <x:c r="L464" t="str">
        <x:v>reference_count</x:v>
      </x:c>
    </x:row>
    <x:row r="465">
      <x:c r="A465" t="str">
        <x:v>REF-80693c5ee952</x:v>
      </x:c>
      <x:c r="B465" t="str">
        <x:v>2026-09-26-reference-counts</x:v>
      </x:c>
      <x:c r="C465" t="str">
        <x:v>zh-TW</x:v>
      </x:c>
      <x:c r="D465" t="str">
        <x:v>Trainers Camp</x:v>
      </x:c>
      <x:c r="E465" t="str">
        <x:v>Entity type</x:v>
      </x:c>
      <x:c r="F465" t="str">
        <x:v>Event / teaching programme</x:v>
      </x:c>
      <x:c r="G465" t="str">
        <x:v>not_applicable_event</x:v>
      </x:c>
      <x:c r="H465" t="str">
        <x:v>https://asia.pokemon-card.com/tw/event/</x:v>
      </x:c>
      <x:c r="I465" t="str">
        <x:v>zh-TW; metadata applicability correction</x:v>
      </x:c>
      <x:c r="J465" t="str">
        <x:v>Reference count is not applicable: this row represents a teaching/event programme rather than a distinct card catalogue.</x:v>
      </x:c>
      <x:c r="K465" t="str">
        <x:v>zh-TW-241fc26dea17</x:v>
      </x:c>
      <x:c r="L465" t="str">
        <x:v>entity_type</x:v>
      </x:c>
    </x:row>
    <x:row r="466">
      <x:c r="A466" t="str">
        <x:v>REF-10531ebafc24</x:v>
      </x:c>
      <x:c r="B466" t="str">
        <x:v>2026-09-26-reference-counts</x:v>
      </x:c>
      <x:c r="C466" t="str">
        <x:v>zh-TW</x:v>
      </x:c>
      <x:c r="D466" t="str">
        <x:v>Deck Build Box Paradise Dragona</x:v>
      </x:c>
      <x:c r="E466" t="str">
        <x:v>Reference count</x:v>
      </x:c>
      <x:c r="F466" t="n">
        <x:v>42</x:v>
      </x:c>
      <x:c r="G466" t="str">
        <x:v>product_numbered_checklist</x:v>
      </x:c>
      <x:c r="H466" t="str">
        <x:v>https://asia.pokemon-card.com/tw/card-search/ ; https://bulbapedia.bulbagarden.net/wiki/Pok%C3%A9mon_in_Taiwan</x:v>
      </x:c>
      <x:c r="I466" t="str">
        <x:v>zh-TW; distinct catalogue/checklist identities for this exact row scope</x:v>
      </x:c>
      <x:c r="J466" t="str">
        <x:v>Deck Build Box Paradise Dragona numbered catalogue identities through 042; not box contents.</x:v>
      </x:c>
      <x:c r="K466" t="str">
        <x:v>zh-TW-7ed5d482e561</x:v>
      </x:c>
      <x:c r="L466" t="str">
        <x:v>reference_count</x:v>
      </x:c>
    </x:row>
    <x:row r="467">
      <x:c r="A467" t="str">
        <x:v>REF-695fa703387f</x:v>
      </x:c>
      <x:c r="B467" t="str">
        <x:v>2026-09-26-reference-counts</x:v>
      </x:c>
      <x:c r="C467" t="str">
        <x:v>zh-TW</x:v>
      </x:c>
      <x:c r="D467" t="str">
        <x:v>Paradise Dragona</x:v>
      </x:c>
      <x:c r="E467" t="str">
        <x:v>Reference count</x:v>
      </x:c>
      <x:c r="F467" t="n">
        <x:v>94</x:v>
      </x:c>
      <x:c r="G467" t="str">
        <x:v>synchronized_same_numbering</x:v>
      </x:c>
      <x:c r="H467" t="str">
        <x:v>https://bulbapedia.bulbagarden.net/wiki/Pok%C3%A9mon_in_Taiwan ; https://asia.pokemon-card.com/tw/card-search/</x:v>
      </x:c>
      <x:c r="I467" t="str">
        <x:v>zh-TW; distinct catalogue/checklist identities for this exact row scope</x:v>
      </x:c>
      <x:c r="J467" t="str">
        <x:v>Traditional Chinese release uses the synchronized Japanese card identities and numbering for this set; reference count inherited from the matching Japanese checklist.</x:v>
      </x:c>
      <x:c r="K467" t="str">
        <x:v>zh-TW-d3a71a0aa467</x:v>
      </x:c>
      <x:c r="L467" t="str">
        <x:v>reference_count</x:v>
      </x:c>
    </x:row>
    <x:row r="468">
      <x:c r="A468" t="str">
        <x:v>REF-bf29726b9f76</x:v>
      </x:c>
      <x:c r="B468" t="str">
        <x:v>2026-09-26-reference-counts</x:v>
      </x:c>
      <x:c r="C468" t="str">
        <x:v>zh-TW</x:v>
      </x:c>
      <x:c r="D468" t="str">
        <x:v>Stellar Tera ex Special Set: Ceruledge ex</x:v>
      </x:c>
      <x:c r="E468" t="str">
        <x:v>Reference count</x:v>
      </x:c>
      <x:c r="F468" t="n">
        <x:v>25</x:v>
      </x:c>
      <x:c r="G468" t="str">
        <x:v>product_numbered_checklist</x:v>
      </x:c>
      <x:c r="H468" t="str">
        <x:v>https://asia.pokemon-card.com/tw/card-search/ ; https://bulbapedia.bulbagarden.net/wiki/Pok%C3%A9mon_in_Taiwan</x:v>
      </x:c>
      <x:c r="I468" t="str">
        <x:v>zh-TW; distinct catalogue/checklist identities for this exact row scope</x:v>
      </x:c>
      <x:c r="J468" t="str">
        <x:v>Stellar Tera ex Special Set: Ceruledge ex distinct product identities.</x:v>
      </x:c>
      <x:c r="K468" t="str">
        <x:v>zh-TW-c86b9b559cbe</x:v>
      </x:c>
      <x:c r="L468" t="str">
        <x:v>reference_count</x:v>
      </x:c>
    </x:row>
    <x:row r="469">
      <x:c r="A469" t="str">
        <x:v>REF-dfac587e4800</x:v>
      </x:c>
      <x:c r="B469" t="str">
        <x:v>2026-09-26-reference-counts</x:v>
      </x:c>
      <x:c r="C469" t="str">
        <x:v>zh-TW</x:v>
      </x:c>
      <x:c r="D469" t="str">
        <x:v>Stellar Tera ex Special Set: Sylveon ex</x:v>
      </x:c>
      <x:c r="E469" t="str">
        <x:v>Reference count</x:v>
      </x:c>
      <x:c r="F469" t="n">
        <x:v>25</x:v>
      </x:c>
      <x:c r="G469" t="str">
        <x:v>product_numbered_checklist</x:v>
      </x:c>
      <x:c r="H469" t="str">
        <x:v>https://asia.pokemon-card.com/tw/card-search/ ; https://bulbapedia.bulbagarden.net/wiki/Pok%C3%A9mon_in_Taiwan</x:v>
      </x:c>
      <x:c r="I469" t="str">
        <x:v>zh-TW; distinct catalogue/checklist identities for this exact row scope</x:v>
      </x:c>
      <x:c r="J469" t="str">
        <x:v>Stellar Tera ex Special Set: Sylveon ex distinct product identities.</x:v>
      </x:c>
      <x:c r="K469" t="str">
        <x:v>zh-TW-1afd1f797fa7</x:v>
      </x:c>
      <x:c r="L469" t="str">
        <x:v>reference_count</x:v>
      </x:c>
    </x:row>
    <x:row r="470">
      <x:c r="A470" t="str">
        <x:v>REF-7a6ca2dfd963</x:v>
      </x:c>
      <x:c r="B470" t="str">
        <x:v>2026-09-26-reference-counts</x:v>
      </x:c>
      <x:c r="C470" t="str">
        <x:v>zh-TW</x:v>
      </x:c>
      <x:c r="D470" t="str">
        <x:v>Super Electric Breaker</x:v>
      </x:c>
      <x:c r="E470" t="str">
        <x:v>Reference count</x:v>
      </x:c>
      <x:c r="F470" t="n">
        <x:v>138</x:v>
      </x:c>
      <x:c r="G470" t="str">
        <x:v>synchronized_same_numbering</x:v>
      </x:c>
      <x:c r="H470" t="str">
        <x:v>https://bulbapedia.bulbagarden.net/wiki/Pok%C3%A9mon_in_Taiwan ; https://asia.pokemon-card.com/tw/card-search/</x:v>
      </x:c>
      <x:c r="I470" t="str">
        <x:v>zh-TW; distinct catalogue/checklist identities for this exact row scope</x:v>
      </x:c>
      <x:c r="J470" t="str">
        <x:v>Traditional Chinese release uses the synchronized Japanese card identities and numbering for this set; reference count inherited from the matching Japanese checklist.</x:v>
      </x:c>
      <x:c r="K470" t="str">
        <x:v>zh-TW-9fcaa17761b6</x:v>
      </x:c>
      <x:c r="L470" t="str">
        <x:v>reference_count</x:v>
      </x:c>
    </x:row>
    <x:row r="471">
      <x:c r="A471" t="str">
        <x:v>REF-2c3de6536c6b</x:v>
      </x:c>
      <x:c r="B471" t="str">
        <x:v>2026-09-26-reference-counts</x:v>
      </x:c>
      <x:c r="C471" t="str">
        <x:v>zh-TW</x:v>
      </x:c>
      <x:c r="D471" t="str">
        <x:v>Double ex Start Deck Generations</x:v>
      </x:c>
      <x:c r="E471" t="str">
        <x:v>Reference count</x:v>
      </x:c>
      <x:c r="F471" t="n">
        <x:v>175</x:v>
      </x:c>
      <x:c r="G471" t="str">
        <x:v>product_numbered_checklist</x:v>
      </x:c>
      <x:c r="H471" t="str">
        <x:v>https://asia.pokemon-card.com/tw/card-search/ ; https://bulbapedia.bulbagarden.net/wiki/Pok%C3%A9mon_in_Taiwan</x:v>
      </x:c>
      <x:c r="I471" t="str">
        <x:v>zh-TW; distinct catalogue/checklist identities for this exact row scope</x:v>
      </x:c>
      <x:c r="J471" t="str">
        <x:v>Double ex Start Deck Generations combined catalogue identities in the product-family checklist scope.</x:v>
      </x:c>
      <x:c r="K471" t="str">
        <x:v>zh-TW-88100117b37e</x:v>
      </x:c>
      <x:c r="L471" t="str">
        <x:v>reference_count</x:v>
      </x:c>
    </x:row>
    <x:row r="472">
      <x:c r="A472" t="str">
        <x:v>REF-1061c6818d5c</x:v>
      </x:c>
      <x:c r="B472" t="str">
        <x:v>2026-09-26-reference-counts</x:v>
      </x:c>
      <x:c r="C472" t="str">
        <x:v>zh-TW</x:v>
      </x:c>
      <x:c r="D472" t="str">
        <x:v>Terastal Fest ex</x:v>
      </x:c>
      <x:c r="E472" t="str">
        <x:v>Reference count</x:v>
      </x:c>
      <x:c r="F472" t="n">
        <x:v>237</x:v>
      </x:c>
      <x:c r="G472" t="str">
        <x:v>synchronized_same_numbering</x:v>
      </x:c>
      <x:c r="H472" t="str">
        <x:v>https://bulbapedia.bulbagarden.net/wiki/Pok%C3%A9mon_in_Taiwan ; https://asia.pokemon-card.com/tw/card-search/</x:v>
      </x:c>
      <x:c r="I472" t="str">
        <x:v>zh-TW; distinct catalogue/checklist identities for this exact row scope</x:v>
      </x:c>
      <x:c r="J472" t="str">
        <x:v>Traditional Chinese release uses the synchronized Japanese card identities and numbering for this set; reference count inherited from the matching Japanese checklist.</x:v>
      </x:c>
      <x:c r="K472" t="str">
        <x:v>zh-TW-49e639772529</x:v>
      </x:c>
      <x:c r="L472" t="str">
        <x:v>reference_count</x:v>
      </x:c>
    </x:row>
    <x:row r="473">
      <x:c r="A473" t="str">
        <x:v>REF-27c119a8eb89</x:v>
      </x:c>
      <x:c r="B473" t="str">
        <x:v>2026-09-26-reference-counts</x:v>
      </x:c>
      <x:c r="C473" t="str">
        <x:v>zh-TW</x:v>
      </x:c>
      <x:c r="D473" t="str">
        <x:v>Battle Partners</x:v>
      </x:c>
      <x:c r="E473" t="str">
        <x:v>Reference count</x:v>
      </x:c>
      <x:c r="F473" t="n">
        <x:v>132</x:v>
      </x:c>
      <x:c r="G473" t="str">
        <x:v>synchronized_same_numbering</x:v>
      </x:c>
      <x:c r="H473" t="str">
        <x:v>https://bulbapedia.bulbagarden.net/wiki/Pok%C3%A9mon_in_Taiwan ; https://asia.pokemon-card.com/tw/card-search/</x:v>
      </x:c>
      <x:c r="I473" t="str">
        <x:v>zh-TW; distinct catalogue/checklist identities for this exact row scope</x:v>
      </x:c>
      <x:c r="J473" t="str">
        <x:v>Traditional Chinese release uses the synchronized Japanese card identities and numbering for this set; reference count inherited from the matching Japanese checklist.</x:v>
      </x:c>
      <x:c r="K473" t="str">
        <x:v>zh-TW-ffcdd91b700e</x:v>
      </x:c>
      <x:c r="L473" t="str">
        <x:v>reference_count</x:v>
      </x:c>
    </x:row>
    <x:row r="474">
      <x:c r="A474" t="str">
        <x:v>REF-46d22ea50fee</x:v>
      </x:c>
      <x:c r="B474" t="str">
        <x:v>2026-09-26-reference-counts</x:v>
      </x:c>
      <x:c r="C474" t="str">
        <x:v>zh-TW</x:v>
      </x:c>
      <x:c r="D474" t="str">
        <x:v>Challenge Deck: Marnie's Morpeko &amp; Grimmsnarl ex</x:v>
      </x:c>
      <x:c r="E474" t="str">
        <x:v>Reference count</x:v>
      </x:c>
      <x:c r="F474" t="n">
        <x:v>22</x:v>
      </x:c>
      <x:c r="G474" t="str">
        <x:v>product_numbered_checklist</x:v>
      </x:c>
      <x:c r="H474" t="str">
        <x:v>https://asia.pokemon-card.com/tw/card-search/ ; https://bulbapedia.bulbagarden.net/wiki/Pok%C3%A9mon_in_Taiwan</x:v>
      </x:c>
      <x:c r="I474" t="str">
        <x:v>zh-TW; distinct catalogue/checklist identities for this exact row scope</x:v>
      </x:c>
      <x:c r="J474" t="str">
        <x:v>Marnie's Morpeko &amp; Grimmsnarl ex Challenge Deck: 21-card denominator plus documented 022/021 extra identity.</x:v>
      </x:c>
      <x:c r="K474" t="str">
        <x:v>zh-TW-15f40046e9ad</x:v>
      </x:c>
      <x:c r="L474" t="str">
        <x:v>reference_count</x:v>
      </x:c>
    </x:row>
    <x:row r="475">
      <x:c r="A475" t="str">
        <x:v>REF-4ddb6a24c586</x:v>
      </x:c>
      <x:c r="B475" t="str">
        <x:v>2026-09-26-reference-counts</x:v>
      </x:c>
      <x:c r="C475" t="str">
        <x:v>zh-TW</x:v>
      </x:c>
      <x:c r="D475" t="str">
        <x:v>Challenge Deck: Steven's Beldum &amp; Metagross ex</x:v>
      </x:c>
      <x:c r="E475" t="str">
        <x:v>Reference count</x:v>
      </x:c>
      <x:c r="F475" t="n">
        <x:v>21</x:v>
      </x:c>
      <x:c r="G475" t="str">
        <x:v>product_numbered_checklist</x:v>
      </x:c>
      <x:c r="H475" t="str">
        <x:v>https://asia.pokemon-card.com/tw/card-search/ ; https://bulbapedia.bulbagarden.net/wiki/Pok%C3%A9mon_in_Taiwan</x:v>
      </x:c>
      <x:c r="I475" t="str">
        <x:v>zh-TW; distinct catalogue/checklist identities for this exact row scope</x:v>
      </x:c>
      <x:c r="J475" t="str">
        <x:v>Steven's Beldum &amp; Metagross ex Challenge Deck: 20-card denominator plus documented 021/020 extra identity.</x:v>
      </x:c>
      <x:c r="K475" t="str">
        <x:v>zh-TW-2ffb668f198e</x:v>
      </x:c>
      <x:c r="L475" t="str">
        <x:v>reference_count</x:v>
      </x:c>
    </x:row>
    <x:row r="476">
      <x:c r="A476" t="str">
        <x:v>REF-95287287c7dc</x:v>
      </x:c>
      <x:c r="B476" t="str">
        <x:v>2026-09-26-reference-counts</x:v>
      </x:c>
      <x:c r="C476" t="str">
        <x:v>zh-TW</x:v>
      </x:c>
      <x:c r="D476" t="str">
        <x:v>Hot Wind Arena</x:v>
      </x:c>
      <x:c r="E476" t="str">
        <x:v>Reference count</x:v>
      </x:c>
      <x:c r="F476" t="n">
        <x:v>92</x:v>
      </x:c>
      <x:c r="G476" t="str">
        <x:v>regional_set_checklist</x:v>
      </x:c>
      <x:c r="H476" t="str">
        <x:v>https://asia.pokemon-card.com/tw/card-search/ ; https://bulbapedia.bulbagarden.net/wiki/Pok%C3%A9mon_in_Taiwan</x:v>
      </x:c>
      <x:c r="I476" t="str">
        <x:v>zh-TW; distinct catalogue/checklist identities for this exact row scope</x:v>
      </x:c>
      <x:c r="J476" t="str">
        <x:v>Traditional Chinese Hot Wind Arena uses the synchronized Japanese SV9a checklist identity/numbering.</x:v>
      </x:c>
      <x:c r="K476" t="str">
        <x:v>zh-TW-974fa735782e</x:v>
      </x:c>
      <x:c r="L476" t="str">
        <x:v>reference_count</x:v>
      </x:c>
    </x:row>
    <x:row r="477">
      <x:c r="A477" t="str">
        <x:v>REF-90d0f40f87e5</x:v>
      </x:c>
      <x:c r="B477" t="str">
        <x:v>2026-09-26-reference-counts</x:v>
      </x:c>
      <x:c r="C477" t="str">
        <x:v>zh-TW</x:v>
      </x:c>
      <x:c r="D477" t="str">
        <x:v>Glory of the Rocket Gang</x:v>
      </x:c>
      <x:c r="E477" t="str">
        <x:v>Reference count</x:v>
      </x:c>
      <x:c r="F477" t="n">
        <x:v>132</x:v>
      </x:c>
      <x:c r="G477" t="str">
        <x:v>synchronized_same_numbering</x:v>
      </x:c>
      <x:c r="H477" t="str">
        <x:v>https://bulbapedia.bulbagarden.net/wiki/Pok%C3%A9mon_in_Taiwan ; https://asia.pokemon-card.com/tw/card-search/</x:v>
      </x:c>
      <x:c r="I477" t="str">
        <x:v>zh-TW; distinct catalogue/checklist identities for this exact row scope</x:v>
      </x:c>
      <x:c r="J477" t="str">
        <x:v>Traditional Chinese release uses the synchronized Japanese card identities and numbering for this set; reference count inherited from the matching Japanese checklist.</x:v>
      </x:c>
      <x:c r="K477" t="str">
        <x:v>zh-TW-dd68ad1c0890</x:v>
      </x:c>
      <x:c r="L477" t="str">
        <x:v>reference_count</x:v>
      </x:c>
    </x:row>
    <x:row r="478">
      <x:c r="A478" t="str">
        <x:v>REF-0cddf0797d23</x:v>
      </x:c>
      <x:c r="B478" t="str">
        <x:v>2026-09-26-reference-counts</x:v>
      </x:c>
      <x:c r="C478" t="str">
        <x:v>zh-TW</x:v>
      </x:c>
      <x:c r="D478" t="str">
        <x:v>Black Bolt</x:v>
      </x:c>
      <x:c r="E478" t="str">
        <x:v>Reference count</x:v>
      </x:c>
      <x:c r="F478" t="n">
        <x:v>174</x:v>
      </x:c>
      <x:c r="G478" t="str">
        <x:v>regional_set_checklist</x:v>
      </x:c>
      <x:c r="H478" t="str">
        <x:v>https://asia.pokemon-card.com/tw/card-search/ ; https://bulbapedia.bulbagarden.net/wiki/Pok%C3%A9mon_in_Taiwan</x:v>
      </x:c>
      <x:c r="I478" t="str">
        <x:v>zh-TW; distinct catalogue/checklist identities for this exact row scope</x:v>
      </x:c>
      <x:c r="J478" t="str">
        <x:v>Traditional Chinese Black Bolt uses the synchronized Japanese SV11B checklist identity/numbering.</x:v>
      </x:c>
      <x:c r="K478" t="str">
        <x:v>zh-TW-77c7643aa5ed</x:v>
      </x:c>
      <x:c r="L478" t="str">
        <x:v>reference_count</x:v>
      </x:c>
    </x:row>
    <x:row r="479">
      <x:c r="A479" t="str">
        <x:v>REF-06a63864bfad</x:v>
      </x:c>
      <x:c r="B479" t="str">
        <x:v>2026-09-26-reference-counts</x:v>
      </x:c>
      <x:c r="C479" t="str">
        <x:v>zh-TW</x:v>
      </x:c>
      <x:c r="D479" t="str">
        <x:v>White Flare</x:v>
      </x:c>
      <x:c r="E479" t="str">
        <x:v>Reference count</x:v>
      </x:c>
      <x:c r="F479" t="n">
        <x:v>174</x:v>
      </x:c>
      <x:c r="G479" t="str">
        <x:v>synchronized_same_numbering</x:v>
      </x:c>
      <x:c r="H479" t="str">
        <x:v>https://bulbapedia.bulbagarden.net/wiki/Pok%C3%A9mon_in_Taiwan ; https://asia.pokemon-card.com/tw/card-search/</x:v>
      </x:c>
      <x:c r="I479" t="str">
        <x:v>zh-TW; distinct catalogue/checklist identities for this exact row scope</x:v>
      </x:c>
      <x:c r="J479" t="str">
        <x:v>Traditional Chinese release uses the synchronized Japanese card identities and numbering for this set; reference count inherited from the matching Japanese checklist.</x:v>
      </x:c>
      <x:c r="K479" t="str">
        <x:v>zh-TW-f6512185fc4f</x:v>
      </x:c>
      <x:c r="L479" t="str">
        <x:v>reference_count</x:v>
      </x:c>
    </x:row>
    <x:row r="480">
      <x:c r="A480" t="str">
        <x:v>REF-5c0288297def</x:v>
      </x:c>
      <x:c r="B480" t="str">
        <x:v>2026-09-26-reference-counts</x:v>
      </x:c>
      <x:c r="C480" t="str">
        <x:v>zh-TW</x:v>
      </x:c>
      <x:c r="D480" t="str">
        <x:v>ex Start Deck: Charizard</x:v>
      </x:c>
      <x:c r="E480" t="str">
        <x:v>Reference count</x:v>
      </x:c>
      <x:c r="F480" t="n">
        <x:v>22</x:v>
      </x:c>
      <x:c r="G480" t="str">
        <x:v>product_numbered_checklist</x:v>
      </x:c>
      <x:c r="H480" t="str">
        <x:v>https://asia.pokemon-card.com/tw/card-search/ ; https://bulbapedia.bulbagarden.net/wiki/Pok%C3%A9mon_in_Taiwan</x:v>
      </x:c>
      <x:c r="I480" t="str">
        <x:v>zh-TW; distinct catalogue/checklist identities for this exact row scope</x:v>
      </x:c>
      <x:c r="J480" t="str">
        <x:v>ex Start Deck: Charizard distinct numbered identities (001/022–022/022).</x:v>
      </x:c>
      <x:c r="K480" t="str">
        <x:v>zh-TW-e124fcba7d1d</x:v>
      </x:c>
      <x:c r="L480" t="str">
        <x:v>reference_count</x:v>
      </x:c>
    </x:row>
    <x:row r="481">
      <x:c r="A481" t="str">
        <x:v>REF-11eae0938d4f</x:v>
      </x:c>
      <x:c r="B481" t="str">
        <x:v>2026-09-26-reference-counts</x:v>
      </x:c>
      <x:c r="C481" t="str">
        <x:v>zh-TW</x:v>
      </x:c>
      <x:c r="D481" t="str">
        <x:v>ex Start Deck: Pikachu</x:v>
      </x:c>
      <x:c r="E481" t="str">
        <x:v>Reference count</x:v>
      </x:c>
      <x:c r="F481" t="n">
        <x:v>23</x:v>
      </x:c>
      <x:c r="G481" t="str">
        <x:v>product_numbered_checklist</x:v>
      </x:c>
      <x:c r="H481" t="str">
        <x:v>https://asia.pokemon-card.com/tw/card-search/ ; https://bulbapedia.bulbagarden.net/wiki/Pok%C3%A9mon_in_Taiwan</x:v>
      </x:c>
      <x:c r="I481" t="str">
        <x:v>zh-TW; distinct catalogue/checklist identities for this exact row scope</x:v>
      </x:c>
      <x:c r="J481" t="str">
        <x:v>ex Start Deck: Pikachu distinct numbered identities (001/023–023/023).</x:v>
      </x:c>
      <x:c r="K481" t="str">
        <x:v>zh-TW-949def28022a</x:v>
      </x:c>
      <x:c r="L481" t="str">
        <x:v>reference_count</x:v>
      </x:c>
    </x:row>
    <x:row r="482">
      <x:c r="A482" t="str">
        <x:v>REF-862fc58ed999</x:v>
      </x:c>
      <x:c r="B482" t="str">
        <x:v>2026-09-26-reference-counts</x:v>
      </x:c>
      <x:c r="C482" t="str">
        <x:v>zh-TW</x:v>
      </x:c>
      <x:c r="D482" t="str">
        <x:v>Mega Brave</x:v>
      </x:c>
      <x:c r="E482" t="str">
        <x:v>Reference count</x:v>
      </x:c>
      <x:c r="F482" t="n">
        <x:v>92</x:v>
      </x:c>
      <x:c r="G482" t="str">
        <x:v>synchronized_same_numbering</x:v>
      </x:c>
      <x:c r="H482" t="str">
        <x:v>https://bulbapedia.bulbagarden.net/wiki/Pok%C3%A9mon_in_Taiwan ; https://asia.pokemon-card.com/tw/card-search/</x:v>
      </x:c>
      <x:c r="I482" t="str">
        <x:v>zh-TW; distinct catalogue/checklist identities for this exact row scope</x:v>
      </x:c>
      <x:c r="J482" t="str">
        <x:v>Traditional Chinese release uses the synchronized Japanese card identities and numbering for this set; reference count inherited from the matching Japanese checklist.</x:v>
      </x:c>
      <x:c r="K482" t="str">
        <x:v>zh-TW-5cd724144f1f</x:v>
      </x:c>
      <x:c r="L482" t="str">
        <x:v>reference_count</x:v>
      </x:c>
    </x:row>
    <x:row r="483">
      <x:c r="A483" t="str">
        <x:v>REF-f2d58e9abbb0</x:v>
      </x:c>
      <x:c r="B483" t="str">
        <x:v>2026-09-26-reference-counts</x:v>
      </x:c>
      <x:c r="C483" t="str">
        <x:v>zh-TW</x:v>
      </x:c>
      <x:c r="D483" t="str">
        <x:v>Mega Symphonia</x:v>
      </x:c>
      <x:c r="E483" t="str">
        <x:v>Reference count</x:v>
      </x:c>
      <x:c r="F483" t="n">
        <x:v>92</x:v>
      </x:c>
      <x:c r="G483" t="str">
        <x:v>synchronized_same_numbering</x:v>
      </x:c>
      <x:c r="H483" t="str">
        <x:v>https://bulbapedia.bulbagarden.net/wiki/Pok%C3%A9mon_in_Taiwan ; https://asia.pokemon-card.com/tw/card-search/</x:v>
      </x:c>
      <x:c r="I483" t="str">
        <x:v>zh-TW; distinct catalogue/checklist identities for this exact row scope</x:v>
      </x:c>
      <x:c r="J483" t="str">
        <x:v>Traditional Chinese release uses the synchronized Japanese card identities and numbering for this set; reference count inherited from the matching Japanese checklist.</x:v>
      </x:c>
      <x:c r="K483" t="str">
        <x:v>zh-TW-0f37c5f8c336</x:v>
      </x:c>
      <x:c r="L483" t="str">
        <x:v>reference_count</x:v>
      </x:c>
    </x:row>
    <x:row r="484">
      <x:c r="A484" t="str">
        <x:v>REF-d52e6c70dd72</x:v>
      </x:c>
      <x:c r="B484" t="str">
        <x:v>2026-09-26-reference-counts</x:v>
      </x:c>
      <x:c r="C484" t="str">
        <x:v>zh-TW</x:v>
      </x:c>
      <x:c r="D484" t="str">
        <x:v>Challenge Deck: Mega Diancie ex</x:v>
      </x:c>
      <x:c r="E484" t="str">
        <x:v>Reference count</x:v>
      </x:c>
      <x:c r="F484" t="n">
        <x:v>23</x:v>
      </x:c>
      <x:c r="G484" t="str">
        <x:v>product_numbered_checklist</x:v>
      </x:c>
      <x:c r="H484" t="str">
        <x:v>https://asia.pokemon-card.com/tw/card-search/ ; https://bulbapedia.bulbagarden.net/wiki/Pok%C3%A9mon_in_Taiwan</x:v>
      </x:c>
      <x:c r="I484" t="str">
        <x:v>zh-TW; distinct catalogue/checklist identities for this exact row scope</x:v>
      </x:c>
      <x:c r="J484" t="str">
        <x:v>Challenge Deck: Mega Diancie ex: 22-card denominator plus documented 023/022 extra identity.</x:v>
      </x:c>
      <x:c r="K484" t="str">
        <x:v>zh-TW-a1a18e45b7d6</x:v>
      </x:c>
      <x:c r="L484" t="str">
        <x:v>reference_count</x:v>
      </x:c>
    </x:row>
    <x:row r="485">
      <x:c r="A485" t="str">
        <x:v>REF-0062d4a71184</x:v>
      </x:c>
      <x:c r="B485" t="str">
        <x:v>2026-09-26-reference-counts</x:v>
      </x:c>
      <x:c r="C485" t="str">
        <x:v>zh-TW</x:v>
      </x:c>
      <x:c r="D485" t="str">
        <x:v>Challenge Deck: Mega Gengar ex</x:v>
      </x:c>
      <x:c r="E485" t="str">
        <x:v>Reference count</x:v>
      </x:c>
      <x:c r="F485" t="n">
        <x:v>23</x:v>
      </x:c>
      <x:c r="G485" t="str">
        <x:v>product_numbered_checklist</x:v>
      </x:c>
      <x:c r="H485" t="str">
        <x:v>https://asia.pokemon-card.com/tw/card-search/ ; https://bulbapedia.bulbagarden.net/wiki/Pok%C3%A9mon_in_Taiwan</x:v>
      </x:c>
      <x:c r="I485" t="str">
        <x:v>zh-TW; distinct catalogue/checklist identities for this exact row scope</x:v>
      </x:c>
      <x:c r="J485" t="str">
        <x:v>Challenge Deck: Mega Gengar ex: 22-card denominator plus documented 023/022 extra identity.</x:v>
      </x:c>
      <x:c r="K485" t="str">
        <x:v>zh-TW-4e5a9002b259</x:v>
      </x:c>
      <x:c r="L485" t="str">
        <x:v>reference_count</x:v>
      </x:c>
    </x:row>
    <x:row r="486">
      <x:c r="A486" t="str">
        <x:v>REF-011b43dfc410</x:v>
      </x:c>
      <x:c r="B486" t="str">
        <x:v>2026-09-26-reference-counts</x:v>
      </x:c>
      <x:c r="C486" t="str">
        <x:v>zh-TW</x:v>
      </x:c>
      <x:c r="D486" t="str">
        <x:v>Inferno X</x:v>
      </x:c>
      <x:c r="E486" t="str">
        <x:v>Reference count</x:v>
      </x:c>
      <x:c r="F486" t="n">
        <x:v>116</x:v>
      </x:c>
      <x:c r="G486" t="str">
        <x:v>synchronized_same_numbering</x:v>
      </x:c>
      <x:c r="H486" t="str">
        <x:v>https://bulbapedia.bulbagarden.net/wiki/Pok%C3%A9mon_in_Taiwan ; https://asia.pokemon-card.com/tw/card-search/</x:v>
      </x:c>
      <x:c r="I486" t="str">
        <x:v>zh-TW; distinct catalogue/checklist identities for this exact row scope</x:v>
      </x:c>
      <x:c r="J486" t="str">
        <x:v>Traditional Chinese release uses the synchronized Japanese card identities and numbering for this set; reference count inherited from the matching Japanese checklist.</x:v>
      </x:c>
      <x:c r="K486" t="str">
        <x:v>zh-TW-46e6de88e93e</x:v>
      </x:c>
      <x:c r="L486" t="str">
        <x:v>reference_count</x:v>
      </x:c>
    </x:row>
    <x:row r="487">
      <x:c r="A487" t="str">
        <x:v>REF-e7a1a8ed780f</x:v>
      </x:c>
      <x:c r="B487" t="str">
        <x:v>2026-09-26-reference-counts</x:v>
      </x:c>
      <x:c r="C487" t="str">
        <x:v>zh-TW</x:v>
      </x:c>
      <x:c r="D487" t="str">
        <x:v>MEGA Dream ex</x:v>
      </x:c>
      <x:c r="E487" t="str">
        <x:v>Reference count</x:v>
      </x:c>
      <x:c r="F487" t="n">
        <x:v>250</x:v>
      </x:c>
      <x:c r="G487" t="str">
        <x:v>synchronized_same_numbering</x:v>
      </x:c>
      <x:c r="H487" t="str">
        <x:v>https://bulbapedia.bulbagarden.net/wiki/Pok%C3%A9mon_in_Taiwan ; https://asia.pokemon-card.com/tw/card-search/</x:v>
      </x:c>
      <x:c r="I487" t="str">
        <x:v>zh-TW; distinct catalogue/checklist identities for this exact row scope</x:v>
      </x:c>
      <x:c r="J487" t="str">
        <x:v>Traditional Chinese release uses the synchronized Japanese card identities and numbering for this set; reference count inherited from the matching Japanese checklist.</x:v>
      </x:c>
      <x:c r="K487" t="str">
        <x:v>zh-TW-cde90de02356</x:v>
      </x:c>
      <x:c r="L487" t="str">
        <x:v>reference_count</x:v>
      </x:c>
    </x:row>
    <x:row r="488">
      <x:c r="A488" t="str">
        <x:v>REF-2344cc6a52ef</x:v>
      </x:c>
      <x:c r="B488" t="str">
        <x:v>2026-09-26-reference-counts</x:v>
      </x:c>
      <x:c r="C488" t="str">
        <x:v>zh-TW</x:v>
      </x:c>
      <x:c r="D488" t="str">
        <x:v>Start Deck 100 Battle Collection</x:v>
      </x:c>
      <x:c r="E488" t="str">
        <x:v>Reference count</x:v>
      </x:c>
      <x:c r="F488" t="n">
        <x:v>742</x:v>
      </x:c>
      <x:c r="G488" t="str">
        <x:v>lower_bound_or_numbering_extent</x:v>
      </x:c>
      <x:c r="H488" t="str">
        <x:v>https://asia.pokemon-card.com/tw/card-search/ ; https://bulbapedia.bulbagarden.net/wiki/Pok%C3%A9mon_in_Taiwan</x:v>
      </x:c>
      <x:c r="I488" t="str">
        <x:v>zh-TW; distinct catalogue/checklist identities for this exact row scope</x:v>
      </x:c>
      <x:c r="J488" t="str">
        <x:v>Printed denominator / minimum catalogue size for Start Deck 100 Battle Collection. Full beyond-denominator catalogue may be larger; stored deliberately as a lower bound.</x:v>
      </x:c>
      <x:c r="K488" t="str">
        <x:v>zh-TW-3fe2b38c6ebe</x:v>
      </x:c>
      <x:c r="L488" t="str">
        <x:v>reference_count</x:v>
      </x:c>
    </x:row>
    <x:row r="489">
      <x:c r="A489" t="str">
        <x:v>REF-f4e72a4532c4</x:v>
      </x:c>
      <x:c r="B489" t="str">
        <x:v>2026-09-26-reference-counts</x:v>
      </x:c>
      <x:c r="C489" t="str">
        <x:v>zh-TW</x:v>
      </x:c>
      <x:c r="D489" t="str">
        <x:v>Nihil Zero</x:v>
      </x:c>
      <x:c r="E489" t="str">
        <x:v>Reference count</x:v>
      </x:c>
      <x:c r="F489" t="n">
        <x:v>117</x:v>
      </x:c>
      <x:c r="G489" t="str">
        <x:v>synchronized_same_numbering</x:v>
      </x:c>
      <x:c r="H489" t="str">
        <x:v>https://bulbapedia.bulbagarden.net/wiki/Pok%C3%A9mon_in_Taiwan ; https://asia.pokemon-card.com/tw/card-search/</x:v>
      </x:c>
      <x:c r="I489" t="str">
        <x:v>zh-TW; distinct catalogue/checklist identities for this exact row scope</x:v>
      </x:c>
      <x:c r="J489" t="str">
        <x:v>Traditional Chinese release uses the synchronized Japanese card identities and numbering for this set; reference count inherited from the matching Japanese checklist.</x:v>
      </x:c>
      <x:c r="K489" t="str">
        <x:v>zh-TW-bc558463633d</x:v>
      </x:c>
      <x:c r="L489" t="str">
        <x:v>reference_count</x:v>
      </x:c>
    </x:row>
    <x:row r="490">
      <x:c r="A490" t="str">
        <x:v>REF-062f46599404</x:v>
      </x:c>
      <x:c r="B490" t="str">
        <x:v>2026-09-26-reference-counts</x:v>
      </x:c>
      <x:c r="C490" t="str">
        <x:v>zh-TW</x:v>
      </x:c>
      <x:c r="D490" t="str">
        <x:v>New Trainer Journey</x:v>
      </x:c>
      <x:c r="E490" t="str">
        <x:v>Entity type</x:v>
      </x:c>
      <x:c r="F490" t="str">
        <x:v>Event / teaching programme</x:v>
      </x:c>
      <x:c r="G490" t="str">
        <x:v>not_applicable_event</x:v>
      </x:c>
      <x:c r="H490" t="str">
        <x:v>https://asia.pokemon-card.com/tw/event/</x:v>
      </x:c>
      <x:c r="I490" t="str">
        <x:v>zh-TW; metadata applicability correction</x:v>
      </x:c>
      <x:c r="J490" t="str">
        <x:v>Reference count is not applicable: this row represents a teaching/event programme rather than a distinct card catalogue.</x:v>
      </x:c>
      <x:c r="K490" t="str">
        <x:v>zh-TW-9c9e4a7b4d38</x:v>
      </x:c>
      <x:c r="L490" t="str">
        <x:v>entity_type</x:v>
      </x:c>
    </x:row>
    <x:row r="491">
      <x:c r="A491" t="str">
        <x:v>REF-ba3d5e63ecc0</x:v>
      </x:c>
      <x:c r="B491" t="str">
        <x:v>2026-09-26-reference-counts</x:v>
      </x:c>
      <x:c r="C491" t="str">
        <x:v>zh-TW</x:v>
      </x:c>
      <x:c r="D491" t="str">
        <x:v>Ninja Spinner</x:v>
      </x:c>
      <x:c r="E491" t="str">
        <x:v>Reference count</x:v>
      </x:c>
      <x:c r="F491" t="n">
        <x:v>120</x:v>
      </x:c>
      <x:c r="G491" t="str">
        <x:v>synchronized_same_numbering</x:v>
      </x:c>
      <x:c r="H491" t="str">
        <x:v>https://bulbapedia.bulbagarden.net/wiki/Pok%C3%A9mon_in_Taiwan ; https://asia.pokemon-card.com/tw/card-search/</x:v>
      </x:c>
      <x:c r="I491" t="str">
        <x:v>zh-TW; distinct catalogue/checklist identities for this exact row scope</x:v>
      </x:c>
      <x:c r="J491" t="str">
        <x:v>Traditional Chinese release uses the synchronized Japanese card identities and numbering for this set; reference count inherited from the matching Japanese checklist.</x:v>
      </x:c>
      <x:c r="K491" t="str">
        <x:v>zh-TW-6dd574732d59</x:v>
      </x:c>
      <x:c r="L491" t="str">
        <x:v>reference_count</x:v>
      </x:c>
    </x:row>
    <x:row r="492">
      <x:c r="A492" t="str">
        <x:v>REF-750ff051cfb7</x:v>
      </x:c>
      <x:c r="B492" t="str">
        <x:v>2026-09-26-reference-counts</x:v>
      </x:c>
      <x:c r="C492" t="str">
        <x:v>zh-TW</x:v>
      </x:c>
      <x:c r="D492" t="str">
        <x:v>Abyss Eye</x:v>
      </x:c>
      <x:c r="E492" t="str">
        <x:v>Reference count</x:v>
      </x:c>
      <x:c r="F492" t="n">
        <x:v>118</x:v>
      </x:c>
      <x:c r="G492" t="str">
        <x:v>synchronized_same_numbering</x:v>
      </x:c>
      <x:c r="H492" t="str">
        <x:v>https://bulbapedia.bulbagarden.net/wiki/Pok%C3%A9mon_in_Taiwan ; https://asia.pokemon-card.com/tw/card-search/</x:v>
      </x:c>
      <x:c r="I492" t="str">
        <x:v>zh-TW; distinct catalogue/checklist identities for this exact row scope</x:v>
      </x:c>
      <x:c r="J492" t="str">
        <x:v>Traditional Chinese release uses the synchronized Japanese card identities and numbering for this set; reference count inherited from the matching Japanese checklist.</x:v>
      </x:c>
      <x:c r="K492" t="str">
        <x:v>zh-TW-5d0f2c0fb6e0</x:v>
      </x:c>
      <x:c r="L492" t="str">
        <x:v>reference_count</x:v>
      </x:c>
    </x:row>
    <x:row r="493">
      <x:c r="A493" t="str">
        <x:v>REF-121afc6d4aac</x:v>
      </x:c>
      <x:c r="B493" t="str">
        <x:v>2026-09-26-reference-counts</x:v>
      </x:c>
      <x:c r="C493" t="str">
        <x:v>zh-TW</x:v>
      </x:c>
      <x:c r="D493" t="str">
        <x:v>Tactical Deck: Mega Charizard X ex</x:v>
      </x:c>
      <x:c r="E493" t="str">
        <x:v>Reference count</x:v>
      </x:c>
      <x:c r="F493" t="n">
        <x:v>23</x:v>
      </x:c>
      <x:c r="G493" t="str">
        <x:v>product_numbered_checklist</x:v>
      </x:c>
      <x:c r="H493" t="str">
        <x:v>https://asia.pokemon-card.com/tw/card-search/ ; https://bulbapedia.bulbagarden.net/wiki/Pok%C3%A9mon_in_Taiwan</x:v>
      </x:c>
      <x:c r="I493" t="str">
        <x:v>zh-TW; distinct catalogue/checklist identities for this exact row scope</x:v>
      </x:c>
      <x:c r="J493" t="str">
        <x:v>Tactical Deck: Mega Charizard X ex distinct numbered identities.</x:v>
      </x:c>
      <x:c r="K493" t="str">
        <x:v>zh-TW-860e5a5ea101</x:v>
      </x:c>
      <x:c r="L493" t="str">
        <x:v>reference_count</x:v>
      </x:c>
    </x:row>
    <x:row r="494">
      <x:c r="A494" t="str">
        <x:v>REF-0502c47780f3</x:v>
      </x:c>
      <x:c r="B494" t="str">
        <x:v>2026-09-26-reference-counts</x:v>
      </x:c>
      <x:c r="C494" t="str">
        <x:v>zh-TW</x:v>
      </x:c>
      <x:c r="D494" t="str">
        <x:v>Tactical Deck: Mega Dragonite ex</x:v>
      </x:c>
      <x:c r="E494" t="str">
        <x:v>Reference count</x:v>
      </x:c>
      <x:c r="F494" t="n">
        <x:v>23</x:v>
      </x:c>
      <x:c r="G494" t="str">
        <x:v>product_numbered_checklist</x:v>
      </x:c>
      <x:c r="H494" t="str">
        <x:v>https://asia.pokemon-card.com/tw/card-search/ ; https://bulbapedia.bulbagarden.net/wiki/Pok%C3%A9mon_in_Taiwan</x:v>
      </x:c>
      <x:c r="I494" t="str">
        <x:v>zh-TW; distinct catalogue/checklist identities for this exact row scope</x:v>
      </x:c>
      <x:c r="J494" t="str">
        <x:v>Tactical Deck: Mega Dragonite ex distinct numbered identities.</x:v>
      </x:c>
      <x:c r="K494" t="str">
        <x:v>zh-TW-77c7d2bfb26b</x:v>
      </x:c>
      <x:c r="L494" t="str">
        <x:v>reference_count</x:v>
      </x:c>
    </x:row>
    <x:row r="495">
      <x:c r="A495" t="str">
        <x:v>REF-b17408c922b5</x:v>
      </x:c>
      <x:c r="B495" t="str">
        <x:v>2026-09-26-reference-counts</x:v>
      </x:c>
      <x:c r="C495" t="str">
        <x:v>zh-TW</x:v>
      </x:c>
      <x:c r="D495" t="str">
        <x:v>Tactical Deck: Mega Gardevoir ex</x:v>
      </x:c>
      <x:c r="E495" t="str">
        <x:v>Reference count</x:v>
      </x:c>
      <x:c r="F495" t="n">
        <x:v>23</x:v>
      </x:c>
      <x:c r="G495" t="str">
        <x:v>product_numbered_checklist</x:v>
      </x:c>
      <x:c r="H495" t="str">
        <x:v>https://asia.pokemon-card.com/tw/card-search/ ; https://bulbapedia.bulbagarden.net/wiki/Pok%C3%A9mon_in_Taiwan</x:v>
      </x:c>
      <x:c r="I495" t="str">
        <x:v>zh-TW; distinct catalogue/checklist identities for this exact row scope</x:v>
      </x:c>
      <x:c r="J495" t="str">
        <x:v>Tactical Deck: Mega Gardevoir ex distinct numbered identities.</x:v>
      </x:c>
      <x:c r="K495" t="str">
        <x:v>zh-TW-157f7b2ae355</x:v>
      </x:c>
      <x:c r="L495" t="str">
        <x:v>reference_count</x:v>
      </x:c>
    </x:row>
    <x:row r="496">
      <x:c r="A496" t="str">
        <x:v>REF-cfa7ec3a3c43</x:v>
      </x:c>
      <x:c r="B496" t="str">
        <x:v>2026-09-26-reference-counts</x:v>
      </x:c>
      <x:c r="C496" t="str">
        <x:v>zh-TW</x:v>
      </x:c>
      <x:c r="D496" t="str">
        <x:v>Tactical Deck: Mega Sharpedo ex</x:v>
      </x:c>
      <x:c r="E496" t="str">
        <x:v>Reference count</x:v>
      </x:c>
      <x:c r="F496" t="n">
        <x:v>20</x:v>
      </x:c>
      <x:c r="G496" t="str">
        <x:v>product_numbered_checklist</x:v>
      </x:c>
      <x:c r="H496" t="str">
        <x:v>https://asia.pokemon-card.com/tw/card-search/ ; https://bulbapedia.bulbagarden.net/wiki/Pok%C3%A9mon_in_Taiwan</x:v>
      </x:c>
      <x:c r="I496" t="str">
        <x:v>zh-TW; distinct catalogue/checklist identities for this exact row scope</x:v>
      </x:c>
      <x:c r="J496" t="str">
        <x:v>Tactical Deck: Mega Sharpedo ex distinct numbered identities.</x:v>
      </x:c>
      <x:c r="K496" t="str">
        <x:v>zh-TW-945a283ffa50</x:v>
      </x:c>
      <x:c r="L496" t="str">
        <x:v>reference_count</x:v>
      </x:c>
    </x:row>
    <x:row r="497">
      <x:c r="A497" t="str">
        <x:v>REF-c93c30a30949</x:v>
      </x:c>
      <x:c r="B497" t="str">
        <x:v>2026-09-26-reference-counts</x:v>
      </x:c>
      <x:c r="C497" t="str">
        <x:v>zh-TW</x:v>
      </x:c>
      <x:c r="D497" t="str">
        <x:v>Storm Emeralda</x:v>
      </x:c>
      <x:c r="E497" t="str">
        <x:v>Reference count</x:v>
      </x:c>
      <x:c r="F497" t="n">
        <x:v>113</x:v>
      </x:c>
      <x:c r="G497" t="str">
        <x:v>synchronized_same_numbering</x:v>
      </x:c>
      <x:c r="H497" t="str">
        <x:v>https://bulbapedia.bulbagarden.net/wiki/Pok%C3%A9mon_in_Taiwan ; https://asia.pokemon-card.com/tw/card-search/</x:v>
      </x:c>
      <x:c r="I497" t="str">
        <x:v>zh-TW; distinct catalogue/checklist identities for this exact row scope</x:v>
      </x:c>
      <x:c r="J497" t="str">
        <x:v>Traditional Chinese release uses the synchronized Japanese card identities and numbering for this set; reference count inherited from the matching Japanese checklist.</x:v>
      </x:c>
      <x:c r="K497" t="str">
        <x:v>zh-TW-e1227d8b54e9</x:v>
      </x:c>
      <x:c r="L497" t="str">
        <x:v>reference_count</x:v>
      </x:c>
    </x:row>
    <x:row r="498">
      <x:c r="A498" t="str">
        <x:v>REF-0fe1ce7a793e</x:v>
      </x:c>
      <x:c r="B498" t="str">
        <x:v>2026-09-26-reference-counts</x:v>
      </x:c>
      <x:c r="C498" t="str">
        <x:v>zh-TW</x:v>
      </x:c>
      <x:c r="D498" t="str">
        <x:v>30th Celebration</x:v>
      </x:c>
      <x:c r="E498" t="str">
        <x:v>Reference count</x:v>
      </x:c>
      <x:c r="F498" t="n">
        <x:v>160</x:v>
      </x:c>
      <x:c r="G498" t="str">
        <x:v>lower_bound_or_numbering_extent</x:v>
      </x:c>
      <x:c r="H498" t="str">
        <x:v>https://asia.pokemon-card.com/tw/card-search/ ; https://bulbapedia.bulbagarden.net/wiki/Pok%C3%A9mon_in_Taiwan</x:v>
      </x:c>
      <x:c r="I498" t="str">
        <x:v>zh-TW; distinct catalogue/checklist identities for this exact row scope</x:v>
      </x:c>
      <x:c r="J498" t="str">
        <x:v>Minimum announced 30th Celebration catalogue size (160+); stored as lower bound pending final checklist reconciliation.</x:v>
      </x:c>
      <x:c r="K498" t="str">
        <x:v>zh-TW-3076e4f29fbe</x:v>
      </x:c>
      <x:c r="L498" t="str">
        <x:v>reference_count</x:v>
      </x:c>
    </x:row>
    <x:row r="499">
      <x:c r="A499" t="str">
        <x:v>REF-e21c46716623</x:v>
      </x:c>
      <x:c r="B499" t="str">
        <x:v>2026-09-26-reference-counts</x:v>
      </x:c>
      <x:c r="C499" t="str">
        <x:v>zh-TW</x:v>
      </x:c>
      <x:c r="D499" t="str">
        <x:v>Premium Deck Set: Espeon &amp; Umbreon</x:v>
      </x:c>
      <x:c r="E499" t="str">
        <x:v>Reference count</x:v>
      </x:c>
      <x:c r="F499" t="n">
        <x:v>44</x:v>
      </x:c>
      <x:c r="G499" t="str">
        <x:v>product_numbered_checklist</x:v>
      </x:c>
      <x:c r="H499" t="str">
        <x:v>https://asia.pokemon-card.com/tw/card-search/ ; https://bulbapedia.bulbagarden.net/wiki/Pok%C3%A9mon_in_Taiwan</x:v>
      </x:c>
      <x:c r="I499" t="str">
        <x:v>zh-TW; distinct catalogue/checklist identities for this exact row scope</x:v>
      </x:c>
      <x:c r="J499" t="str">
        <x:v>Premium Deck Set: Espeon &amp; Umbreon distinct numbered identities through 044/040.</x:v>
      </x:c>
      <x:c r="K499" t="str">
        <x:v>zh-TW-9c14d01812fd</x:v>
      </x:c>
      <x:c r="L499" t="str">
        <x:v>reference_count</x:v>
      </x:c>
    </x:row>
    <x:row r="500">
      <x:c r="A500" t="str">
        <x:v>REF-bd525216026f</x:v>
      </x:c>
      <x:c r="B500" t="str">
        <x:v>2026-09-26-reference-counts</x:v>
      </x:c>
      <x:c r="C500" t="str">
        <x:v>zh-TW</x:v>
      </x:c>
      <x:c r="D500" t="str">
        <x:v>Mega Evolution Promotional cards</x:v>
      </x:c>
      <x:c r="E500" t="str">
        <x:v>Reference count</x:v>
      </x:c>
      <x:c r="F500" t="n">
        <x:v>144</x:v>
      </x:c>
      <x:c r="G500" t="str">
        <x:v>lower_bound_or_numbering_extent</x:v>
      </x:c>
      <x:c r="H500" t="str">
        <x:v>https://asia.pokemon-card.com/tw/card-search/ ; https://bulbapedia.bulbagarden.net/wiki/Pok%C3%A9mon_in_Taiwan</x:v>
      </x:c>
      <x:c r="I500" t="str">
        <x:v>zh-TW; distinct catalogue/checklist identities for this exact row scope</x:v>
      </x:c>
      <x:c r="J500" t="str">
        <x:v>Current visible M-P Traditional Chinese promo numbering extent in source snapshot; ongoing series, stored as a lower bound.</x:v>
      </x:c>
      <x:c r="K500" t="str">
        <x:v>zh-TW-43aee0909785</x:v>
      </x:c>
      <x:c r="L500" t="str">
        <x:v>reference_count</x:v>
      </x:c>
    </x:row>
    <x:row r="501">
      <x:c r="A501" t="str">
        <x:v>REF-a2a99b983c0a</x:v>
      </x:c>
      <x:c r="B501" t="str">
        <x:v>2026-09-26-reference-counts</x:v>
      </x:c>
      <x:c r="C501" t="str">
        <x:v>zh-TW</x:v>
      </x:c>
      <x:c r="D501" t="str">
        <x:v>Scarlet &amp; Violet Promotional cards</x:v>
      </x:c>
      <x:c r="E501" t="str">
        <x:v>Reference count</x:v>
      </x:c>
      <x:c r="F501" t="n">
        <x:v>265</x:v>
      </x:c>
      <x:c r="G501" t="str">
        <x:v>lower_bound_or_numbering_extent</x:v>
      </x:c>
      <x:c r="H501" t="str">
        <x:v>https://asia.pokemon-card.com/tw/card-search/ ; https://bulbapedia.bulbagarden.net/wiki/Pok%C3%A9mon_in_Taiwan</x:v>
      </x:c>
      <x:c r="I501" t="str">
        <x:v>zh-TW; distinct catalogue/checklist identities for this exact row scope</x:v>
      </x:c>
      <x:c r="J501" t="str">
        <x:v>Current Traditional Chinese SV-P promotional catalogue minimum (265+); ongoing series.</x:v>
      </x:c>
      <x:c r="K501" t="str">
        <x:v>zh-TW-2906d27bb5d9</x:v>
      </x:c>
      <x:c r="L501" t="str">
        <x:v>reference_count</x:v>
      </x:c>
    </x:row>
    <x:row r="502">
      <x:c r="A502" t="str">
        <x:v>REF-5d427499ab55</x:v>
      </x:c>
      <x:c r="B502" t="str">
        <x:v>2026-09-26-reference-counts</x:v>
      </x:c>
      <x:c r="C502" t="str">
        <x:v>zh-TW</x:v>
      </x:c>
      <x:c r="D502" t="str">
        <x:v>Sun &amp; Moon Promotional cards</x:v>
      </x:c>
      <x:c r="E502" t="str">
        <x:v>Reference count</x:v>
      </x:c>
      <x:c r="F502" t="n">
        <x:v>78</x:v>
      </x:c>
      <x:c r="G502" t="str">
        <x:v>product_numbered_checklist</x:v>
      </x:c>
      <x:c r="H502" t="str">
        <x:v>https://asia.pokemon-card.com/tw/card-search/ ; https://bulbapedia.bulbagarden.net/wiki/Pok%C3%A9mon_in_Taiwan</x:v>
      </x:c>
      <x:c r="I502" t="str">
        <x:v>zh-TW; distinct catalogue/checklist identities for this exact row scope</x:v>
      </x:c>
      <x:c r="J502" t="str">
        <x:v>Traditional Chinese SM-P promotional catalogue identities in the referenced catalogue scope.</x:v>
      </x:c>
      <x:c r="K502" t="str">
        <x:v>zh-TW-a6040164d394</x:v>
      </x:c>
      <x:c r="L502" t="str">
        <x:v>reference_count</x:v>
      </x:c>
    </x:row>
    <x:row r="503">
      <x:c r="A503" t="str">
        <x:v>REF-05c988a29e7e</x:v>
      </x:c>
      <x:c r="B503" t="str">
        <x:v>2026-09-26-reference-counts</x:v>
      </x:c>
      <x:c r="C503" t="str">
        <x:v>zh-TW</x:v>
      </x:c>
      <x:c r="D503" t="str">
        <x:v>Sword &amp; Shield Promotional cards</x:v>
      </x:c>
      <x:c r="E503" t="str">
        <x:v>Reference count</x:v>
      </x:c>
      <x:c r="F503" t="n">
        <x:v>229</x:v>
      </x:c>
      <x:c r="G503" t="str">
        <x:v>lower_bound_or_numbering_extent</x:v>
      </x:c>
      <x:c r="H503" t="str">
        <x:v>https://asia.pokemon-card.com/tw/card-search/ ; https://bulbapedia.bulbagarden.net/wiki/Pok%C3%A9mon_in_Taiwan</x:v>
      </x:c>
      <x:c r="I503" t="str">
        <x:v>zh-TW; distinct catalogue/checklist identities for this exact row scope</x:v>
      </x:c>
      <x:c r="J503" t="str">
        <x:v>Current Traditional Chinese S-P promotional catalogue minimum (229+); ongoing series.</x:v>
      </x:c>
      <x:c r="K503" t="str">
        <x:v>zh-TW-e5a8fb2a002d</x:v>
      </x:c>
      <x:c r="L503" t="str">
        <x:v>reference_count</x:v>
      </x:c>
    </x:row>
    <x:row r="504">
      <x:c r="A504" t="str">
        <x:v>NUM-740d8e134d6d</x:v>
      </x:c>
      <x:c r="B504" t="str">
        <x:v>2026-09-26-numbered-totals</x:v>
      </x:c>
      <x:c r="C504" t="str">
        <x:v>en</x:v>
      </x:c>
      <x:c r="D504" t="str">
        <x:v>Base Set</x:v>
      </x:c>
      <x:c r="E504" t="str">
        <x:v>Numbered total</x:v>
      </x:c>
      <x:c r="F504" t="n">
        <x:v>102</x:v>
      </x:c>
      <x:c r="G504" t="str">
        <x:v>reconciled_components</x:v>
      </x:c>
      <x:c r="H504" t="str"/>
      <x:c r="I504" t="str">
        <x:v>en; unique numbered-card/checklist identities for this row scope</x:v>
      </x:c>
      <x:c r="J504" t="str">
        <x:v>Numbered total equals the reconciled printed denominator + beyond-denominator identities + separately listed subset identities.</x:v>
      </x:c>
      <x:c r="K504" t="str">
        <x:v>en-a0c246625f70</x:v>
      </x:c>
      <x:c r="L504" t="str">
        <x:v>numbered_total</x:v>
      </x:c>
    </x:row>
    <x:row r="505">
      <x:c r="A505" t="str">
        <x:v>NUM-f8fca2bdcff1</x:v>
      </x:c>
      <x:c r="B505" t="str">
        <x:v>2026-09-26-numbered-totals</x:v>
      </x:c>
      <x:c r="C505" t="str">
        <x:v>en</x:v>
      </x:c>
      <x:c r="D505" t="str">
        <x:v>Jungle</x:v>
      </x:c>
      <x:c r="E505" t="str">
        <x:v>Numbered total</x:v>
      </x:c>
      <x:c r="F505" t="n">
        <x:v>64</x:v>
      </x:c>
      <x:c r="G505" t="str">
        <x:v>reconciled_components</x:v>
      </x:c>
      <x:c r="H505" t="str"/>
      <x:c r="I505" t="str">
        <x:v>en; unique numbered-card/checklist identities for this row scope</x:v>
      </x:c>
      <x:c r="J505" t="str">
        <x:v>Numbered total equals the reconciled printed denominator + beyond-denominator identities + separately listed subset identities.</x:v>
      </x:c>
      <x:c r="K505" t="str">
        <x:v>en-04f13cef08d5</x:v>
      </x:c>
      <x:c r="L505" t="str">
        <x:v>numbered_total</x:v>
      </x:c>
    </x:row>
    <x:row r="506">
      <x:c r="A506" t="str">
        <x:v>NUM-6b07343c7c56</x:v>
      </x:c>
      <x:c r="B506" t="str">
        <x:v>2026-09-26-numbered-totals</x:v>
      </x:c>
      <x:c r="C506" t="str">
        <x:v>en</x:v>
      </x:c>
      <x:c r="D506" t="str">
        <x:v>Wizards Black Star Promos</x:v>
      </x:c>
      <x:c r="E506" t="str">
        <x:v>Numbered total</x:v>
      </x:c>
      <x:c r="F506" t="n">
        <x:v>53</x:v>
      </x:c>
      <x:c r="G506" t="str">
        <x:v>reconciled_components</x:v>
      </x:c>
      <x:c r="H506" t="str"/>
      <x:c r="I506" t="str">
        <x:v>en; unique numbered-card/checklist identities for this row scope</x:v>
      </x:c>
      <x:c r="J506" t="str">
        <x:v>Numbered total equals the reconciled printed denominator + beyond-denominator identities + separately listed subset identities.</x:v>
      </x:c>
      <x:c r="K506" t="str">
        <x:v>en-aa7e14b7f0c8</x:v>
      </x:c>
      <x:c r="L506" t="str">
        <x:v>numbered_total</x:v>
      </x:c>
    </x:row>
    <x:row r="507">
      <x:c r="A507" t="str">
        <x:v>NUM-351d07bb9393</x:v>
      </x:c>
      <x:c r="B507" t="str">
        <x:v>2026-09-26-numbered-totals</x:v>
      </x:c>
      <x:c r="C507" t="str">
        <x:v>en</x:v>
      </x:c>
      <x:c r="D507" t="str">
        <x:v>Fossil</x:v>
      </x:c>
      <x:c r="E507" t="str">
        <x:v>Numbered total</x:v>
      </x:c>
      <x:c r="F507" t="n">
        <x:v>62</x:v>
      </x:c>
      <x:c r="G507" t="str">
        <x:v>reconciled_components</x:v>
      </x:c>
      <x:c r="H507" t="str"/>
      <x:c r="I507" t="str">
        <x:v>en; unique numbered-card/checklist identities for this row scope</x:v>
      </x:c>
      <x:c r="J507" t="str">
        <x:v>Numbered total equals the reconciled printed denominator + beyond-denominator identities + separately listed subset identities.</x:v>
      </x:c>
      <x:c r="K507" t="str">
        <x:v>en-1023534ac633</x:v>
      </x:c>
      <x:c r="L507" t="str">
        <x:v>numbered_total</x:v>
      </x:c>
    </x:row>
    <x:row r="508">
      <x:c r="A508" t="str">
        <x:v>NUM-44fa9555e048</x:v>
      </x:c>
      <x:c r="B508" t="str">
        <x:v>2026-09-26-numbered-totals</x:v>
      </x:c>
      <x:c r="C508" t="str">
        <x:v>en</x:v>
      </x:c>
      <x:c r="D508" t="str">
        <x:v>Base Set 2</x:v>
      </x:c>
      <x:c r="E508" t="str">
        <x:v>Numbered total</x:v>
      </x:c>
      <x:c r="F508" t="n">
        <x:v>130</x:v>
      </x:c>
      <x:c r="G508" t="str">
        <x:v>reconciled_components</x:v>
      </x:c>
      <x:c r="H508" t="str"/>
      <x:c r="I508" t="str">
        <x:v>en; unique numbered-card/checklist identities for this row scope</x:v>
      </x:c>
      <x:c r="J508" t="str">
        <x:v>Numbered total equals the reconciled printed denominator + beyond-denominator identities + separately listed subset identities.</x:v>
      </x:c>
      <x:c r="K508" t="str">
        <x:v>en-a8df9e98a90c</x:v>
      </x:c>
      <x:c r="L508" t="str">
        <x:v>numbered_total</x:v>
      </x:c>
    </x:row>
    <x:row r="509">
      <x:c r="A509" t="str">
        <x:v>NUM-7ceddb00a70b</x:v>
      </x:c>
      <x:c r="B509" t="str">
        <x:v>2026-09-26-numbered-totals</x:v>
      </x:c>
      <x:c r="C509" t="str">
        <x:v>en</x:v>
      </x:c>
      <x:c r="D509" t="str">
        <x:v>Team Rocket</x:v>
      </x:c>
      <x:c r="E509" t="str">
        <x:v>Numbered total</x:v>
      </x:c>
      <x:c r="F509" t="n">
        <x:v>83</x:v>
      </x:c>
      <x:c r="G509" t="str">
        <x:v>reconciled_components</x:v>
      </x:c>
      <x:c r="H509" t="str"/>
      <x:c r="I509" t="str">
        <x:v>en; unique numbered-card/checklist identities for this row scope</x:v>
      </x:c>
      <x:c r="J509" t="str">
        <x:v>Numbered total equals the reconciled printed denominator + beyond-denominator identities + separately listed subset identities.</x:v>
      </x:c>
      <x:c r="K509" t="str">
        <x:v>en-c60e2d562834</x:v>
      </x:c>
      <x:c r="L509" t="str">
        <x:v>numbered_total</x:v>
      </x:c>
    </x:row>
    <x:row r="510">
      <x:c r="A510" t="str">
        <x:v>NUM-8ef2744011d0</x:v>
      </x:c>
      <x:c r="B510" t="str">
        <x:v>2026-09-26-numbered-totals</x:v>
      </x:c>
      <x:c r="C510" t="str">
        <x:v>en</x:v>
      </x:c>
      <x:c r="D510" t="str">
        <x:v>Gym Heroes</x:v>
      </x:c>
      <x:c r="E510" t="str">
        <x:v>Numbered total</x:v>
      </x:c>
      <x:c r="F510" t="n">
        <x:v>132</x:v>
      </x:c>
      <x:c r="G510" t="str">
        <x:v>reconciled_components</x:v>
      </x:c>
      <x:c r="H510" t="str"/>
      <x:c r="I510" t="str">
        <x:v>en; unique numbered-card/checklist identities for this row scope</x:v>
      </x:c>
      <x:c r="J510" t="str">
        <x:v>Numbered total equals the reconciled printed denominator + beyond-denominator identities + separately listed subset identities.</x:v>
      </x:c>
      <x:c r="K510" t="str">
        <x:v>en-c5ce98007735</x:v>
      </x:c>
      <x:c r="L510" t="str">
        <x:v>numbered_total</x:v>
      </x:c>
    </x:row>
    <x:row r="511">
      <x:c r="A511" t="str">
        <x:v>NUM-d2db50586b4d</x:v>
      </x:c>
      <x:c r="B511" t="str">
        <x:v>2026-09-26-numbered-totals</x:v>
      </x:c>
      <x:c r="C511" t="str">
        <x:v>en</x:v>
      </x:c>
      <x:c r="D511" t="str">
        <x:v>Gym Challenge</x:v>
      </x:c>
      <x:c r="E511" t="str">
        <x:v>Numbered total</x:v>
      </x:c>
      <x:c r="F511" t="n">
        <x:v>132</x:v>
      </x:c>
      <x:c r="G511" t="str">
        <x:v>reconciled_components</x:v>
      </x:c>
      <x:c r="H511" t="str"/>
      <x:c r="I511" t="str">
        <x:v>en; unique numbered-card/checklist identities for this row scope</x:v>
      </x:c>
      <x:c r="J511" t="str">
        <x:v>Numbered total equals the reconciled printed denominator + beyond-denominator identities + separately listed subset identities.</x:v>
      </x:c>
      <x:c r="K511" t="str">
        <x:v>en-02504fb70732</x:v>
      </x:c>
      <x:c r="L511" t="str">
        <x:v>numbered_total</x:v>
      </x:c>
    </x:row>
    <x:row r="512">
      <x:c r="A512" t="str">
        <x:v>NUM-df98c199e3f6</x:v>
      </x:c>
      <x:c r="B512" t="str">
        <x:v>2026-09-26-numbered-totals</x:v>
      </x:c>
      <x:c r="C512" t="str">
        <x:v>en</x:v>
      </x:c>
      <x:c r="D512" t="str">
        <x:v>Neo Genesis</x:v>
      </x:c>
      <x:c r="E512" t="str">
        <x:v>Numbered total</x:v>
      </x:c>
      <x:c r="F512" t="n">
        <x:v>111</x:v>
      </x:c>
      <x:c r="G512" t="str">
        <x:v>reconciled_components</x:v>
      </x:c>
      <x:c r="H512" t="str"/>
      <x:c r="I512" t="str">
        <x:v>en; unique numbered-card/checklist identities for this row scope</x:v>
      </x:c>
      <x:c r="J512" t="str">
        <x:v>Numbered total equals the reconciled printed denominator + beyond-denominator identities + separately listed subset identities.</x:v>
      </x:c>
      <x:c r="K512" t="str">
        <x:v>en-20cc938f566a</x:v>
      </x:c>
      <x:c r="L512" t="str">
        <x:v>numbered_total</x:v>
      </x:c>
    </x:row>
    <x:row r="513">
      <x:c r="A513" t="str">
        <x:v>NUM-32c205ca7237</x:v>
      </x:c>
      <x:c r="B513" t="str">
        <x:v>2026-09-26-numbered-totals</x:v>
      </x:c>
      <x:c r="C513" t="str">
        <x:v>en</x:v>
      </x:c>
      <x:c r="D513" t="str">
        <x:v>Neo Discovery</x:v>
      </x:c>
      <x:c r="E513" t="str">
        <x:v>Numbered total</x:v>
      </x:c>
      <x:c r="F513" t="n">
        <x:v>75</x:v>
      </x:c>
      <x:c r="G513" t="str">
        <x:v>reconciled_components</x:v>
      </x:c>
      <x:c r="H513" t="str"/>
      <x:c r="I513" t="str">
        <x:v>en; unique numbered-card/checklist identities for this row scope</x:v>
      </x:c>
      <x:c r="J513" t="str">
        <x:v>Numbered total equals the reconciled printed denominator + beyond-denominator identities + separately listed subset identities.</x:v>
      </x:c>
      <x:c r="K513" t="str">
        <x:v>en-35d669d41542</x:v>
      </x:c>
      <x:c r="L513" t="str">
        <x:v>numbered_total</x:v>
      </x:c>
    </x:row>
    <x:row r="514">
      <x:c r="A514" t="str">
        <x:v>NUM-6574ad53117a</x:v>
      </x:c>
      <x:c r="B514" t="str">
        <x:v>2026-09-26-numbered-totals</x:v>
      </x:c>
      <x:c r="C514" t="str">
        <x:v>en</x:v>
      </x:c>
      <x:c r="D514" t="str">
        <x:v>Southern Islands</x:v>
      </x:c>
      <x:c r="E514" t="str">
        <x:v>Numbered total</x:v>
      </x:c>
      <x:c r="F514" t="n">
        <x:v>18</x:v>
      </x:c>
      <x:c r="G514" t="str">
        <x:v>reconciled_components</x:v>
      </x:c>
      <x:c r="H514" t="str"/>
      <x:c r="I514" t="str">
        <x:v>en; unique numbered-card/checklist identities for this row scope</x:v>
      </x:c>
      <x:c r="J514" t="str">
        <x:v>Numbered total equals the reconciled printed denominator + beyond-denominator identities + separately listed subset identities.</x:v>
      </x:c>
      <x:c r="K514" t="str">
        <x:v>en-6cd59d2de3c3</x:v>
      </x:c>
      <x:c r="L514" t="str">
        <x:v>numbered_total</x:v>
      </x:c>
    </x:row>
    <x:row r="515">
      <x:c r="A515" t="str">
        <x:v>NUM-9819b9c7c1e2</x:v>
      </x:c>
      <x:c r="B515" t="str">
        <x:v>2026-09-26-numbered-totals</x:v>
      </x:c>
      <x:c r="C515" t="str">
        <x:v>en</x:v>
      </x:c>
      <x:c r="D515" t="str">
        <x:v>Neo Revelation</x:v>
      </x:c>
      <x:c r="E515" t="str">
        <x:v>Numbered total</x:v>
      </x:c>
      <x:c r="F515" t="n">
        <x:v>66</x:v>
      </x:c>
      <x:c r="G515" t="str">
        <x:v>reconciled_components</x:v>
      </x:c>
      <x:c r="H515" t="str"/>
      <x:c r="I515" t="str">
        <x:v>en; unique numbered-card/checklist identities for this row scope</x:v>
      </x:c>
      <x:c r="J515" t="str">
        <x:v>Numbered total equals the reconciled printed denominator + beyond-denominator identities + separately listed subset identities.</x:v>
      </x:c>
      <x:c r="K515" t="str">
        <x:v>en-4ebd136067f6</x:v>
      </x:c>
      <x:c r="L515" t="str">
        <x:v>numbered_total</x:v>
      </x:c>
    </x:row>
    <x:row r="516">
      <x:c r="A516" t="str">
        <x:v>NUM-33df90b55a74</x:v>
      </x:c>
      <x:c r="B516" t="str">
        <x:v>2026-09-26-numbered-totals</x:v>
      </x:c>
      <x:c r="C516" t="str">
        <x:v>en</x:v>
      </x:c>
      <x:c r="D516" t="str">
        <x:v>Neo Destiny</x:v>
      </x:c>
      <x:c r="E516" t="str">
        <x:v>Numbered total</x:v>
      </x:c>
      <x:c r="F516" t="n">
        <x:v>113</x:v>
      </x:c>
      <x:c r="G516" t="str">
        <x:v>reconciled_components</x:v>
      </x:c>
      <x:c r="H516" t="str"/>
      <x:c r="I516" t="str">
        <x:v>en; unique numbered-card/checklist identities for this row scope</x:v>
      </x:c>
      <x:c r="J516" t="str">
        <x:v>Numbered total equals the reconciled printed denominator + beyond-denominator identities + separately listed subset identities.</x:v>
      </x:c>
      <x:c r="K516" t="str">
        <x:v>en-c2856ff4149f</x:v>
      </x:c>
      <x:c r="L516" t="str">
        <x:v>numbered_total</x:v>
      </x:c>
    </x:row>
    <x:row r="517">
      <x:c r="A517" t="str">
        <x:v>NUM-afe14eb14e9b</x:v>
      </x:c>
      <x:c r="B517" t="str">
        <x:v>2026-09-26-numbered-totals</x:v>
      </x:c>
      <x:c r="C517" t="str">
        <x:v>en</x:v>
      </x:c>
      <x:c r="D517" t="str">
        <x:v>Legendary Collection</x:v>
      </x:c>
      <x:c r="E517" t="str">
        <x:v>Numbered total</x:v>
      </x:c>
      <x:c r="F517" t="n">
        <x:v>110</x:v>
      </x:c>
      <x:c r="G517" t="str">
        <x:v>reconciled_components</x:v>
      </x:c>
      <x:c r="H517" t="str"/>
      <x:c r="I517" t="str">
        <x:v>en; unique numbered-card/checklist identities for this row scope</x:v>
      </x:c>
      <x:c r="J517" t="str">
        <x:v>Numbered total equals the reconciled printed denominator + beyond-denominator identities + separately listed subset identities.</x:v>
      </x:c>
      <x:c r="K517" t="str">
        <x:v>en-cd4f85d44ef5</x:v>
      </x:c>
      <x:c r="L517" t="str">
        <x:v>numbered_total</x:v>
      </x:c>
    </x:row>
    <x:row r="518">
      <x:c r="A518" t="str">
        <x:v>NUM-e57ea025346c</x:v>
      </x:c>
      <x:c r="B518" t="str">
        <x:v>2026-09-26-numbered-totals</x:v>
      </x:c>
      <x:c r="C518" t="str">
        <x:v>en</x:v>
      </x:c>
      <x:c r="D518" t="str">
        <x:v>Expedition Base Set</x:v>
      </x:c>
      <x:c r="E518" t="str">
        <x:v>Numbered total</x:v>
      </x:c>
      <x:c r="F518" t="n">
        <x:v>165</x:v>
      </x:c>
      <x:c r="G518" t="str">
        <x:v>reconciled_components</x:v>
      </x:c>
      <x:c r="H518" t="str"/>
      <x:c r="I518" t="str">
        <x:v>en; unique numbered-card/checklist identities for this row scope</x:v>
      </x:c>
      <x:c r="J518" t="str">
        <x:v>Numbered total equals the reconciled printed denominator + beyond-denominator identities + separately listed subset identities.</x:v>
      </x:c>
      <x:c r="K518" t="str">
        <x:v>en-5d6d8308391d</x:v>
      </x:c>
      <x:c r="L518" t="str">
        <x:v>numbered_total</x:v>
      </x:c>
    </x:row>
    <x:row r="519">
      <x:c r="A519" t="str">
        <x:v>NUM-32d88720dcdf</x:v>
      </x:c>
      <x:c r="B519" t="str">
        <x:v>2026-09-26-numbered-totals</x:v>
      </x:c>
      <x:c r="C519" t="str">
        <x:v>en</x:v>
      </x:c>
      <x:c r="D519" t="str">
        <x:v>Best of Game</x:v>
      </x:c>
      <x:c r="E519" t="str">
        <x:v>Numbered total</x:v>
      </x:c>
      <x:c r="F519" t="n">
        <x:v>9</x:v>
      </x:c>
      <x:c r="G519" t="str">
        <x:v>reconciled_components</x:v>
      </x:c>
      <x:c r="H519" t="str">
        <x:v>https://pkmncards.com/sets/</x:v>
      </x:c>
      <x:c r="I519" t="str">
        <x:v>en; unique numbered-card/checklist identities for this row scope</x:v>
      </x:c>
      <x:c r="J519" t="str">
        <x:v>Numbered total equals the reconciled printed denominator + beyond-denominator identities + separately listed subset identities.</x:v>
      </x:c>
      <x:c r="K519" t="str">
        <x:v>en-6b8ea434ff3c</x:v>
      </x:c>
      <x:c r="L519" t="str">
        <x:v>numbered_total</x:v>
      </x:c>
    </x:row>
    <x:row r="520">
      <x:c r="A520" t="str">
        <x:v>NUM-b780e6a0c317</x:v>
      </x:c>
      <x:c r="B520" t="str">
        <x:v>2026-09-26-numbered-totals</x:v>
      </x:c>
      <x:c r="C520" t="str">
        <x:v>en</x:v>
      </x:c>
      <x:c r="D520" t="str">
        <x:v>Aquapolis</x:v>
      </x:c>
      <x:c r="E520" t="str">
        <x:v>Numbered total</x:v>
      </x:c>
      <x:c r="F520" t="n">
        <x:v>182</x:v>
      </x:c>
      <x:c r="G520" t="str">
        <x:v>reconciled_components</x:v>
      </x:c>
      <x:c r="H520" t="str"/>
      <x:c r="I520" t="str">
        <x:v>en; unique numbered-card/checklist identities for this row scope</x:v>
      </x:c>
      <x:c r="J520" t="str">
        <x:v>Numbered total equals the reconciled printed denominator + beyond-denominator identities + separately listed subset identities.</x:v>
      </x:c>
      <x:c r="K520" t="str">
        <x:v>en-cc20a20022be</x:v>
      </x:c>
      <x:c r="L520" t="str">
        <x:v>numbered_total</x:v>
      </x:c>
    </x:row>
    <x:row r="521">
      <x:c r="A521" t="str">
        <x:v>NUM-cf855c6bcebe</x:v>
      </x:c>
      <x:c r="B521" t="str">
        <x:v>2026-09-26-numbered-totals</x:v>
      </x:c>
      <x:c r="C521" t="str">
        <x:v>en</x:v>
      </x:c>
      <x:c r="D521" t="str">
        <x:v>Skyridge</x:v>
      </x:c>
      <x:c r="E521" t="str">
        <x:v>Numbered total</x:v>
      </x:c>
      <x:c r="F521" t="n">
        <x:v>182</x:v>
      </x:c>
      <x:c r="G521" t="str">
        <x:v>reconciled_components</x:v>
      </x:c>
      <x:c r="H521" t="str"/>
      <x:c r="I521" t="str">
        <x:v>en; unique numbered-card/checklist identities for this row scope</x:v>
      </x:c>
      <x:c r="J521" t="str">
        <x:v>Numbered total equals the reconciled printed denominator + beyond-denominator identities + separately listed subset identities.</x:v>
      </x:c>
      <x:c r="K521" t="str">
        <x:v>en-97419826c195</x:v>
      </x:c>
      <x:c r="L521" t="str">
        <x:v>numbered_total</x:v>
      </x:c>
    </x:row>
    <x:row r="522">
      <x:c r="A522" t="str">
        <x:v>NUM-076777ec2080</x:v>
      </x:c>
      <x:c r="B522" t="str">
        <x:v>2026-09-26-numbered-totals</x:v>
      </x:c>
      <x:c r="C522" t="str">
        <x:v>en</x:v>
      </x:c>
      <x:c r="D522" t="str">
        <x:v>EX Ruby &amp; Sapphire</x:v>
      </x:c>
      <x:c r="E522" t="str">
        <x:v>Numbered total</x:v>
      </x:c>
      <x:c r="F522" t="n">
        <x:v>109</x:v>
      </x:c>
      <x:c r="G522" t="str">
        <x:v>reconciled_components</x:v>
      </x:c>
      <x:c r="H522" t="str"/>
      <x:c r="I522" t="str">
        <x:v>en; unique numbered-card/checklist identities for this row scope</x:v>
      </x:c>
      <x:c r="J522" t="str">
        <x:v>Numbered total equals the reconciled printed denominator + beyond-denominator identities + separately listed subset identities.</x:v>
      </x:c>
      <x:c r="K522" t="str">
        <x:v>en-9fae739d1b50</x:v>
      </x:c>
      <x:c r="L522" t="str">
        <x:v>numbered_total</x:v>
      </x:c>
    </x:row>
    <x:row r="523">
      <x:c r="A523" t="str">
        <x:v>NUM-24023c1dc3fa</x:v>
      </x:c>
      <x:c r="B523" t="str">
        <x:v>2026-09-26-numbered-totals</x:v>
      </x:c>
      <x:c r="C523" t="str">
        <x:v>en</x:v>
      </x:c>
      <x:c r="D523" t="str">
        <x:v>EX Sandstorm</x:v>
      </x:c>
      <x:c r="E523" t="str">
        <x:v>Numbered total</x:v>
      </x:c>
      <x:c r="F523" t="n">
        <x:v>100</x:v>
      </x:c>
      <x:c r="G523" t="str">
        <x:v>reconciled_components</x:v>
      </x:c>
      <x:c r="H523" t="str"/>
      <x:c r="I523" t="str">
        <x:v>en; unique numbered-card/checklist identities for this row scope</x:v>
      </x:c>
      <x:c r="J523" t="str">
        <x:v>Numbered total equals the reconciled printed denominator + beyond-denominator identities + separately listed subset identities.</x:v>
      </x:c>
      <x:c r="K523" t="str">
        <x:v>en-2c8548f403ec</x:v>
      </x:c>
      <x:c r="L523" t="str">
        <x:v>numbered_total</x:v>
      </x:c>
    </x:row>
    <x:row r="524">
      <x:c r="A524" t="str">
        <x:v>NUM-7ea92dc1024b</x:v>
      </x:c>
      <x:c r="B524" t="str">
        <x:v>2026-09-26-numbered-totals</x:v>
      </x:c>
      <x:c r="C524" t="str">
        <x:v>en</x:v>
      </x:c>
      <x:c r="D524" t="str">
        <x:v>Nintendo Black Star Promos</x:v>
      </x:c>
      <x:c r="E524" t="str">
        <x:v>Numbered total</x:v>
      </x:c>
      <x:c r="F524" t="n">
        <x:v>40</x:v>
      </x:c>
      <x:c r="G524" t="str">
        <x:v>reconciled_components</x:v>
      </x:c>
      <x:c r="H524" t="str"/>
      <x:c r="I524" t="str">
        <x:v>en; unique numbered-card/checklist identities for this row scope</x:v>
      </x:c>
      <x:c r="J524" t="str">
        <x:v>Numbered total equals the reconciled printed denominator + beyond-denominator identities + separately listed subset identities.</x:v>
      </x:c>
      <x:c r="K524" t="str">
        <x:v>en-25a30d326497</x:v>
      </x:c>
      <x:c r="L524" t="str">
        <x:v>numbered_total</x:v>
      </x:c>
    </x:row>
    <x:row r="525">
      <x:c r="A525" t="str">
        <x:v>NUM-b73a5d377776</x:v>
      </x:c>
      <x:c r="B525" t="str">
        <x:v>2026-09-26-numbered-totals</x:v>
      </x:c>
      <x:c r="C525" t="str">
        <x:v>en</x:v>
      </x:c>
      <x:c r="D525" t="str">
        <x:v>EX Dragon</x:v>
      </x:c>
      <x:c r="E525" t="str">
        <x:v>Numbered total</x:v>
      </x:c>
      <x:c r="F525" t="n">
        <x:v>100</x:v>
      </x:c>
      <x:c r="G525" t="str">
        <x:v>reconciled_components</x:v>
      </x:c>
      <x:c r="H525" t="str"/>
      <x:c r="I525" t="str">
        <x:v>en; unique numbered-card/checklist identities for this row scope</x:v>
      </x:c>
      <x:c r="J525" t="str">
        <x:v>Numbered total equals the reconciled printed denominator + beyond-denominator identities + separately listed subset identities.</x:v>
      </x:c>
      <x:c r="K525" t="str">
        <x:v>en-4136e90acfc5</x:v>
      </x:c>
      <x:c r="L525" t="str">
        <x:v>numbered_total</x:v>
      </x:c>
    </x:row>
    <x:row r="526">
      <x:c r="A526" t="str">
        <x:v>NUM-b26df2d74a62</x:v>
      </x:c>
      <x:c r="B526" t="str">
        <x:v>2026-09-26-numbered-totals</x:v>
      </x:c>
      <x:c r="C526" t="str">
        <x:v>en</x:v>
      </x:c>
      <x:c r="D526" t="str">
        <x:v>EX Team Magma vs Team Aqua</x:v>
      </x:c>
      <x:c r="E526" t="str">
        <x:v>Numbered total</x:v>
      </x:c>
      <x:c r="F526" t="n">
        <x:v>97</x:v>
      </x:c>
      <x:c r="G526" t="str">
        <x:v>reconciled_components</x:v>
      </x:c>
      <x:c r="H526" t="str"/>
      <x:c r="I526" t="str">
        <x:v>en; unique numbered-card/checklist identities for this row scope</x:v>
      </x:c>
      <x:c r="J526" t="str">
        <x:v>Numbered total equals the reconciled printed denominator + beyond-denominator identities + separately listed subset identities.</x:v>
      </x:c>
      <x:c r="K526" t="str">
        <x:v>en-2716fcc13469</x:v>
      </x:c>
      <x:c r="L526" t="str">
        <x:v>numbered_total</x:v>
      </x:c>
    </x:row>
    <x:row r="527">
      <x:c r="A527" t="str">
        <x:v>NUM-1abd9022a799</x:v>
      </x:c>
      <x:c r="B527" t="str">
        <x:v>2026-09-26-numbered-totals</x:v>
      </x:c>
      <x:c r="C527" t="str">
        <x:v>en</x:v>
      </x:c>
      <x:c r="D527" t="str">
        <x:v>EX Hidden Legends</x:v>
      </x:c>
      <x:c r="E527" t="str">
        <x:v>Numbered total</x:v>
      </x:c>
      <x:c r="F527" t="n">
        <x:v>102</x:v>
      </x:c>
      <x:c r="G527" t="str">
        <x:v>reconciled_components</x:v>
      </x:c>
      <x:c r="H527" t="str"/>
      <x:c r="I527" t="str">
        <x:v>en; unique numbered-card/checklist identities for this row scope</x:v>
      </x:c>
      <x:c r="J527" t="str">
        <x:v>Numbered total equals the reconciled printed denominator + beyond-denominator identities + separately listed subset identities.</x:v>
      </x:c>
      <x:c r="K527" t="str">
        <x:v>en-8b591b123a2d</x:v>
      </x:c>
      <x:c r="L527" t="str">
        <x:v>numbered_total</x:v>
      </x:c>
    </x:row>
    <x:row r="528">
      <x:c r="A528" t="str">
        <x:v>NUM-1cf28d155c48</x:v>
      </x:c>
      <x:c r="B528" t="str">
        <x:v>2026-09-26-numbered-totals</x:v>
      </x:c>
      <x:c r="C528" t="str">
        <x:v>en</x:v>
      </x:c>
      <x:c r="D528" t="str">
        <x:v>Poké Card Creator Pack</x:v>
      </x:c>
      <x:c r="E528" t="str">
        <x:v>Numbered total</x:v>
      </x:c>
      <x:c r="F528" t="n">
        <x:v>5</x:v>
      </x:c>
      <x:c r="G528" t="str">
        <x:v>reconciled_components</x:v>
      </x:c>
      <x:c r="H528" t="str"/>
      <x:c r="I528" t="str">
        <x:v>en; unique numbered-card/checklist identities for this row scope</x:v>
      </x:c>
      <x:c r="J528" t="str">
        <x:v>Numbered total equals the reconciled printed denominator + beyond-denominator identities + separately listed subset identities.</x:v>
      </x:c>
      <x:c r="K528" t="str">
        <x:v>en-113c19d40966</x:v>
      </x:c>
      <x:c r="L528" t="str">
        <x:v>numbered_total</x:v>
      </x:c>
    </x:row>
    <x:row r="529">
      <x:c r="A529" t="str">
        <x:v>NUM-af53fff37b23</x:v>
      </x:c>
      <x:c r="B529" t="str">
        <x:v>2026-09-26-numbered-totals</x:v>
      </x:c>
      <x:c r="C529" t="str">
        <x:v>en</x:v>
      </x:c>
      <x:c r="D529" t="str">
        <x:v>EX FireRed &amp; LeafGreen</x:v>
      </x:c>
      <x:c r="E529" t="str">
        <x:v>Numbered total</x:v>
      </x:c>
      <x:c r="F529" t="n">
        <x:v>116</x:v>
      </x:c>
      <x:c r="G529" t="str">
        <x:v>reconciled_components</x:v>
      </x:c>
      <x:c r="H529" t="str"/>
      <x:c r="I529" t="str">
        <x:v>en; unique numbered-card/checklist identities for this row scope</x:v>
      </x:c>
      <x:c r="J529" t="str">
        <x:v>Numbered total equals the reconciled printed denominator + beyond-denominator identities + separately listed subset identities.</x:v>
      </x:c>
      <x:c r="K529" t="str">
        <x:v>en-f5ccf3069644</x:v>
      </x:c>
      <x:c r="L529" t="str">
        <x:v>numbered_total</x:v>
      </x:c>
    </x:row>
    <x:row r="530">
      <x:c r="A530" t="str">
        <x:v>NUM-590750cdcd4a</x:v>
      </x:c>
      <x:c r="B530" t="str">
        <x:v>2026-09-26-numbered-totals</x:v>
      </x:c>
      <x:c r="C530" t="str">
        <x:v>en</x:v>
      </x:c>
      <x:c r="D530" t="str">
        <x:v>POP Series 1</x:v>
      </x:c>
      <x:c r="E530" t="str">
        <x:v>Numbered total</x:v>
      </x:c>
      <x:c r="F530" t="n">
        <x:v>17</x:v>
      </x:c>
      <x:c r="G530" t="str">
        <x:v>reconciled_components</x:v>
      </x:c>
      <x:c r="H530" t="str"/>
      <x:c r="I530" t="str">
        <x:v>en; unique numbered-card/checklist identities for this row scope</x:v>
      </x:c>
      <x:c r="J530" t="str">
        <x:v>Numbered total equals the reconciled printed denominator + beyond-denominator identities + separately listed subset identities.</x:v>
      </x:c>
      <x:c r="K530" t="str">
        <x:v>en-3038f4c0a2b4</x:v>
      </x:c>
      <x:c r="L530" t="str">
        <x:v>numbered_total</x:v>
      </x:c>
    </x:row>
    <x:row r="531">
      <x:c r="A531" t="str">
        <x:v>NUM-b679a35bf8cb</x:v>
      </x:c>
      <x:c r="B531" t="str">
        <x:v>2026-09-26-numbered-totals</x:v>
      </x:c>
      <x:c r="C531" t="str">
        <x:v>en</x:v>
      </x:c>
      <x:c r="D531" t="str">
        <x:v>EX Team Rocket Returns</x:v>
      </x:c>
      <x:c r="E531" t="str">
        <x:v>Numbered total</x:v>
      </x:c>
      <x:c r="F531" t="n">
        <x:v>111</x:v>
      </x:c>
      <x:c r="G531" t="str">
        <x:v>reconciled_components</x:v>
      </x:c>
      <x:c r="H531" t="str"/>
      <x:c r="I531" t="str">
        <x:v>en; unique numbered-card/checklist identities for this row scope</x:v>
      </x:c>
      <x:c r="J531" t="str">
        <x:v>Numbered total equals the reconciled printed denominator + beyond-denominator identities + separately listed subset identities.</x:v>
      </x:c>
      <x:c r="K531" t="str">
        <x:v>en-afe4a95f06f0</x:v>
      </x:c>
      <x:c r="L531" t="str">
        <x:v>numbered_total</x:v>
      </x:c>
    </x:row>
    <x:row r="532">
      <x:c r="A532" t="str">
        <x:v>NUM-f8e3095f6248</x:v>
      </x:c>
      <x:c r="B532" t="str">
        <x:v>2026-09-26-numbered-totals</x:v>
      </x:c>
      <x:c r="C532" t="str">
        <x:v>en</x:v>
      </x:c>
      <x:c r="D532" t="str">
        <x:v>EX Deoxys</x:v>
      </x:c>
      <x:c r="E532" t="str">
        <x:v>Numbered total</x:v>
      </x:c>
      <x:c r="F532" t="n">
        <x:v>108</x:v>
      </x:c>
      <x:c r="G532" t="str">
        <x:v>reconciled_components</x:v>
      </x:c>
      <x:c r="H532" t="str"/>
      <x:c r="I532" t="str">
        <x:v>en; unique numbered-card/checklist identities for this row scope</x:v>
      </x:c>
      <x:c r="J532" t="str">
        <x:v>Numbered total equals the reconciled printed denominator + beyond-denominator identities + separately listed subset identities.</x:v>
      </x:c>
      <x:c r="K532" t="str">
        <x:v>en-c9757869c465</x:v>
      </x:c>
      <x:c r="L532" t="str">
        <x:v>numbered_total</x:v>
      </x:c>
    </x:row>
    <x:row r="533">
      <x:c r="A533" t="str">
        <x:v>NUM-5f88f31b25c2</x:v>
      </x:c>
      <x:c r="B533" t="str">
        <x:v>2026-09-26-numbered-totals</x:v>
      </x:c>
      <x:c r="C533" t="str">
        <x:v>en</x:v>
      </x:c>
      <x:c r="D533" t="str">
        <x:v>EX Emerald</x:v>
      </x:c>
      <x:c r="E533" t="str">
        <x:v>Numbered total</x:v>
      </x:c>
      <x:c r="F533" t="n">
        <x:v>107</x:v>
      </x:c>
      <x:c r="G533" t="str">
        <x:v>reconciled_components</x:v>
      </x:c>
      <x:c r="H533" t="str"/>
      <x:c r="I533" t="str">
        <x:v>en; unique numbered-card/checklist identities for this row scope</x:v>
      </x:c>
      <x:c r="J533" t="str">
        <x:v>Numbered total equals the reconciled printed denominator + beyond-denominator identities + separately listed subset identities.</x:v>
      </x:c>
      <x:c r="K533" t="str">
        <x:v>en-63dd78545f6b</x:v>
      </x:c>
      <x:c r="L533" t="str">
        <x:v>numbered_total</x:v>
      </x:c>
    </x:row>
    <x:row r="534">
      <x:c r="A534" t="str">
        <x:v>NUM-5ee3277c0509</x:v>
      </x:c>
      <x:c r="B534" t="str">
        <x:v>2026-09-26-numbered-totals</x:v>
      </x:c>
      <x:c r="C534" t="str">
        <x:v>en</x:v>
      </x:c>
      <x:c r="D534" t="str">
        <x:v>POP Series 2</x:v>
      </x:c>
      <x:c r="E534" t="str">
        <x:v>Numbered total</x:v>
      </x:c>
      <x:c r="F534" t="n">
        <x:v>17</x:v>
      </x:c>
      <x:c r="G534" t="str">
        <x:v>reconciled_components</x:v>
      </x:c>
      <x:c r="H534" t="str"/>
      <x:c r="I534" t="str">
        <x:v>en; unique numbered-card/checklist identities for this row scope</x:v>
      </x:c>
      <x:c r="J534" t="str">
        <x:v>Numbered total equals the reconciled printed denominator + beyond-denominator identities + separately listed subset identities.</x:v>
      </x:c>
      <x:c r="K534" t="str">
        <x:v>en-2ae0ae63d6c6</x:v>
      </x:c>
      <x:c r="L534" t="str">
        <x:v>numbered_total</x:v>
      </x:c>
    </x:row>
    <x:row r="535">
      <x:c r="A535" t="str">
        <x:v>NUM-6f3fcf615348</x:v>
      </x:c>
      <x:c r="B535" t="str">
        <x:v>2026-09-26-numbered-totals</x:v>
      </x:c>
      <x:c r="C535" t="str">
        <x:v>en</x:v>
      </x:c>
      <x:c r="D535" t="str">
        <x:v>EX Unseen Forces</x:v>
      </x:c>
      <x:c r="E535" t="str">
        <x:v>Numbered total</x:v>
      </x:c>
      <x:c r="F535" t="n">
        <x:v>145</x:v>
      </x:c>
      <x:c r="G535" t="str">
        <x:v>reconciled_components</x:v>
      </x:c>
      <x:c r="H535" t="str"/>
      <x:c r="I535" t="str">
        <x:v>en; unique numbered-card/checklist identities for this row scope</x:v>
      </x:c>
      <x:c r="J535" t="str">
        <x:v>Numbered total equals the reconciled printed denominator + beyond-denominator identities + separately listed subset identities.</x:v>
      </x:c>
      <x:c r="K535" t="str">
        <x:v>en-d8fc5898f167</x:v>
      </x:c>
      <x:c r="L535" t="str">
        <x:v>numbered_total</x:v>
      </x:c>
    </x:row>
    <x:row r="536">
      <x:c r="A536" t="str">
        <x:v>NUM-fb05d3b46851</x:v>
      </x:c>
      <x:c r="B536" t="str">
        <x:v>2026-09-26-numbered-totals</x:v>
      </x:c>
      <x:c r="C536" t="str">
        <x:v>en</x:v>
      </x:c>
      <x:c r="D536" t="str">
        <x:v>EX Delta Species</x:v>
      </x:c>
      <x:c r="E536" t="str">
        <x:v>Numbered total</x:v>
      </x:c>
      <x:c r="F536" t="n">
        <x:v>114</x:v>
      </x:c>
      <x:c r="G536" t="str">
        <x:v>reconciled_components</x:v>
      </x:c>
      <x:c r="H536" t="str"/>
      <x:c r="I536" t="str">
        <x:v>en; unique numbered-card/checklist identities for this row scope</x:v>
      </x:c>
      <x:c r="J536" t="str">
        <x:v>Numbered total equals the reconciled printed denominator + beyond-denominator identities + separately listed subset identities.</x:v>
      </x:c>
      <x:c r="K536" t="str">
        <x:v>en-54098c178e15</x:v>
      </x:c>
      <x:c r="L536" t="str">
        <x:v>numbered_total</x:v>
      </x:c>
    </x:row>
    <x:row r="537">
      <x:c r="A537" t="str">
        <x:v>NUM-94c05c80f902</x:v>
      </x:c>
      <x:c r="B537" t="str">
        <x:v>2026-09-26-numbered-totals</x:v>
      </x:c>
      <x:c r="C537" t="str">
        <x:v>en</x:v>
      </x:c>
      <x:c r="D537" t="str">
        <x:v>EX Legend Maker</x:v>
      </x:c>
      <x:c r="E537" t="str">
        <x:v>Numbered total</x:v>
      </x:c>
      <x:c r="F537" t="n">
        <x:v>93</x:v>
      </x:c>
      <x:c r="G537" t="str">
        <x:v>reconciled_components</x:v>
      </x:c>
      <x:c r="H537" t="str"/>
      <x:c r="I537" t="str">
        <x:v>en; unique numbered-card/checklist identities for this row scope</x:v>
      </x:c>
      <x:c r="J537" t="str">
        <x:v>Numbered total equals the reconciled printed denominator + beyond-denominator identities + separately listed subset identities.</x:v>
      </x:c>
      <x:c r="K537" t="str">
        <x:v>en-9cb8c9f6e536</x:v>
      </x:c>
      <x:c r="L537" t="str">
        <x:v>numbered_total</x:v>
      </x:c>
    </x:row>
    <x:row r="538">
      <x:c r="A538" t="str">
        <x:v>NUM-376baa2a3746</x:v>
      </x:c>
      <x:c r="B538" t="str">
        <x:v>2026-09-26-numbered-totals</x:v>
      </x:c>
      <x:c r="C538" t="str">
        <x:v>en</x:v>
      </x:c>
      <x:c r="D538" t="str">
        <x:v>POP Series 3</x:v>
      </x:c>
      <x:c r="E538" t="str">
        <x:v>Numbered total</x:v>
      </x:c>
      <x:c r="F538" t="n">
        <x:v>17</x:v>
      </x:c>
      <x:c r="G538" t="str">
        <x:v>reconciled_components</x:v>
      </x:c>
      <x:c r="H538" t="str"/>
      <x:c r="I538" t="str">
        <x:v>en; unique numbered-card/checklist identities for this row scope</x:v>
      </x:c>
      <x:c r="J538" t="str">
        <x:v>Numbered total equals the reconciled printed denominator + beyond-denominator identities + separately listed subset identities.</x:v>
      </x:c>
      <x:c r="K538" t="str">
        <x:v>en-c3b6dc0be0f9</x:v>
      </x:c>
      <x:c r="L538" t="str">
        <x:v>numbered_total</x:v>
      </x:c>
    </x:row>
    <x:row r="539">
      <x:c r="A539" t="str">
        <x:v>NUM-ce524dee5e9a</x:v>
      </x:c>
      <x:c r="B539" t="str">
        <x:v>2026-09-26-numbered-totals</x:v>
      </x:c>
      <x:c r="C539" t="str">
        <x:v>en</x:v>
      </x:c>
      <x:c r="D539" t="str">
        <x:v>EX Holon Phantoms</x:v>
      </x:c>
      <x:c r="E539" t="str">
        <x:v>Numbered total</x:v>
      </x:c>
      <x:c r="F539" t="n">
        <x:v>111</x:v>
      </x:c>
      <x:c r="G539" t="str">
        <x:v>reconciled_components</x:v>
      </x:c>
      <x:c r="H539" t="str"/>
      <x:c r="I539" t="str">
        <x:v>en; unique numbered-card/checklist identities for this row scope</x:v>
      </x:c>
      <x:c r="J539" t="str">
        <x:v>Numbered total equals the reconciled printed denominator + beyond-denominator identities + separately listed subset identities.</x:v>
      </x:c>
      <x:c r="K539" t="str">
        <x:v>en-5b979908423c</x:v>
      </x:c>
      <x:c r="L539" t="str">
        <x:v>numbered_total</x:v>
      </x:c>
    </x:row>
    <x:row r="540">
      <x:c r="A540" t="str">
        <x:v>NUM-b36d2808219e</x:v>
      </x:c>
      <x:c r="B540" t="str">
        <x:v>2026-09-26-numbered-totals</x:v>
      </x:c>
      <x:c r="C540" t="str">
        <x:v>en</x:v>
      </x:c>
      <x:c r="D540" t="str">
        <x:v>POP Series 4</x:v>
      </x:c>
      <x:c r="E540" t="str">
        <x:v>Numbered total</x:v>
      </x:c>
      <x:c r="F540" t="n">
        <x:v>17</x:v>
      </x:c>
      <x:c r="G540" t="str">
        <x:v>reconciled_components</x:v>
      </x:c>
      <x:c r="H540" t="str"/>
      <x:c r="I540" t="str">
        <x:v>en; unique numbered-card/checklist identities for this row scope</x:v>
      </x:c>
      <x:c r="J540" t="str">
        <x:v>Numbered total equals the reconciled printed denominator + beyond-denominator identities + separately listed subset identities.</x:v>
      </x:c>
      <x:c r="K540" t="str">
        <x:v>en-fad17205363e</x:v>
      </x:c>
      <x:c r="L540" t="str">
        <x:v>numbered_total</x:v>
      </x:c>
    </x:row>
    <x:row r="541">
      <x:c r="A541" t="str">
        <x:v>NUM-92f7fd010835</x:v>
      </x:c>
      <x:c r="B541" t="str">
        <x:v>2026-09-26-numbered-totals</x:v>
      </x:c>
      <x:c r="C541" t="str">
        <x:v>en</x:v>
      </x:c>
      <x:c r="D541" t="str">
        <x:v>EX Crystal Guardians</x:v>
      </x:c>
      <x:c r="E541" t="str">
        <x:v>Numbered total</x:v>
      </x:c>
      <x:c r="F541" t="n">
        <x:v>100</x:v>
      </x:c>
      <x:c r="G541" t="str">
        <x:v>reconciled_components</x:v>
      </x:c>
      <x:c r="H541" t="str"/>
      <x:c r="I541" t="str">
        <x:v>en; unique numbered-card/checklist identities for this row scope</x:v>
      </x:c>
      <x:c r="J541" t="str">
        <x:v>Numbered total equals the reconciled printed denominator + beyond-denominator identities + separately listed subset identities.</x:v>
      </x:c>
      <x:c r="K541" t="str">
        <x:v>en-8e43e04c94fc</x:v>
      </x:c>
      <x:c r="L541" t="str">
        <x:v>numbered_total</x:v>
      </x:c>
    </x:row>
    <x:row r="542">
      <x:c r="A542" t="str">
        <x:v>NUM-d2e6dd0d5528</x:v>
      </x:c>
      <x:c r="B542" t="str">
        <x:v>2026-09-26-numbered-totals</x:v>
      </x:c>
      <x:c r="C542" t="str">
        <x:v>en</x:v>
      </x:c>
      <x:c r="D542" t="str">
        <x:v>EX Dragon Frontiers</x:v>
      </x:c>
      <x:c r="E542" t="str">
        <x:v>Numbered total</x:v>
      </x:c>
      <x:c r="F542" t="n">
        <x:v>101</x:v>
      </x:c>
      <x:c r="G542" t="str">
        <x:v>reconciled_components</x:v>
      </x:c>
      <x:c r="H542" t="str"/>
      <x:c r="I542" t="str">
        <x:v>en; unique numbered-card/checklist identities for this row scope</x:v>
      </x:c>
      <x:c r="J542" t="str">
        <x:v>Numbered total equals the reconciled printed denominator + beyond-denominator identities + separately listed subset identities.</x:v>
      </x:c>
      <x:c r="K542" t="str">
        <x:v>en-aaf4b3441b4d</x:v>
      </x:c>
      <x:c r="L542" t="str">
        <x:v>numbered_total</x:v>
      </x:c>
    </x:row>
    <x:row r="543">
      <x:c r="A543" t="str">
        <x:v>NUM-e2a8a0098cf0</x:v>
      </x:c>
      <x:c r="B543" t="str">
        <x:v>2026-09-26-numbered-totals</x:v>
      </x:c>
      <x:c r="C543" t="str">
        <x:v>en</x:v>
      </x:c>
      <x:c r="D543" t="str">
        <x:v>EX Power Keepers</x:v>
      </x:c>
      <x:c r="E543" t="str">
        <x:v>Numbered total</x:v>
      </x:c>
      <x:c r="F543" t="n">
        <x:v>108</x:v>
      </x:c>
      <x:c r="G543" t="str">
        <x:v>reconciled_components</x:v>
      </x:c>
      <x:c r="H543" t="str"/>
      <x:c r="I543" t="str">
        <x:v>en; unique numbered-card/checklist identities for this row scope</x:v>
      </x:c>
      <x:c r="J543" t="str">
        <x:v>Numbered total equals the reconciled printed denominator + beyond-denominator identities + separately listed subset identities.</x:v>
      </x:c>
      <x:c r="K543" t="str">
        <x:v>en-77949d1b2f91</x:v>
      </x:c>
      <x:c r="L543" t="str">
        <x:v>numbered_total</x:v>
      </x:c>
    </x:row>
    <x:row r="544">
      <x:c r="A544" t="str">
        <x:v>NUM-9bd9e01de9f5</x:v>
      </x:c>
      <x:c r="B544" t="str">
        <x:v>2026-09-26-numbered-totals</x:v>
      </x:c>
      <x:c r="C544" t="str">
        <x:v>en</x:v>
      </x:c>
      <x:c r="D544" t="str">
        <x:v>POP Series 5</x:v>
      </x:c>
      <x:c r="E544" t="str">
        <x:v>Numbered total</x:v>
      </x:c>
      <x:c r="F544" t="n">
        <x:v>17</x:v>
      </x:c>
      <x:c r="G544" t="str">
        <x:v>reconciled_components</x:v>
      </x:c>
      <x:c r="H544" t="str"/>
      <x:c r="I544" t="str">
        <x:v>en; unique numbered-card/checklist identities for this row scope</x:v>
      </x:c>
      <x:c r="J544" t="str">
        <x:v>Numbered total equals the reconciled printed denominator + beyond-denominator identities + separately listed subset identities.</x:v>
      </x:c>
      <x:c r="K544" t="str">
        <x:v>en-d1e1c1c442b6</x:v>
      </x:c>
      <x:c r="L544" t="str">
        <x:v>numbered_total</x:v>
      </x:c>
    </x:row>
    <x:row r="545">
      <x:c r="A545" t="str">
        <x:v>NUM-1a1237e57a39</x:v>
      </x:c>
      <x:c r="B545" t="str">
        <x:v>2026-09-26-numbered-totals</x:v>
      </x:c>
      <x:c r="C545" t="str">
        <x:v>en</x:v>
      </x:c>
      <x:c r="D545" t="str">
        <x:v>DP Black Star Promos</x:v>
      </x:c>
      <x:c r="E545" t="str">
        <x:v>Numbered total</x:v>
      </x:c>
      <x:c r="F545" t="n">
        <x:v>56</x:v>
      </x:c>
      <x:c r="G545" t="str">
        <x:v>reconciled_components</x:v>
      </x:c>
      <x:c r="H545" t="str"/>
      <x:c r="I545" t="str">
        <x:v>en; unique numbered-card/checklist identities for this row scope</x:v>
      </x:c>
      <x:c r="J545" t="str">
        <x:v>Numbered total equals the reconciled printed denominator + beyond-denominator identities + separately listed subset identities.</x:v>
      </x:c>
      <x:c r="K545" t="str">
        <x:v>en-b35c8787199b</x:v>
      </x:c>
      <x:c r="L545" t="str">
        <x:v>numbered_total</x:v>
      </x:c>
    </x:row>
    <x:row r="546">
      <x:c r="A546" t="str">
        <x:v>NUM-5ff36571313e</x:v>
      </x:c>
      <x:c r="B546" t="str">
        <x:v>2026-09-26-numbered-totals</x:v>
      </x:c>
      <x:c r="C546" t="str">
        <x:v>en</x:v>
      </x:c>
      <x:c r="D546" t="str">
        <x:v>Diamond &amp; Pearl</x:v>
      </x:c>
      <x:c r="E546" t="str">
        <x:v>Numbered total</x:v>
      </x:c>
      <x:c r="F546" t="n">
        <x:v>130</x:v>
      </x:c>
      <x:c r="G546" t="str">
        <x:v>reconciled_components</x:v>
      </x:c>
      <x:c r="H546" t="str"/>
      <x:c r="I546" t="str">
        <x:v>en; unique numbered-card/checklist identities for this row scope</x:v>
      </x:c>
      <x:c r="J546" t="str">
        <x:v>Numbered total equals the reconciled printed denominator + beyond-denominator identities + separately listed subset identities.</x:v>
      </x:c>
      <x:c r="K546" t="str">
        <x:v>en-c73b95bc6054</x:v>
      </x:c>
      <x:c r="L546" t="str">
        <x:v>numbered_total</x:v>
      </x:c>
    </x:row>
    <x:row r="547">
      <x:c r="A547" t="str">
        <x:v>NUM-23029ed5781f</x:v>
      </x:c>
      <x:c r="B547" t="str">
        <x:v>2026-09-26-numbered-totals</x:v>
      </x:c>
      <x:c r="C547" t="str">
        <x:v>en</x:v>
      </x:c>
      <x:c r="D547" t="str">
        <x:v>Mysterious Treasures</x:v>
      </x:c>
      <x:c r="E547" t="str">
        <x:v>Numbered total</x:v>
      </x:c>
      <x:c r="F547" t="n">
        <x:v>124</x:v>
      </x:c>
      <x:c r="G547" t="str">
        <x:v>reconciled_components</x:v>
      </x:c>
      <x:c r="H547" t="str"/>
      <x:c r="I547" t="str">
        <x:v>en; unique numbered-card/checklist identities for this row scope</x:v>
      </x:c>
      <x:c r="J547" t="str">
        <x:v>Numbered total equals the reconciled printed denominator + beyond-denominator identities + separately listed subset identities.</x:v>
      </x:c>
      <x:c r="K547" t="str">
        <x:v>en-8f4b9726b034</x:v>
      </x:c>
      <x:c r="L547" t="str">
        <x:v>numbered_total</x:v>
      </x:c>
    </x:row>
    <x:row r="548">
      <x:c r="A548" t="str">
        <x:v>NUM-eb490eb9c71a</x:v>
      </x:c>
      <x:c r="B548" t="str">
        <x:v>2026-09-26-numbered-totals</x:v>
      </x:c>
      <x:c r="C548" t="str">
        <x:v>en</x:v>
      </x:c>
      <x:c r="D548" t="str">
        <x:v>POP Series 6</x:v>
      </x:c>
      <x:c r="E548" t="str">
        <x:v>Numbered total</x:v>
      </x:c>
      <x:c r="F548" t="n">
        <x:v>17</x:v>
      </x:c>
      <x:c r="G548" t="str">
        <x:v>reconciled_components</x:v>
      </x:c>
      <x:c r="H548" t="str"/>
      <x:c r="I548" t="str">
        <x:v>en; unique numbered-card/checklist identities for this row scope</x:v>
      </x:c>
      <x:c r="J548" t="str">
        <x:v>Numbered total equals the reconciled printed denominator + beyond-denominator identities + separately listed subset identities.</x:v>
      </x:c>
      <x:c r="K548" t="str">
        <x:v>en-e8f006b1fcdc</x:v>
      </x:c>
      <x:c r="L548" t="str">
        <x:v>numbered_total</x:v>
      </x:c>
    </x:row>
    <x:row r="549">
      <x:c r="A549" t="str">
        <x:v>NUM-526d4be40e80</x:v>
      </x:c>
      <x:c r="B549" t="str">
        <x:v>2026-09-26-numbered-totals</x:v>
      </x:c>
      <x:c r="C549" t="str">
        <x:v>en</x:v>
      </x:c>
      <x:c r="D549" t="str">
        <x:v>Secret Wonders</x:v>
      </x:c>
      <x:c r="E549" t="str">
        <x:v>Numbered total</x:v>
      </x:c>
      <x:c r="F549" t="n">
        <x:v>132</x:v>
      </x:c>
      <x:c r="G549" t="str">
        <x:v>reconciled_components</x:v>
      </x:c>
      <x:c r="H549" t="str"/>
      <x:c r="I549" t="str">
        <x:v>en; unique numbered-card/checklist identities for this row scope</x:v>
      </x:c>
      <x:c r="J549" t="str">
        <x:v>Numbered total equals the reconciled printed denominator + beyond-denominator identities + separately listed subset identities.</x:v>
      </x:c>
      <x:c r="K549" t="str">
        <x:v>en-16dc73b3bf13</x:v>
      </x:c>
      <x:c r="L549" t="str">
        <x:v>numbered_total</x:v>
      </x:c>
    </x:row>
    <x:row r="550">
      <x:c r="A550" t="str">
        <x:v>NUM-a111460f20fa</x:v>
      </x:c>
      <x:c r="B550" t="str">
        <x:v>2026-09-26-numbered-totals</x:v>
      </x:c>
      <x:c r="C550" t="str">
        <x:v>en</x:v>
      </x:c>
      <x:c r="D550" t="str">
        <x:v>Great Encounters</x:v>
      </x:c>
      <x:c r="E550" t="str">
        <x:v>Numbered total</x:v>
      </x:c>
      <x:c r="F550" t="n">
        <x:v>106</x:v>
      </x:c>
      <x:c r="G550" t="str">
        <x:v>reconciled_components</x:v>
      </x:c>
      <x:c r="H550" t="str"/>
      <x:c r="I550" t="str">
        <x:v>en; unique numbered-card/checklist identities for this row scope</x:v>
      </x:c>
      <x:c r="J550" t="str">
        <x:v>Numbered total equals the reconciled printed denominator + beyond-denominator identities + separately listed subset identities.</x:v>
      </x:c>
      <x:c r="K550" t="str">
        <x:v>en-c000628be18c</x:v>
      </x:c>
      <x:c r="L550" t="str">
        <x:v>numbered_total</x:v>
      </x:c>
    </x:row>
    <x:row r="551">
      <x:c r="A551" t="str">
        <x:v>NUM-03c7195132d1</x:v>
      </x:c>
      <x:c r="B551" t="str">
        <x:v>2026-09-26-numbered-totals</x:v>
      </x:c>
      <x:c r="C551" t="str">
        <x:v>en</x:v>
      </x:c>
      <x:c r="D551" t="str">
        <x:v>POP Series 7</x:v>
      </x:c>
      <x:c r="E551" t="str">
        <x:v>Numbered total</x:v>
      </x:c>
      <x:c r="F551" t="n">
        <x:v>17</x:v>
      </x:c>
      <x:c r="G551" t="str">
        <x:v>reconciled_components</x:v>
      </x:c>
      <x:c r="H551" t="str"/>
      <x:c r="I551" t="str">
        <x:v>en; unique numbered-card/checklist identities for this row scope</x:v>
      </x:c>
      <x:c r="J551" t="str">
        <x:v>Numbered total equals the reconciled printed denominator + beyond-denominator identities + separately listed subset identities.</x:v>
      </x:c>
      <x:c r="K551" t="str">
        <x:v>en-99c5bfa12ae2</x:v>
      </x:c>
      <x:c r="L551" t="str">
        <x:v>numbered_total</x:v>
      </x:c>
    </x:row>
    <x:row r="552">
      <x:c r="A552" t="str">
        <x:v>NUM-423c39371026</x:v>
      </x:c>
      <x:c r="B552" t="str">
        <x:v>2026-09-26-numbered-totals</x:v>
      </x:c>
      <x:c r="C552" t="str">
        <x:v>en</x:v>
      </x:c>
      <x:c r="D552" t="str">
        <x:v>Majestic Dawn</x:v>
      </x:c>
      <x:c r="E552" t="str">
        <x:v>Numbered total</x:v>
      </x:c>
      <x:c r="F552" t="n">
        <x:v>100</x:v>
      </x:c>
      <x:c r="G552" t="str">
        <x:v>reconciled_components</x:v>
      </x:c>
      <x:c r="H552" t="str"/>
      <x:c r="I552" t="str">
        <x:v>en; unique numbered-card/checklist identities for this row scope</x:v>
      </x:c>
      <x:c r="J552" t="str">
        <x:v>Numbered total equals the reconciled printed denominator + beyond-denominator identities + separately listed subset identities.</x:v>
      </x:c>
      <x:c r="K552" t="str">
        <x:v>en-e15ea065516f</x:v>
      </x:c>
      <x:c r="L552" t="str">
        <x:v>numbered_total</x:v>
      </x:c>
    </x:row>
    <x:row r="553">
      <x:c r="A553" t="str">
        <x:v>NUM-fe7e7f827a1f</x:v>
      </x:c>
      <x:c r="B553" t="str">
        <x:v>2026-09-26-numbered-totals</x:v>
      </x:c>
      <x:c r="C553" t="str">
        <x:v>en</x:v>
      </x:c>
      <x:c r="D553" t="str">
        <x:v>Legends Awakened</x:v>
      </x:c>
      <x:c r="E553" t="str">
        <x:v>Numbered total</x:v>
      </x:c>
      <x:c r="F553" t="n">
        <x:v>146</x:v>
      </x:c>
      <x:c r="G553" t="str">
        <x:v>reconciled_components</x:v>
      </x:c>
      <x:c r="H553" t="str"/>
      <x:c r="I553" t="str">
        <x:v>en; unique numbered-card/checklist identities for this row scope</x:v>
      </x:c>
      <x:c r="J553" t="str">
        <x:v>Numbered total equals the reconciled printed denominator + beyond-denominator identities + separately listed subset identities.</x:v>
      </x:c>
      <x:c r="K553" t="str">
        <x:v>en-70298cb313b5</x:v>
      </x:c>
      <x:c r="L553" t="str">
        <x:v>numbered_total</x:v>
      </x:c>
    </x:row>
    <x:row r="554">
      <x:c r="A554" t="str">
        <x:v>NUM-ed6257b2920c</x:v>
      </x:c>
      <x:c r="B554" t="str">
        <x:v>2026-09-26-numbered-totals</x:v>
      </x:c>
      <x:c r="C554" t="str">
        <x:v>en</x:v>
      </x:c>
      <x:c r="D554" t="str">
        <x:v>POP Series 8</x:v>
      </x:c>
      <x:c r="E554" t="str">
        <x:v>Numbered total</x:v>
      </x:c>
      <x:c r="F554" t="n">
        <x:v>17</x:v>
      </x:c>
      <x:c r="G554" t="str">
        <x:v>reconciled_components</x:v>
      </x:c>
      <x:c r="H554" t="str"/>
      <x:c r="I554" t="str">
        <x:v>en; unique numbered-card/checklist identities for this row scope</x:v>
      </x:c>
      <x:c r="J554" t="str">
        <x:v>Numbered total equals the reconciled printed denominator + beyond-denominator identities + separately listed subset identities.</x:v>
      </x:c>
      <x:c r="K554" t="str">
        <x:v>en-60734715037a</x:v>
      </x:c>
      <x:c r="L554" t="str">
        <x:v>numbered_total</x:v>
      </x:c>
    </x:row>
    <x:row r="555">
      <x:c r="A555" t="str">
        <x:v>NUM-8bf107720e63</x:v>
      </x:c>
      <x:c r="B555" t="str">
        <x:v>2026-09-26-numbered-totals</x:v>
      </x:c>
      <x:c r="C555" t="str">
        <x:v>en</x:v>
      </x:c>
      <x:c r="D555" t="str">
        <x:v>Stormfront</x:v>
      </x:c>
      <x:c r="E555" t="str">
        <x:v>Numbered total</x:v>
      </x:c>
      <x:c r="F555" t="n">
        <x:v>106</x:v>
      </x:c>
      <x:c r="G555" t="str">
        <x:v>reconciled_components</x:v>
      </x:c>
      <x:c r="H555" t="str"/>
      <x:c r="I555" t="str">
        <x:v>en; unique numbered-card/checklist identities for this row scope</x:v>
      </x:c>
      <x:c r="J555" t="str">
        <x:v>Numbered total equals the reconciled printed denominator + beyond-denominator identities + separately listed subset identities.</x:v>
      </x:c>
      <x:c r="K555" t="str">
        <x:v>en-3494d0cab367</x:v>
      </x:c>
      <x:c r="L555" t="str">
        <x:v>numbered_total</x:v>
      </x:c>
    </x:row>
    <x:row r="556">
      <x:c r="A556" t="str">
        <x:v>NUM-7b9791e58055</x:v>
      </x:c>
      <x:c r="B556" t="str">
        <x:v>2026-09-26-numbered-totals</x:v>
      </x:c>
      <x:c r="C556" t="str">
        <x:v>en</x:v>
      </x:c>
      <x:c r="D556" t="str">
        <x:v>Platinum</x:v>
      </x:c>
      <x:c r="E556" t="str">
        <x:v>Numbered total</x:v>
      </x:c>
      <x:c r="F556" t="n">
        <x:v>133</x:v>
      </x:c>
      <x:c r="G556" t="str">
        <x:v>reconciled_components</x:v>
      </x:c>
      <x:c r="H556" t="str"/>
      <x:c r="I556" t="str">
        <x:v>en; unique numbered-card/checklist identities for this row scope</x:v>
      </x:c>
      <x:c r="J556" t="str">
        <x:v>Numbered total equals the reconciled printed denominator + beyond-denominator identities + separately listed subset identities.</x:v>
      </x:c>
      <x:c r="K556" t="str">
        <x:v>en-58e94dab40f3</x:v>
      </x:c>
      <x:c r="L556" t="str">
        <x:v>numbered_total</x:v>
      </x:c>
    </x:row>
    <x:row r="557">
      <x:c r="A557" t="str">
        <x:v>NUM-604005081f18</x:v>
      </x:c>
      <x:c r="B557" t="str">
        <x:v>2026-09-26-numbered-totals</x:v>
      </x:c>
      <x:c r="C557" t="str">
        <x:v>en</x:v>
      </x:c>
      <x:c r="D557" t="str">
        <x:v>POP Series 9</x:v>
      </x:c>
      <x:c r="E557" t="str">
        <x:v>Numbered total</x:v>
      </x:c>
      <x:c r="F557" t="n">
        <x:v>17</x:v>
      </x:c>
      <x:c r="G557" t="str">
        <x:v>reconciled_components</x:v>
      </x:c>
      <x:c r="H557" t="str"/>
      <x:c r="I557" t="str">
        <x:v>en; unique numbered-card/checklist identities for this row scope</x:v>
      </x:c>
      <x:c r="J557" t="str">
        <x:v>Numbered total equals the reconciled printed denominator + beyond-denominator identities + separately listed subset identities.</x:v>
      </x:c>
      <x:c r="K557" t="str">
        <x:v>en-017662319683</x:v>
      </x:c>
      <x:c r="L557" t="str">
        <x:v>numbered_total</x:v>
      </x:c>
    </x:row>
    <x:row r="558">
      <x:c r="A558" t="str">
        <x:v>NUM-a68d9bc72769</x:v>
      </x:c>
      <x:c r="B558" t="str">
        <x:v>2026-09-26-numbered-totals</x:v>
      </x:c>
      <x:c r="C558" t="str">
        <x:v>en</x:v>
      </x:c>
      <x:c r="D558" t="str">
        <x:v>Rising Rivals</x:v>
      </x:c>
      <x:c r="E558" t="str">
        <x:v>Numbered total</x:v>
      </x:c>
      <x:c r="F558" t="n">
        <x:v>120</x:v>
      </x:c>
      <x:c r="G558" t="str">
        <x:v>reconciled_components</x:v>
      </x:c>
      <x:c r="H558" t="str"/>
      <x:c r="I558" t="str">
        <x:v>en; unique numbered-card/checklist identities for this row scope</x:v>
      </x:c>
      <x:c r="J558" t="str">
        <x:v>Numbered total equals the reconciled printed denominator + beyond-denominator identities + separately listed subset identities.</x:v>
      </x:c>
      <x:c r="K558" t="str">
        <x:v>en-dd8dcbc74555</x:v>
      </x:c>
      <x:c r="L558" t="str">
        <x:v>numbered_total</x:v>
      </x:c>
    </x:row>
    <x:row r="559">
      <x:c r="A559" t="str">
        <x:v>NUM-5f844338e6d5</x:v>
      </x:c>
      <x:c r="B559" t="str">
        <x:v>2026-09-26-numbered-totals</x:v>
      </x:c>
      <x:c r="C559" t="str">
        <x:v>en</x:v>
      </x:c>
      <x:c r="D559" t="str">
        <x:v>Supreme Victors</x:v>
      </x:c>
      <x:c r="E559" t="str">
        <x:v>Numbered total</x:v>
      </x:c>
      <x:c r="F559" t="n">
        <x:v>153</x:v>
      </x:c>
      <x:c r="G559" t="str">
        <x:v>reconciled_components</x:v>
      </x:c>
      <x:c r="H559" t="str"/>
      <x:c r="I559" t="str">
        <x:v>en; unique numbered-card/checklist identities for this row scope</x:v>
      </x:c>
      <x:c r="J559" t="str">
        <x:v>Numbered total equals the reconciled printed denominator + beyond-denominator identities + separately listed subset identities.</x:v>
      </x:c>
      <x:c r="K559" t="str">
        <x:v>en-9802fa8c0788</x:v>
      </x:c>
      <x:c r="L559" t="str">
        <x:v>numbered_total</x:v>
      </x:c>
    </x:row>
    <x:row r="560">
      <x:c r="A560" t="str">
        <x:v>NUM-8efe501bb57a</x:v>
      </x:c>
      <x:c r="B560" t="str">
        <x:v>2026-09-26-numbered-totals</x:v>
      </x:c>
      <x:c r="C560" t="str">
        <x:v>en</x:v>
      </x:c>
      <x:c r="D560" t="str">
        <x:v>Arceus</x:v>
      </x:c>
      <x:c r="E560" t="str">
        <x:v>Numbered total</x:v>
      </x:c>
      <x:c r="F560" t="n">
        <x:v>111</x:v>
      </x:c>
      <x:c r="G560" t="str">
        <x:v>reconciled_components</x:v>
      </x:c>
      <x:c r="H560" t="str"/>
      <x:c r="I560" t="str">
        <x:v>en; unique numbered-card/checklist identities for this row scope</x:v>
      </x:c>
      <x:c r="J560" t="str">
        <x:v>Numbered total equals the reconciled printed denominator + beyond-denominator identities + separately listed subset identities.</x:v>
      </x:c>
      <x:c r="K560" t="str">
        <x:v>en-bb910b4803f9</x:v>
      </x:c>
      <x:c r="L560" t="str">
        <x:v>numbered_total</x:v>
      </x:c>
    </x:row>
    <x:row r="561">
      <x:c r="A561" t="str">
        <x:v>NUM-6243e3e38276</x:v>
      </x:c>
      <x:c r="B561" t="str">
        <x:v>2026-09-26-numbered-totals</x:v>
      </x:c>
      <x:c r="C561" t="str">
        <x:v>en</x:v>
      </x:c>
      <x:c r="D561" t="str">
        <x:v>Pokémon Rumble</x:v>
      </x:c>
      <x:c r="E561" t="str">
        <x:v>Numbered total</x:v>
      </x:c>
      <x:c r="F561" t="n">
        <x:v>16</x:v>
      </x:c>
      <x:c r="G561" t="str">
        <x:v>reconciled_components</x:v>
      </x:c>
      <x:c r="H561" t="str"/>
      <x:c r="I561" t="str">
        <x:v>en; unique numbered-card/checklist identities for this row scope</x:v>
      </x:c>
      <x:c r="J561" t="str">
        <x:v>Numbered total equals the reconciled printed denominator + beyond-denominator identities + separately listed subset identities.</x:v>
      </x:c>
      <x:c r="K561" t="str">
        <x:v>en-dd1bed5a6c8f</x:v>
      </x:c>
      <x:c r="L561" t="str">
        <x:v>numbered_total</x:v>
      </x:c>
    </x:row>
    <x:row r="562">
      <x:c r="A562" t="str">
        <x:v>NUM-ffd8e4a4ba27</x:v>
      </x:c>
      <x:c r="B562" t="str">
        <x:v>2026-09-26-numbered-totals</x:v>
      </x:c>
      <x:c r="C562" t="str">
        <x:v>en</x:v>
      </x:c>
      <x:c r="D562" t="str">
        <x:v>HGSS Black Star Promos</x:v>
      </x:c>
      <x:c r="E562" t="str">
        <x:v>Numbered total</x:v>
      </x:c>
      <x:c r="F562" t="n">
        <x:v>25</x:v>
      </x:c>
      <x:c r="G562" t="str">
        <x:v>reconciled_components</x:v>
      </x:c>
      <x:c r="H562" t="str"/>
      <x:c r="I562" t="str">
        <x:v>en; unique numbered-card/checklist identities for this row scope</x:v>
      </x:c>
      <x:c r="J562" t="str">
        <x:v>Numbered total equals the reconciled printed denominator + beyond-denominator identities + separately listed subset identities.</x:v>
      </x:c>
      <x:c r="K562" t="str">
        <x:v>en-a33f6d494f98</x:v>
      </x:c>
      <x:c r="L562" t="str">
        <x:v>numbered_total</x:v>
      </x:c>
    </x:row>
    <x:row r="563">
      <x:c r="A563" t="str">
        <x:v>NUM-182a694c98ea</x:v>
      </x:c>
      <x:c r="B563" t="str">
        <x:v>2026-09-26-numbered-totals</x:v>
      </x:c>
      <x:c r="C563" t="str">
        <x:v>en</x:v>
      </x:c>
      <x:c r="D563" t="str">
        <x:v>HeartGold &amp; SoulSilver</x:v>
      </x:c>
      <x:c r="E563" t="str">
        <x:v>Numbered total</x:v>
      </x:c>
      <x:c r="F563" t="n">
        <x:v>124</x:v>
      </x:c>
      <x:c r="G563" t="str">
        <x:v>reconciled_components</x:v>
      </x:c>
      <x:c r="H563" t="str"/>
      <x:c r="I563" t="str">
        <x:v>en; unique numbered-card/checklist identities for this row scope</x:v>
      </x:c>
      <x:c r="J563" t="str">
        <x:v>Numbered total equals the reconciled printed denominator + beyond-denominator identities + separately listed subset identities.</x:v>
      </x:c>
      <x:c r="K563" t="str">
        <x:v>en-570eb4a7ff82</x:v>
      </x:c>
      <x:c r="L563" t="str">
        <x:v>numbered_total</x:v>
      </x:c>
    </x:row>
    <x:row r="564">
      <x:c r="A564" t="str">
        <x:v>NUM-911509c00859</x:v>
      </x:c>
      <x:c r="B564" t="str">
        <x:v>2026-09-26-numbered-totals</x:v>
      </x:c>
      <x:c r="C564" t="str">
        <x:v>en</x:v>
      </x:c>
      <x:c r="D564" t="str">
        <x:v>HS—Unleashed</x:v>
      </x:c>
      <x:c r="E564" t="str">
        <x:v>Numbered total</x:v>
      </x:c>
      <x:c r="F564" t="n">
        <x:v>96</x:v>
      </x:c>
      <x:c r="G564" t="str">
        <x:v>reconciled_components</x:v>
      </x:c>
      <x:c r="H564" t="str"/>
      <x:c r="I564" t="str">
        <x:v>en; unique numbered-card/checklist identities for this row scope</x:v>
      </x:c>
      <x:c r="J564" t="str">
        <x:v>Numbered total equals the reconciled printed denominator + beyond-denominator identities + separately listed subset identities.</x:v>
      </x:c>
      <x:c r="K564" t="str">
        <x:v>en-fdf7f2c10a8c</x:v>
      </x:c>
      <x:c r="L564" t="str">
        <x:v>numbered_total</x:v>
      </x:c>
    </x:row>
    <x:row r="565">
      <x:c r="A565" t="str">
        <x:v>NUM-033f08195510</x:v>
      </x:c>
      <x:c r="B565" t="str">
        <x:v>2026-09-26-numbered-totals</x:v>
      </x:c>
      <x:c r="C565" t="str">
        <x:v>en</x:v>
      </x:c>
      <x:c r="D565" t="str">
        <x:v>HS—Undaunted</x:v>
      </x:c>
      <x:c r="E565" t="str">
        <x:v>Numbered total</x:v>
      </x:c>
      <x:c r="F565" t="n">
        <x:v>91</x:v>
      </x:c>
      <x:c r="G565" t="str">
        <x:v>reconciled_components</x:v>
      </x:c>
      <x:c r="H565" t="str"/>
      <x:c r="I565" t="str">
        <x:v>en; unique numbered-card/checklist identities for this row scope</x:v>
      </x:c>
      <x:c r="J565" t="str">
        <x:v>Numbered total equals the reconciled printed denominator + beyond-denominator identities + separately listed subset identities.</x:v>
      </x:c>
      <x:c r="K565" t="str">
        <x:v>en-2c6142e8a65e</x:v>
      </x:c>
      <x:c r="L565" t="str">
        <x:v>numbered_total</x:v>
      </x:c>
    </x:row>
    <x:row r="566">
      <x:c r="A566" t="str">
        <x:v>NUM-1c3f4275a8fa</x:v>
      </x:c>
      <x:c r="B566" t="str">
        <x:v>2026-09-26-numbered-totals</x:v>
      </x:c>
      <x:c r="C566" t="str">
        <x:v>en</x:v>
      </x:c>
      <x:c r="D566" t="str">
        <x:v>HS—Triumphant</x:v>
      </x:c>
      <x:c r="E566" t="str">
        <x:v>Numbered total</x:v>
      </x:c>
      <x:c r="F566" t="n">
        <x:v>103</x:v>
      </x:c>
      <x:c r="G566" t="str">
        <x:v>reconciled_components</x:v>
      </x:c>
      <x:c r="H566" t="str"/>
      <x:c r="I566" t="str">
        <x:v>en; unique numbered-card/checklist identities for this row scope</x:v>
      </x:c>
      <x:c r="J566" t="str">
        <x:v>Numbered total equals the reconciled printed denominator + beyond-denominator identities + separately listed subset identities.</x:v>
      </x:c>
      <x:c r="K566" t="str">
        <x:v>en-8391c36c39f9</x:v>
      </x:c>
      <x:c r="L566" t="str">
        <x:v>numbered_total</x:v>
      </x:c>
    </x:row>
    <x:row r="567">
      <x:c r="A567" t="str">
        <x:v>NUM-b140d0ae895e</x:v>
      </x:c>
      <x:c r="B567" t="str">
        <x:v>2026-09-26-numbered-totals</x:v>
      </x:c>
      <x:c r="C567" t="str">
        <x:v>en</x:v>
      </x:c>
      <x:c r="D567" t="str">
        <x:v>Call of Legends</x:v>
      </x:c>
      <x:c r="E567" t="str">
        <x:v>Numbered total</x:v>
      </x:c>
      <x:c r="F567" t="n">
        <x:v>106</x:v>
      </x:c>
      <x:c r="G567" t="str">
        <x:v>reconciled_components</x:v>
      </x:c>
      <x:c r="H567" t="str"/>
      <x:c r="I567" t="str">
        <x:v>en; unique numbered-card/checklist identities for this row scope</x:v>
      </x:c>
      <x:c r="J567" t="str">
        <x:v>Numbered total equals the reconciled printed denominator + beyond-denominator identities + separately listed subset identities.</x:v>
      </x:c>
      <x:c r="K567" t="str">
        <x:v>en-768ff8b6c413</x:v>
      </x:c>
      <x:c r="L567" t="str">
        <x:v>numbered_total</x:v>
      </x:c>
    </x:row>
    <x:row r="568">
      <x:c r="A568" t="str">
        <x:v>NUM-03cd48c97cb6</x:v>
      </x:c>
      <x:c r="B568" t="str">
        <x:v>2026-09-26-numbered-totals</x:v>
      </x:c>
      <x:c r="C568" t="str">
        <x:v>en</x:v>
      </x:c>
      <x:c r="D568" t="str">
        <x:v>BW Black Star Promos</x:v>
      </x:c>
      <x:c r="E568" t="str">
        <x:v>Numbered total</x:v>
      </x:c>
      <x:c r="F568" t="n">
        <x:v>99</x:v>
      </x:c>
      <x:c r="G568" t="str">
        <x:v>reconciled_components</x:v>
      </x:c>
      <x:c r="H568" t="str"/>
      <x:c r="I568" t="str">
        <x:v>en; unique numbered-card/checklist identities for this row scope</x:v>
      </x:c>
      <x:c r="J568" t="str">
        <x:v>Numbered total equals the reconciled printed denominator + beyond-denominator identities + separately listed subset identities.</x:v>
      </x:c>
      <x:c r="K568" t="str">
        <x:v>en-153f1e2973ab</x:v>
      </x:c>
      <x:c r="L568" t="str">
        <x:v>numbered_total</x:v>
      </x:c>
    </x:row>
    <x:row r="569">
      <x:c r="A569" t="str">
        <x:v>NUM-dd8cf22b8302</x:v>
      </x:c>
      <x:c r="B569" t="str">
        <x:v>2026-09-26-numbered-totals</x:v>
      </x:c>
      <x:c r="C569" t="str">
        <x:v>en</x:v>
      </x:c>
      <x:c r="D569" t="str">
        <x:v>Black &amp; White</x:v>
      </x:c>
      <x:c r="E569" t="str">
        <x:v>Numbered total</x:v>
      </x:c>
      <x:c r="F569" t="n">
        <x:v>115</x:v>
      </x:c>
      <x:c r="G569" t="str">
        <x:v>reconciled_components</x:v>
      </x:c>
      <x:c r="H569" t="str"/>
      <x:c r="I569" t="str">
        <x:v>en; unique numbered-card/checklist identities for this row scope</x:v>
      </x:c>
      <x:c r="J569" t="str">
        <x:v>Numbered total equals the reconciled printed denominator + beyond-denominator identities + separately listed subset identities.</x:v>
      </x:c>
      <x:c r="K569" t="str">
        <x:v>en-979394369192</x:v>
      </x:c>
      <x:c r="L569" t="str">
        <x:v>numbered_total</x:v>
      </x:c>
    </x:row>
    <x:row r="570">
      <x:c r="A570" t="str">
        <x:v>NUM-54079044c3f4</x:v>
      </x:c>
      <x:c r="B570" t="str">
        <x:v>2026-09-26-numbered-totals</x:v>
      </x:c>
      <x:c r="C570" t="str">
        <x:v>en</x:v>
      </x:c>
      <x:c r="D570" t="str">
        <x:v>McDonald's Collection 2011</x:v>
      </x:c>
      <x:c r="E570" t="str">
        <x:v>Numbered total</x:v>
      </x:c>
      <x:c r="F570" t="n">
        <x:v>12</x:v>
      </x:c>
      <x:c r="G570" t="str">
        <x:v>reconciled_components</x:v>
      </x:c>
      <x:c r="H570" t="str"/>
      <x:c r="I570" t="str">
        <x:v>en; unique numbered-card/checklist identities for this row scope</x:v>
      </x:c>
      <x:c r="J570" t="str">
        <x:v>Numbered total equals the reconciled printed denominator + beyond-denominator identities + separately listed subset identities.</x:v>
      </x:c>
      <x:c r="K570" t="str">
        <x:v>en-e2f82b622c38</x:v>
      </x:c>
      <x:c r="L570" t="str">
        <x:v>numbered_total</x:v>
      </x:c>
    </x:row>
    <x:row r="571">
      <x:c r="A571" t="str">
        <x:v>NUM-2ea8a27440db</x:v>
      </x:c>
      <x:c r="B571" t="str">
        <x:v>2026-09-26-numbered-totals</x:v>
      </x:c>
      <x:c r="C571" t="str">
        <x:v>en</x:v>
      </x:c>
      <x:c r="D571" t="str">
        <x:v>Emerging Powers</x:v>
      </x:c>
      <x:c r="E571" t="str">
        <x:v>Numbered total</x:v>
      </x:c>
      <x:c r="F571" t="n">
        <x:v>98</x:v>
      </x:c>
      <x:c r="G571" t="str">
        <x:v>reconciled_components</x:v>
      </x:c>
      <x:c r="H571" t="str"/>
      <x:c r="I571" t="str">
        <x:v>en; unique numbered-card/checklist identities for this row scope</x:v>
      </x:c>
      <x:c r="J571" t="str">
        <x:v>Numbered total equals the reconciled printed denominator + beyond-denominator identities + separately listed subset identities.</x:v>
      </x:c>
      <x:c r="K571" t="str">
        <x:v>en-010fbb1c4518</x:v>
      </x:c>
      <x:c r="L571" t="str">
        <x:v>numbered_total</x:v>
      </x:c>
    </x:row>
    <x:row r="572">
      <x:c r="A572" t="str">
        <x:v>NUM-d0353181e347</x:v>
      </x:c>
      <x:c r="B572" t="str">
        <x:v>2026-09-26-numbered-totals</x:v>
      </x:c>
      <x:c r="C572" t="str">
        <x:v>en</x:v>
      </x:c>
      <x:c r="D572" t="str">
        <x:v>Noble Victories</x:v>
      </x:c>
      <x:c r="E572" t="str">
        <x:v>Numbered total</x:v>
      </x:c>
      <x:c r="F572" t="n">
        <x:v>102</x:v>
      </x:c>
      <x:c r="G572" t="str">
        <x:v>reconciled_components</x:v>
      </x:c>
      <x:c r="H572" t="str"/>
      <x:c r="I572" t="str">
        <x:v>en; unique numbered-card/checklist identities for this row scope</x:v>
      </x:c>
      <x:c r="J572" t="str">
        <x:v>Numbered total equals the reconciled printed denominator + beyond-denominator identities + separately listed subset identities.</x:v>
      </x:c>
      <x:c r="K572" t="str">
        <x:v>en-f282c6e506cc</x:v>
      </x:c>
      <x:c r="L572" t="str">
        <x:v>numbered_total</x:v>
      </x:c>
    </x:row>
    <x:row r="573">
      <x:c r="A573" t="str">
        <x:v>NUM-a1cccc1293c4</x:v>
      </x:c>
      <x:c r="B573" t="str">
        <x:v>2026-09-26-numbered-totals</x:v>
      </x:c>
      <x:c r="C573" t="str">
        <x:v>en</x:v>
      </x:c>
      <x:c r="D573" t="str">
        <x:v>Next Destinies</x:v>
      </x:c>
      <x:c r="E573" t="str">
        <x:v>Numbered total</x:v>
      </x:c>
      <x:c r="F573" t="n">
        <x:v>103</x:v>
      </x:c>
      <x:c r="G573" t="str">
        <x:v>reconciled_components</x:v>
      </x:c>
      <x:c r="H573" t="str"/>
      <x:c r="I573" t="str">
        <x:v>en; unique numbered-card/checklist identities for this row scope</x:v>
      </x:c>
      <x:c r="J573" t="str">
        <x:v>Numbered total equals the reconciled printed denominator + beyond-denominator identities + separately listed subset identities.</x:v>
      </x:c>
      <x:c r="K573" t="str">
        <x:v>en-f9d9d3df62f9</x:v>
      </x:c>
      <x:c r="L573" t="str">
        <x:v>numbered_total</x:v>
      </x:c>
    </x:row>
    <x:row r="574">
      <x:c r="A574" t="str">
        <x:v>NUM-46eb79f7d3f0</x:v>
      </x:c>
      <x:c r="B574" t="str">
        <x:v>2026-09-26-numbered-totals</x:v>
      </x:c>
      <x:c r="C574" t="str">
        <x:v>en</x:v>
      </x:c>
      <x:c r="D574" t="str">
        <x:v>Dark Explorers</x:v>
      </x:c>
      <x:c r="E574" t="str">
        <x:v>Numbered total</x:v>
      </x:c>
      <x:c r="F574" t="n">
        <x:v>111</x:v>
      </x:c>
      <x:c r="G574" t="str">
        <x:v>reconciled_components</x:v>
      </x:c>
      <x:c r="H574" t="str"/>
      <x:c r="I574" t="str">
        <x:v>en; unique numbered-card/checklist identities for this row scope</x:v>
      </x:c>
      <x:c r="J574" t="str">
        <x:v>Numbered total equals the reconciled printed denominator + beyond-denominator identities + separately listed subset identities.</x:v>
      </x:c>
      <x:c r="K574" t="str">
        <x:v>en-1b9e4a6a354e</x:v>
      </x:c>
      <x:c r="L574" t="str">
        <x:v>numbered_total</x:v>
      </x:c>
    </x:row>
    <x:row r="575">
      <x:c r="A575" t="str">
        <x:v>NUM-1e9ba61d3dbe</x:v>
      </x:c>
      <x:c r="B575" t="str">
        <x:v>2026-09-26-numbered-totals</x:v>
      </x:c>
      <x:c r="C575" t="str">
        <x:v>en</x:v>
      </x:c>
      <x:c r="D575" t="str">
        <x:v>McDonald's Collection 2012</x:v>
      </x:c>
      <x:c r="E575" t="str">
        <x:v>Numbered total</x:v>
      </x:c>
      <x:c r="F575" t="n">
        <x:v>12</x:v>
      </x:c>
      <x:c r="G575" t="str">
        <x:v>reconciled_components</x:v>
      </x:c>
      <x:c r="H575" t="str"/>
      <x:c r="I575" t="str">
        <x:v>en; unique numbered-card/checklist identities for this row scope</x:v>
      </x:c>
      <x:c r="J575" t="str">
        <x:v>Numbered total equals the reconciled printed denominator + beyond-denominator identities + separately listed subset identities.</x:v>
      </x:c>
      <x:c r="K575" t="str">
        <x:v>en-4bc9e6055cd1</x:v>
      </x:c>
      <x:c r="L575" t="str">
        <x:v>numbered_total</x:v>
      </x:c>
    </x:row>
    <x:row r="576">
      <x:c r="A576" t="str">
        <x:v>NUM-70377a34aefb</x:v>
      </x:c>
      <x:c r="B576" t="str">
        <x:v>2026-09-26-numbered-totals</x:v>
      </x:c>
      <x:c r="C576" t="str">
        <x:v>en</x:v>
      </x:c>
      <x:c r="D576" t="str">
        <x:v>Dragons Exalted</x:v>
      </x:c>
      <x:c r="E576" t="str">
        <x:v>Numbered total</x:v>
      </x:c>
      <x:c r="F576" t="n">
        <x:v>128</x:v>
      </x:c>
      <x:c r="G576" t="str">
        <x:v>reconciled_components</x:v>
      </x:c>
      <x:c r="H576" t="str"/>
      <x:c r="I576" t="str">
        <x:v>en; unique numbered-card/checklist identities for this row scope</x:v>
      </x:c>
      <x:c r="J576" t="str">
        <x:v>Numbered total equals the reconciled printed denominator + beyond-denominator identities + separately listed subset identities.</x:v>
      </x:c>
      <x:c r="K576" t="str">
        <x:v>en-46bcbc7bd2cf</x:v>
      </x:c>
      <x:c r="L576" t="str">
        <x:v>numbered_total</x:v>
      </x:c>
    </x:row>
    <x:row r="577">
      <x:c r="A577" t="str">
        <x:v>NUM-ca4660918fc4</x:v>
      </x:c>
      <x:c r="B577" t="str">
        <x:v>2026-09-26-numbered-totals</x:v>
      </x:c>
      <x:c r="C577" t="str">
        <x:v>en</x:v>
      </x:c>
      <x:c r="D577" t="str">
        <x:v>Dragon Vault</x:v>
      </x:c>
      <x:c r="E577" t="str">
        <x:v>Numbered total</x:v>
      </x:c>
      <x:c r="F577" t="n">
        <x:v>21</x:v>
      </x:c>
      <x:c r="G577" t="str">
        <x:v>reconciled_components</x:v>
      </x:c>
      <x:c r="H577" t="str"/>
      <x:c r="I577" t="str">
        <x:v>en; unique numbered-card/checklist identities for this row scope</x:v>
      </x:c>
      <x:c r="J577" t="str">
        <x:v>Numbered total equals the reconciled printed denominator + beyond-denominator identities + separately listed subset identities.</x:v>
      </x:c>
      <x:c r="K577" t="str">
        <x:v>en-91e1f1c33c0f</x:v>
      </x:c>
      <x:c r="L577" t="str">
        <x:v>numbered_total</x:v>
      </x:c>
    </x:row>
    <x:row r="578">
      <x:c r="A578" t="str">
        <x:v>NUM-2ad53859b0cc</x:v>
      </x:c>
      <x:c r="B578" t="str">
        <x:v>2026-09-26-numbered-totals</x:v>
      </x:c>
      <x:c r="C578" t="str">
        <x:v>en</x:v>
      </x:c>
      <x:c r="D578" t="str">
        <x:v>Boundaries Crossed</x:v>
      </x:c>
      <x:c r="E578" t="str">
        <x:v>Numbered total</x:v>
      </x:c>
      <x:c r="F578" t="n">
        <x:v>153</x:v>
      </x:c>
      <x:c r="G578" t="str">
        <x:v>reconciled_components</x:v>
      </x:c>
      <x:c r="H578" t="str"/>
      <x:c r="I578" t="str">
        <x:v>en; unique numbered-card/checklist identities for this row scope</x:v>
      </x:c>
      <x:c r="J578" t="str">
        <x:v>Numbered total equals the reconciled printed denominator + beyond-denominator identities + separately listed subset identities.</x:v>
      </x:c>
      <x:c r="K578" t="str">
        <x:v>en-e09a110664e7</x:v>
      </x:c>
      <x:c r="L578" t="str">
        <x:v>numbered_total</x:v>
      </x:c>
    </x:row>
    <x:row r="579">
      <x:c r="A579" t="str">
        <x:v>NUM-11ec94695854</x:v>
      </x:c>
      <x:c r="B579" t="str">
        <x:v>2026-09-26-numbered-totals</x:v>
      </x:c>
      <x:c r="C579" t="str">
        <x:v>en</x:v>
      </x:c>
      <x:c r="D579" t="str">
        <x:v>Plasma Storm</x:v>
      </x:c>
      <x:c r="E579" t="str">
        <x:v>Numbered total</x:v>
      </x:c>
      <x:c r="F579" t="n">
        <x:v>138</x:v>
      </x:c>
      <x:c r="G579" t="str">
        <x:v>reconciled_components</x:v>
      </x:c>
      <x:c r="H579" t="str"/>
      <x:c r="I579" t="str">
        <x:v>en; unique numbered-card/checklist identities for this row scope</x:v>
      </x:c>
      <x:c r="J579" t="str">
        <x:v>Numbered total equals the reconciled printed denominator + beyond-denominator identities + separately listed subset identities.</x:v>
      </x:c>
      <x:c r="K579" t="str">
        <x:v>en-3016217292f6</x:v>
      </x:c>
      <x:c r="L579" t="str">
        <x:v>numbered_total</x:v>
      </x:c>
    </x:row>
    <x:row r="580">
      <x:c r="A580" t="str">
        <x:v>NUM-11853879d32b</x:v>
      </x:c>
      <x:c r="B580" t="str">
        <x:v>2026-09-26-numbered-totals</x:v>
      </x:c>
      <x:c r="C580" t="str">
        <x:v>en</x:v>
      </x:c>
      <x:c r="D580" t="str">
        <x:v>Plasma Freeze</x:v>
      </x:c>
      <x:c r="E580" t="str">
        <x:v>Numbered total</x:v>
      </x:c>
      <x:c r="F580" t="n">
        <x:v>122</x:v>
      </x:c>
      <x:c r="G580" t="str">
        <x:v>reconciled_components</x:v>
      </x:c>
      <x:c r="H580" t="str"/>
      <x:c r="I580" t="str">
        <x:v>en; unique numbered-card/checklist identities for this row scope</x:v>
      </x:c>
      <x:c r="J580" t="str">
        <x:v>Numbered total equals the reconciled printed denominator + beyond-denominator identities + separately listed subset identities.</x:v>
      </x:c>
      <x:c r="K580" t="str">
        <x:v>en-5aa9e9a94aa6</x:v>
      </x:c>
      <x:c r="L580" t="str">
        <x:v>numbered_total</x:v>
      </x:c>
    </x:row>
    <x:row r="581">
      <x:c r="A581" t="str">
        <x:v>NUM-5046ea088b56</x:v>
      </x:c>
      <x:c r="B581" t="str">
        <x:v>2026-09-26-numbered-totals</x:v>
      </x:c>
      <x:c r="C581" t="str">
        <x:v>en</x:v>
      </x:c>
      <x:c r="D581" t="str">
        <x:v>Plasma Blast</x:v>
      </x:c>
      <x:c r="E581" t="str">
        <x:v>Numbered total</x:v>
      </x:c>
      <x:c r="F581" t="n">
        <x:v>105</x:v>
      </x:c>
      <x:c r="G581" t="str">
        <x:v>reconciled_components</x:v>
      </x:c>
      <x:c r="H581" t="str"/>
      <x:c r="I581" t="str">
        <x:v>en; unique numbered-card/checklist identities for this row scope</x:v>
      </x:c>
      <x:c r="J581" t="str">
        <x:v>Numbered total equals the reconciled printed denominator + beyond-denominator identities + separately listed subset identities.</x:v>
      </x:c>
      <x:c r="K581" t="str">
        <x:v>en-ad0a6da5fa67</x:v>
      </x:c>
      <x:c r="L581" t="str">
        <x:v>numbered_total</x:v>
      </x:c>
    </x:row>
    <x:row r="582">
      <x:c r="A582" t="str">
        <x:v>NUM-aa95178112be</x:v>
      </x:c>
      <x:c r="B582" t="str">
        <x:v>2026-09-26-numbered-totals</x:v>
      </x:c>
      <x:c r="C582" t="str">
        <x:v>en</x:v>
      </x:c>
      <x:c r="D582" t="str">
        <x:v>XY Black Star Promos</x:v>
      </x:c>
      <x:c r="E582" t="str">
        <x:v>Numbered total</x:v>
      </x:c>
      <x:c r="F582" t="n">
        <x:v>211</x:v>
      </x:c>
      <x:c r="G582" t="str">
        <x:v>reconciled_components</x:v>
      </x:c>
      <x:c r="H582" t="str"/>
      <x:c r="I582" t="str">
        <x:v>en; unique numbered-card/checklist identities for this row scope</x:v>
      </x:c>
      <x:c r="J582" t="str">
        <x:v>Numbered total equals the reconciled printed denominator + beyond-denominator identities + separately listed subset identities.</x:v>
      </x:c>
      <x:c r="K582" t="str">
        <x:v>en-de9597f8f5f1</x:v>
      </x:c>
      <x:c r="L582" t="str">
        <x:v>numbered_total</x:v>
      </x:c>
    </x:row>
    <x:row r="583">
      <x:c r="A583" t="str">
        <x:v>NUM-266af4a7c75b</x:v>
      </x:c>
      <x:c r="B583" t="str">
        <x:v>2026-09-26-numbered-totals</x:v>
      </x:c>
      <x:c r="C583" t="str">
        <x:v>en</x:v>
      </x:c>
      <x:c r="D583" t="str">
        <x:v>McDonald's Collection 2013</x:v>
      </x:c>
      <x:c r="E583" t="str">
        <x:v>Numbered total</x:v>
      </x:c>
      <x:c r="F583" t="n">
        <x:v>12</x:v>
      </x:c>
      <x:c r="G583" t="str">
        <x:v>reconciled_components</x:v>
      </x:c>
      <x:c r="H583" t="str"/>
      <x:c r="I583" t="str">
        <x:v>en; unique numbered-card/checklist identities for this row scope</x:v>
      </x:c>
      <x:c r="J583" t="str">
        <x:v>Numbered total equals the reconciled printed denominator + beyond-denominator identities + separately listed subset identities.</x:v>
      </x:c>
      <x:c r="K583" t="str">
        <x:v>en-3cb54e9ce33e</x:v>
      </x:c>
      <x:c r="L583" t="str">
        <x:v>numbered_total</x:v>
      </x:c>
    </x:row>
    <x:row r="584">
      <x:c r="A584" t="str">
        <x:v>NUM-6240c730bfcb</x:v>
      </x:c>
      <x:c r="B584" t="str">
        <x:v>2026-09-26-numbered-totals</x:v>
      </x:c>
      <x:c r="C584" t="str">
        <x:v>en</x:v>
      </x:c>
      <x:c r="D584" t="str">
        <x:v>Legendary Treasures</x:v>
      </x:c>
      <x:c r="E584" t="str">
        <x:v>Numbered total</x:v>
      </x:c>
      <x:c r="F584" t="n">
        <x:v>140</x:v>
      </x:c>
      <x:c r="G584" t="str">
        <x:v>reconciled_components</x:v>
      </x:c>
      <x:c r="H584" t="str"/>
      <x:c r="I584" t="str">
        <x:v>en; unique numbered-card/checklist identities for this row scope</x:v>
      </x:c>
      <x:c r="J584" t="str">
        <x:v>Numbered total equals the reconciled printed denominator + beyond-denominator identities + separately listed subset identities.</x:v>
      </x:c>
      <x:c r="K584" t="str">
        <x:v>en-d17b2d80e0a0</x:v>
      </x:c>
      <x:c r="L584" t="str">
        <x:v>numbered_total</x:v>
      </x:c>
    </x:row>
    <x:row r="585">
      <x:c r="A585" t="str">
        <x:v>NUM-69efab3c7b9b</x:v>
      </x:c>
      <x:c r="B585" t="str">
        <x:v>2026-09-26-numbered-totals</x:v>
      </x:c>
      <x:c r="C585" t="str">
        <x:v>en</x:v>
      </x:c>
      <x:c r="D585" t="str">
        <x:v>Kalos Starter Set</x:v>
      </x:c>
      <x:c r="E585" t="str">
        <x:v>Numbered total</x:v>
      </x:c>
      <x:c r="F585" t="n">
        <x:v>39</x:v>
      </x:c>
      <x:c r="G585" t="str">
        <x:v>reconciled_components</x:v>
      </x:c>
      <x:c r="H585" t="str"/>
      <x:c r="I585" t="str">
        <x:v>en; unique numbered-card/checklist identities for this row scope</x:v>
      </x:c>
      <x:c r="J585" t="str">
        <x:v>Numbered total equals the reconciled printed denominator + beyond-denominator identities + separately listed subset identities.</x:v>
      </x:c>
      <x:c r="K585" t="str">
        <x:v>en-8927672c1fc3</x:v>
      </x:c>
      <x:c r="L585" t="str">
        <x:v>numbered_total</x:v>
      </x:c>
    </x:row>
    <x:row r="586">
      <x:c r="A586" t="str">
        <x:v>NUM-4b50455ac246</x:v>
      </x:c>
      <x:c r="B586" t="str">
        <x:v>2026-09-26-numbered-totals</x:v>
      </x:c>
      <x:c r="C586" t="str">
        <x:v>en</x:v>
      </x:c>
      <x:c r="D586" t="str">
        <x:v>XY</x:v>
      </x:c>
      <x:c r="E586" t="str">
        <x:v>Numbered total</x:v>
      </x:c>
      <x:c r="F586" t="n">
        <x:v>146</x:v>
      </x:c>
      <x:c r="G586" t="str">
        <x:v>reconciled_components</x:v>
      </x:c>
      <x:c r="H586" t="str"/>
      <x:c r="I586" t="str">
        <x:v>en; unique numbered-card/checklist identities for this row scope</x:v>
      </x:c>
      <x:c r="J586" t="str">
        <x:v>Numbered total equals the reconciled printed denominator + beyond-denominator identities + separately listed subset identities.</x:v>
      </x:c>
      <x:c r="K586" t="str">
        <x:v>en-c2ca16153c2a</x:v>
      </x:c>
      <x:c r="L586" t="str">
        <x:v>numbered_total</x:v>
      </x:c>
    </x:row>
    <x:row r="587">
      <x:c r="A587" t="str">
        <x:v>NUM-c2385a560a9e</x:v>
      </x:c>
      <x:c r="B587" t="str">
        <x:v>2026-09-26-numbered-totals</x:v>
      </x:c>
      <x:c r="C587" t="str">
        <x:v>en</x:v>
      </x:c>
      <x:c r="D587" t="str">
        <x:v>Flashfire</x:v>
      </x:c>
      <x:c r="E587" t="str">
        <x:v>Numbered total</x:v>
      </x:c>
      <x:c r="F587" t="n">
        <x:v>109</x:v>
      </x:c>
      <x:c r="G587" t="str">
        <x:v>reconciled_components</x:v>
      </x:c>
      <x:c r="H587" t="str"/>
      <x:c r="I587" t="str">
        <x:v>en; unique numbered-card/checklist identities for this row scope</x:v>
      </x:c>
      <x:c r="J587" t="str">
        <x:v>Numbered total equals the reconciled printed denominator + beyond-denominator identities + separately listed subset identities.</x:v>
      </x:c>
      <x:c r="K587" t="str">
        <x:v>en-a430ca13ab89</x:v>
      </x:c>
      <x:c r="L587" t="str">
        <x:v>numbered_total</x:v>
      </x:c>
    </x:row>
    <x:row r="588">
      <x:c r="A588" t="str">
        <x:v>NUM-4312e75915b2</x:v>
      </x:c>
      <x:c r="B588" t="str">
        <x:v>2026-09-26-numbered-totals</x:v>
      </x:c>
      <x:c r="C588" t="str">
        <x:v>en</x:v>
      </x:c>
      <x:c r="D588" t="str">
        <x:v>McDonald's Collection 2014</x:v>
      </x:c>
      <x:c r="E588" t="str">
        <x:v>Numbered total</x:v>
      </x:c>
      <x:c r="F588" t="n">
        <x:v>12</x:v>
      </x:c>
      <x:c r="G588" t="str">
        <x:v>reconciled_components</x:v>
      </x:c>
      <x:c r="H588" t="str"/>
      <x:c r="I588" t="str">
        <x:v>en; unique numbered-card/checklist identities for this row scope</x:v>
      </x:c>
      <x:c r="J588" t="str">
        <x:v>Numbered total equals the reconciled printed denominator + beyond-denominator identities + separately listed subset identities.</x:v>
      </x:c>
      <x:c r="K588" t="str">
        <x:v>en-915e707fe4c1</x:v>
      </x:c>
      <x:c r="L588" t="str">
        <x:v>numbered_total</x:v>
      </x:c>
    </x:row>
    <x:row r="589">
      <x:c r="A589" t="str">
        <x:v>NUM-4a8cd92ba0e8</x:v>
      </x:c>
      <x:c r="B589" t="str">
        <x:v>2026-09-26-numbered-totals</x:v>
      </x:c>
      <x:c r="C589" t="str">
        <x:v>en</x:v>
      </x:c>
      <x:c r="D589" t="str">
        <x:v>Furious Fists</x:v>
      </x:c>
      <x:c r="E589" t="str">
        <x:v>Numbered total</x:v>
      </x:c>
      <x:c r="F589" t="n">
        <x:v>113</x:v>
      </x:c>
      <x:c r="G589" t="str">
        <x:v>reconciled_components</x:v>
      </x:c>
      <x:c r="H589" t="str"/>
      <x:c r="I589" t="str">
        <x:v>en; unique numbered-card/checklist identities for this row scope</x:v>
      </x:c>
      <x:c r="J589" t="str">
        <x:v>Numbered total equals the reconciled printed denominator + beyond-denominator identities + separately listed subset identities.</x:v>
      </x:c>
      <x:c r="K589" t="str">
        <x:v>en-07be2898ea37</x:v>
      </x:c>
      <x:c r="L589" t="str">
        <x:v>numbered_total</x:v>
      </x:c>
    </x:row>
    <x:row r="590">
      <x:c r="A590" t="str">
        <x:v>NUM-817188b313aa</x:v>
      </x:c>
      <x:c r="B590" t="str">
        <x:v>2026-09-26-numbered-totals</x:v>
      </x:c>
      <x:c r="C590" t="str">
        <x:v>en</x:v>
      </x:c>
      <x:c r="D590" t="str">
        <x:v>Phantom Forces</x:v>
      </x:c>
      <x:c r="E590" t="str">
        <x:v>Numbered total</x:v>
      </x:c>
      <x:c r="F590" t="n">
        <x:v>122</x:v>
      </x:c>
      <x:c r="G590" t="str">
        <x:v>reconciled_components</x:v>
      </x:c>
      <x:c r="H590" t="str"/>
      <x:c r="I590" t="str">
        <x:v>en; unique numbered-card/checklist identities for this row scope</x:v>
      </x:c>
      <x:c r="J590" t="str">
        <x:v>Numbered total equals the reconciled printed denominator + beyond-denominator identities + separately listed subset identities.</x:v>
      </x:c>
      <x:c r="K590" t="str">
        <x:v>en-2d7a46bf4f40</x:v>
      </x:c>
      <x:c r="L590" t="str">
        <x:v>numbered_total</x:v>
      </x:c>
    </x:row>
    <x:row r="591">
      <x:c r="A591" t="str">
        <x:v>NUM-641e453cc81f</x:v>
      </x:c>
      <x:c r="B591" t="str">
        <x:v>2026-09-26-numbered-totals</x:v>
      </x:c>
      <x:c r="C591" t="str">
        <x:v>en</x:v>
      </x:c>
      <x:c r="D591" t="str">
        <x:v>Primal Clash</x:v>
      </x:c>
      <x:c r="E591" t="str">
        <x:v>Numbered total</x:v>
      </x:c>
      <x:c r="F591" t="n">
        <x:v>164</x:v>
      </x:c>
      <x:c r="G591" t="str">
        <x:v>reconciled_components</x:v>
      </x:c>
      <x:c r="H591" t="str"/>
      <x:c r="I591" t="str">
        <x:v>en; unique numbered-card/checklist identities for this row scope</x:v>
      </x:c>
      <x:c r="J591" t="str">
        <x:v>Numbered total equals the reconciled printed denominator + beyond-denominator identities + separately listed subset identities.</x:v>
      </x:c>
      <x:c r="K591" t="str">
        <x:v>en-9eb9fce1de4b</x:v>
      </x:c>
      <x:c r="L591" t="str">
        <x:v>numbered_total</x:v>
      </x:c>
    </x:row>
    <x:row r="592">
      <x:c r="A592" t="str">
        <x:v>NUM-be970cff68b6</x:v>
      </x:c>
      <x:c r="B592" t="str">
        <x:v>2026-09-26-numbered-totals</x:v>
      </x:c>
      <x:c r="C592" t="str">
        <x:v>en</x:v>
      </x:c>
      <x:c r="D592" t="str">
        <x:v>Double Crisis</x:v>
      </x:c>
      <x:c r="E592" t="str">
        <x:v>Numbered total</x:v>
      </x:c>
      <x:c r="F592" t="n">
        <x:v>34</x:v>
      </x:c>
      <x:c r="G592" t="str">
        <x:v>reconciled_components</x:v>
      </x:c>
      <x:c r="H592" t="str"/>
      <x:c r="I592" t="str">
        <x:v>en; unique numbered-card/checklist identities for this row scope</x:v>
      </x:c>
      <x:c r="J592" t="str">
        <x:v>Numbered total equals the reconciled printed denominator + beyond-denominator identities + separately listed subset identities.</x:v>
      </x:c>
      <x:c r="K592" t="str">
        <x:v>en-424245fcaa4d</x:v>
      </x:c>
      <x:c r="L592" t="str">
        <x:v>numbered_total</x:v>
      </x:c>
    </x:row>
    <x:row r="593">
      <x:c r="A593" t="str">
        <x:v>NUM-145976329e79</x:v>
      </x:c>
      <x:c r="B593" t="str">
        <x:v>2026-09-26-numbered-totals</x:v>
      </x:c>
      <x:c r="C593" t="str">
        <x:v>en</x:v>
      </x:c>
      <x:c r="D593" t="str">
        <x:v>Roaring Skies</x:v>
      </x:c>
      <x:c r="E593" t="str">
        <x:v>Numbered total</x:v>
      </x:c>
      <x:c r="F593" t="n">
        <x:v>110</x:v>
      </x:c>
      <x:c r="G593" t="str">
        <x:v>reconciled_components</x:v>
      </x:c>
      <x:c r="H593" t="str"/>
      <x:c r="I593" t="str">
        <x:v>en; unique numbered-card/checklist identities for this row scope</x:v>
      </x:c>
      <x:c r="J593" t="str">
        <x:v>Numbered total equals the reconciled printed denominator + beyond-denominator identities + separately listed subset identities.</x:v>
      </x:c>
      <x:c r="K593" t="str">
        <x:v>en-816bacadc3d6</x:v>
      </x:c>
      <x:c r="L593" t="str">
        <x:v>numbered_total</x:v>
      </x:c>
    </x:row>
    <x:row r="594">
      <x:c r="A594" t="str">
        <x:v>NUM-78793a0b5524</x:v>
      </x:c>
      <x:c r="B594" t="str">
        <x:v>2026-09-26-numbered-totals</x:v>
      </x:c>
      <x:c r="C594" t="str">
        <x:v>en</x:v>
      </x:c>
      <x:c r="D594" t="str">
        <x:v>Ancient Origins</x:v>
      </x:c>
      <x:c r="E594" t="str">
        <x:v>Numbered total</x:v>
      </x:c>
      <x:c r="F594" t="n">
        <x:v>100</x:v>
      </x:c>
      <x:c r="G594" t="str">
        <x:v>reconciled_components</x:v>
      </x:c>
      <x:c r="H594" t="str"/>
      <x:c r="I594" t="str">
        <x:v>en; unique numbered-card/checklist identities for this row scope</x:v>
      </x:c>
      <x:c r="J594" t="str">
        <x:v>Numbered total equals the reconciled printed denominator + beyond-denominator identities + separately listed subset identities.</x:v>
      </x:c>
      <x:c r="K594" t="str">
        <x:v>en-94a46f468993</x:v>
      </x:c>
      <x:c r="L594" t="str">
        <x:v>numbered_total</x:v>
      </x:c>
    </x:row>
    <x:row r="595">
      <x:c r="A595" t="str">
        <x:v>NUM-b42cb3b438b5</x:v>
      </x:c>
      <x:c r="B595" t="str">
        <x:v>2026-09-26-numbered-totals</x:v>
      </x:c>
      <x:c r="C595" t="str">
        <x:v>en</x:v>
      </x:c>
      <x:c r="D595" t="str">
        <x:v>McDonald's Collection 2015</x:v>
      </x:c>
      <x:c r="E595" t="str">
        <x:v>Numbered total</x:v>
      </x:c>
      <x:c r="F595" t="n">
        <x:v>12</x:v>
      </x:c>
      <x:c r="G595" t="str">
        <x:v>reconciled_components</x:v>
      </x:c>
      <x:c r="H595" t="str"/>
      <x:c r="I595" t="str">
        <x:v>en; unique numbered-card/checklist identities for this row scope</x:v>
      </x:c>
      <x:c r="J595" t="str">
        <x:v>Numbered total equals the reconciled printed denominator + beyond-denominator identities + separately listed subset identities.</x:v>
      </x:c>
      <x:c r="K595" t="str">
        <x:v>en-e7aad6d1fbb0</x:v>
      </x:c>
      <x:c r="L595" t="str">
        <x:v>numbered_total</x:v>
      </x:c>
    </x:row>
    <x:row r="596">
      <x:c r="A596" t="str">
        <x:v>NUM-3e39a1a2d532</x:v>
      </x:c>
      <x:c r="B596" t="str">
        <x:v>2026-09-26-numbered-totals</x:v>
      </x:c>
      <x:c r="C596" t="str">
        <x:v>en</x:v>
      </x:c>
      <x:c r="D596" t="str">
        <x:v>BREAKthrough</x:v>
      </x:c>
      <x:c r="E596" t="str">
        <x:v>Numbered total</x:v>
      </x:c>
      <x:c r="F596" t="n">
        <x:v>164</x:v>
      </x:c>
      <x:c r="G596" t="str">
        <x:v>reconciled_components</x:v>
      </x:c>
      <x:c r="H596" t="str"/>
      <x:c r="I596" t="str">
        <x:v>en; unique numbered-card/checklist identities for this row scope</x:v>
      </x:c>
      <x:c r="J596" t="str">
        <x:v>Numbered total equals the reconciled printed denominator + beyond-denominator identities + separately listed subset identities.</x:v>
      </x:c>
      <x:c r="K596" t="str">
        <x:v>en-02f878472b36</x:v>
      </x:c>
      <x:c r="L596" t="str">
        <x:v>numbered_total</x:v>
      </x:c>
    </x:row>
    <x:row r="597">
      <x:c r="A597" t="str">
        <x:v>NUM-679b670a7b60</x:v>
      </x:c>
      <x:c r="B597" t="str">
        <x:v>2026-09-26-numbered-totals</x:v>
      </x:c>
      <x:c r="C597" t="str">
        <x:v>en</x:v>
      </x:c>
      <x:c r="D597" t="str">
        <x:v>BREAKpoint</x:v>
      </x:c>
      <x:c r="E597" t="str">
        <x:v>Numbered total</x:v>
      </x:c>
      <x:c r="F597" t="n">
        <x:v>123</x:v>
      </x:c>
      <x:c r="G597" t="str">
        <x:v>reconciled_components</x:v>
      </x:c>
      <x:c r="H597" t="str"/>
      <x:c r="I597" t="str">
        <x:v>en; unique numbered-card/checklist identities for this row scope</x:v>
      </x:c>
      <x:c r="J597" t="str">
        <x:v>Numbered total equals the reconciled printed denominator + beyond-denominator identities + separately listed subset identities.</x:v>
      </x:c>
      <x:c r="K597" t="str">
        <x:v>en-62bf8ccf548c</x:v>
      </x:c>
      <x:c r="L597" t="str">
        <x:v>numbered_total</x:v>
      </x:c>
    </x:row>
    <x:row r="598">
      <x:c r="A598" t="str">
        <x:v>NUM-c2dac3558c09</x:v>
      </x:c>
      <x:c r="B598" t="str">
        <x:v>2026-09-26-numbered-totals</x:v>
      </x:c>
      <x:c r="C598" t="str">
        <x:v>en</x:v>
      </x:c>
      <x:c r="D598" t="str">
        <x:v>Generations</x:v>
      </x:c>
      <x:c r="E598" t="str">
        <x:v>Numbered total</x:v>
      </x:c>
      <x:c r="F598" t="n">
        <x:v>115</x:v>
      </x:c>
      <x:c r="G598" t="str">
        <x:v>reconciled_components</x:v>
      </x:c>
      <x:c r="H598" t="str"/>
      <x:c r="I598" t="str">
        <x:v>en; unique numbered-card/checklist identities for this row scope</x:v>
      </x:c>
      <x:c r="J598" t="str">
        <x:v>Numbered total equals the reconciled printed denominator + beyond-denominator identities + separately listed subset identities.</x:v>
      </x:c>
      <x:c r="K598" t="str">
        <x:v>en-a3e276f60a2a</x:v>
      </x:c>
      <x:c r="L598" t="str">
        <x:v>numbered_total</x:v>
      </x:c>
    </x:row>
    <x:row r="599">
      <x:c r="A599" t="str">
        <x:v>NUM-256fa6681811</x:v>
      </x:c>
      <x:c r="B599" t="str">
        <x:v>2026-09-26-numbered-totals</x:v>
      </x:c>
      <x:c r="C599" t="str">
        <x:v>en</x:v>
      </x:c>
      <x:c r="D599" t="str">
        <x:v>Fates Collide</x:v>
      </x:c>
      <x:c r="E599" t="str">
        <x:v>Numbered total</x:v>
      </x:c>
      <x:c r="F599" t="n">
        <x:v>125</x:v>
      </x:c>
      <x:c r="G599" t="str">
        <x:v>reconciled_components</x:v>
      </x:c>
      <x:c r="H599" t="str"/>
      <x:c r="I599" t="str">
        <x:v>en; unique numbered-card/checklist identities for this row scope</x:v>
      </x:c>
      <x:c r="J599" t="str">
        <x:v>Numbered total equals the reconciled printed denominator + beyond-denominator identities + separately listed subset identities.</x:v>
      </x:c>
      <x:c r="K599" t="str">
        <x:v>en-b287631747bd</x:v>
      </x:c>
      <x:c r="L599" t="str">
        <x:v>numbered_total</x:v>
      </x:c>
    </x:row>
    <x:row r="600">
      <x:c r="A600" t="str">
        <x:v>NUM-7a76ea642193</x:v>
      </x:c>
      <x:c r="B600" t="str">
        <x:v>2026-09-26-numbered-totals</x:v>
      </x:c>
      <x:c r="C600" t="str">
        <x:v>en</x:v>
      </x:c>
      <x:c r="D600" t="str">
        <x:v>Steam Siege</x:v>
      </x:c>
      <x:c r="E600" t="str">
        <x:v>Numbered total</x:v>
      </x:c>
      <x:c r="F600" t="n">
        <x:v>116</x:v>
      </x:c>
      <x:c r="G600" t="str">
        <x:v>reconciled_components</x:v>
      </x:c>
      <x:c r="H600" t="str"/>
      <x:c r="I600" t="str">
        <x:v>en; unique numbered-card/checklist identities for this row scope</x:v>
      </x:c>
      <x:c r="J600" t="str">
        <x:v>Numbered total equals the reconciled printed denominator + beyond-denominator identities + separately listed subset identities.</x:v>
      </x:c>
      <x:c r="K600" t="str">
        <x:v>en-8ba7f44ef156</x:v>
      </x:c>
      <x:c r="L600" t="str">
        <x:v>numbered_total</x:v>
      </x:c>
    </x:row>
    <x:row r="601">
      <x:c r="A601" t="str">
        <x:v>NUM-bdc39c772743</x:v>
      </x:c>
      <x:c r="B601" t="str">
        <x:v>2026-09-26-numbered-totals</x:v>
      </x:c>
      <x:c r="C601" t="str">
        <x:v>en</x:v>
      </x:c>
      <x:c r="D601" t="str">
        <x:v>McDonald's Collection 2016</x:v>
      </x:c>
      <x:c r="E601" t="str">
        <x:v>Numbered total</x:v>
      </x:c>
      <x:c r="F601" t="n">
        <x:v>12</x:v>
      </x:c>
      <x:c r="G601" t="str">
        <x:v>reconciled_components</x:v>
      </x:c>
      <x:c r="H601" t="str"/>
      <x:c r="I601" t="str">
        <x:v>en; unique numbered-card/checklist identities for this row scope</x:v>
      </x:c>
      <x:c r="J601" t="str">
        <x:v>Numbered total equals the reconciled printed denominator + beyond-denominator identities + separately listed subset identities.</x:v>
      </x:c>
      <x:c r="K601" t="str">
        <x:v>en-c6947a8b9b91</x:v>
      </x:c>
      <x:c r="L601" t="str">
        <x:v>numbered_total</x:v>
      </x:c>
    </x:row>
    <x:row r="602">
      <x:c r="A602" t="str">
        <x:v>NUM-5288bed2f5e7</x:v>
      </x:c>
      <x:c r="B602" t="str">
        <x:v>2026-09-26-numbered-totals</x:v>
      </x:c>
      <x:c r="C602" t="str">
        <x:v>en</x:v>
      </x:c>
      <x:c r="D602" t="str">
        <x:v>SM Black Star Promos</x:v>
      </x:c>
      <x:c r="E602" t="str">
        <x:v>Numbered total</x:v>
      </x:c>
      <x:c r="F602" t="n">
        <x:v>248</x:v>
      </x:c>
      <x:c r="G602" t="str">
        <x:v>reconciled_components</x:v>
      </x:c>
      <x:c r="H602" t="str"/>
      <x:c r="I602" t="str">
        <x:v>en; unique numbered-card/checklist identities for this row scope</x:v>
      </x:c>
      <x:c r="J602" t="str">
        <x:v>Numbered total equals the reconciled printed denominator + beyond-denominator identities + separately listed subset identities.</x:v>
      </x:c>
      <x:c r="K602" t="str">
        <x:v>en-920392a73db9</x:v>
      </x:c>
      <x:c r="L602" t="str">
        <x:v>numbered_total</x:v>
      </x:c>
    </x:row>
    <x:row r="603">
      <x:c r="A603" t="str">
        <x:v>NUM-c0370bd35a48</x:v>
      </x:c>
      <x:c r="B603" t="str">
        <x:v>2026-09-26-numbered-totals</x:v>
      </x:c>
      <x:c r="C603" t="str">
        <x:v>en</x:v>
      </x:c>
      <x:c r="D603" t="str">
        <x:v>Evolutions</x:v>
      </x:c>
      <x:c r="E603" t="str">
        <x:v>Numbered total</x:v>
      </x:c>
      <x:c r="F603" t="n">
        <x:v>113</x:v>
      </x:c>
      <x:c r="G603" t="str">
        <x:v>reconciled_components</x:v>
      </x:c>
      <x:c r="H603" t="str"/>
      <x:c r="I603" t="str">
        <x:v>en; unique numbered-card/checklist identities for this row scope</x:v>
      </x:c>
      <x:c r="J603" t="str">
        <x:v>Numbered total equals the reconciled printed denominator + beyond-denominator identities + separately listed subset identities.</x:v>
      </x:c>
      <x:c r="K603" t="str">
        <x:v>en-85e873dafc55</x:v>
      </x:c>
      <x:c r="L603" t="str">
        <x:v>numbered_total</x:v>
      </x:c>
    </x:row>
    <x:row r="604">
      <x:c r="A604" t="str">
        <x:v>NUM-2a6b715a8e2d</x:v>
      </x:c>
      <x:c r="B604" t="str">
        <x:v>2026-09-26-numbered-totals</x:v>
      </x:c>
      <x:c r="C604" t="str">
        <x:v>en</x:v>
      </x:c>
      <x:c r="D604" t="str">
        <x:v>Sun &amp; Moon</x:v>
      </x:c>
      <x:c r="E604" t="str">
        <x:v>Numbered total</x:v>
      </x:c>
      <x:c r="F604" t="n">
        <x:v>163</x:v>
      </x:c>
      <x:c r="G604" t="str">
        <x:v>reconciled_components</x:v>
      </x:c>
      <x:c r="H604" t="str"/>
      <x:c r="I604" t="str">
        <x:v>en; unique numbered-card/checklist identities for this row scope</x:v>
      </x:c>
      <x:c r="J604" t="str">
        <x:v>Numbered total equals the reconciled printed denominator + beyond-denominator identities + separately listed subset identities.</x:v>
      </x:c>
      <x:c r="K604" t="str">
        <x:v>en-8b72f8c8ec1f</x:v>
      </x:c>
      <x:c r="L604" t="str">
        <x:v>numbered_total</x:v>
      </x:c>
    </x:row>
    <x:row r="605">
      <x:c r="A605" t="str">
        <x:v>NUM-3eded43bbb1c</x:v>
      </x:c>
      <x:c r="B605" t="str">
        <x:v>2026-09-26-numbered-totals</x:v>
      </x:c>
      <x:c r="C605" t="str">
        <x:v>en</x:v>
      </x:c>
      <x:c r="D605" t="str">
        <x:v>Guardians Rising</x:v>
      </x:c>
      <x:c r="E605" t="str">
        <x:v>Numbered total</x:v>
      </x:c>
      <x:c r="F605" t="n">
        <x:v>169</x:v>
      </x:c>
      <x:c r="G605" t="str">
        <x:v>reconciled_components</x:v>
      </x:c>
      <x:c r="H605" t="str"/>
      <x:c r="I605" t="str">
        <x:v>en; unique numbered-card/checklist identities for this row scope</x:v>
      </x:c>
      <x:c r="J605" t="str">
        <x:v>Numbered total equals the reconciled printed denominator + beyond-denominator identities + separately listed subset identities.</x:v>
      </x:c>
      <x:c r="K605" t="str">
        <x:v>en-f51be29044a7</x:v>
      </x:c>
      <x:c r="L605" t="str">
        <x:v>numbered_total</x:v>
      </x:c>
    </x:row>
    <x:row r="606">
      <x:c r="A606" t="str">
        <x:v>NUM-274b909efcf6</x:v>
      </x:c>
      <x:c r="B606" t="str">
        <x:v>2026-09-26-numbered-totals</x:v>
      </x:c>
      <x:c r="C606" t="str">
        <x:v>en</x:v>
      </x:c>
      <x:c r="D606" t="str">
        <x:v>McDonald's Collection 2017</x:v>
      </x:c>
      <x:c r="E606" t="str">
        <x:v>Numbered total</x:v>
      </x:c>
      <x:c r="F606" t="n">
        <x:v>12</x:v>
      </x:c>
      <x:c r="G606" t="str">
        <x:v>reconciled_components</x:v>
      </x:c>
      <x:c r="H606" t="str"/>
      <x:c r="I606" t="str">
        <x:v>en; unique numbered-card/checklist identities for this row scope</x:v>
      </x:c>
      <x:c r="J606" t="str">
        <x:v>Numbered total equals the reconciled printed denominator + beyond-denominator identities + separately listed subset identities.</x:v>
      </x:c>
      <x:c r="K606" t="str">
        <x:v>en-c93c5824efe9</x:v>
      </x:c>
      <x:c r="L606" t="str">
        <x:v>numbered_total</x:v>
      </x:c>
    </x:row>
    <x:row r="607">
      <x:c r="A607" t="str">
        <x:v>NUM-39b2582f39e0</x:v>
      </x:c>
      <x:c r="B607" t="str">
        <x:v>2026-09-26-numbered-totals</x:v>
      </x:c>
      <x:c r="C607" t="str">
        <x:v>en</x:v>
      </x:c>
      <x:c r="D607" t="str">
        <x:v>Burning Shadows</x:v>
      </x:c>
      <x:c r="E607" t="str">
        <x:v>Numbered total</x:v>
      </x:c>
      <x:c r="F607" t="n">
        <x:v>169</x:v>
      </x:c>
      <x:c r="G607" t="str">
        <x:v>reconciled_components</x:v>
      </x:c>
      <x:c r="H607" t="str"/>
      <x:c r="I607" t="str">
        <x:v>en; unique numbered-card/checklist identities for this row scope</x:v>
      </x:c>
      <x:c r="J607" t="str">
        <x:v>Numbered total equals the reconciled printed denominator + beyond-denominator identities + separately listed subset identities.</x:v>
      </x:c>
      <x:c r="K607" t="str">
        <x:v>en-3116e68ab4e9</x:v>
      </x:c>
      <x:c r="L607" t="str">
        <x:v>numbered_total</x:v>
      </x:c>
    </x:row>
    <x:row r="608">
      <x:c r="A608" t="str">
        <x:v>NUM-37effddd9970</x:v>
      </x:c>
      <x:c r="B608" t="str">
        <x:v>2026-09-26-numbered-totals</x:v>
      </x:c>
      <x:c r="C608" t="str">
        <x:v>en</x:v>
      </x:c>
      <x:c r="D608" t="str">
        <x:v>Shining Legends</x:v>
      </x:c>
      <x:c r="E608" t="str">
        <x:v>Numbered total</x:v>
      </x:c>
      <x:c r="F608" t="n">
        <x:v>78</x:v>
      </x:c>
      <x:c r="G608" t="str">
        <x:v>reconciled_components</x:v>
      </x:c>
      <x:c r="H608" t="str"/>
      <x:c r="I608" t="str">
        <x:v>en; unique numbered-card/checklist identities for this row scope</x:v>
      </x:c>
      <x:c r="J608" t="str">
        <x:v>Numbered total equals the reconciled printed denominator + beyond-denominator identities + separately listed subset identities.</x:v>
      </x:c>
      <x:c r="K608" t="str">
        <x:v>en-284cab91a1be</x:v>
      </x:c>
      <x:c r="L608" t="str">
        <x:v>numbered_total</x:v>
      </x:c>
    </x:row>
    <x:row r="609">
      <x:c r="A609" t="str">
        <x:v>NUM-2c7040373dee</x:v>
      </x:c>
      <x:c r="B609" t="str">
        <x:v>2026-09-26-numbered-totals</x:v>
      </x:c>
      <x:c r="C609" t="str">
        <x:v>en</x:v>
      </x:c>
      <x:c r="D609" t="str">
        <x:v>Crimson Invasion</x:v>
      </x:c>
      <x:c r="E609" t="str">
        <x:v>Numbered total</x:v>
      </x:c>
      <x:c r="F609" t="n">
        <x:v>124</x:v>
      </x:c>
      <x:c r="G609" t="str">
        <x:v>reconciled_components</x:v>
      </x:c>
      <x:c r="H609" t="str"/>
      <x:c r="I609" t="str">
        <x:v>en; unique numbered-card/checklist identities for this row scope</x:v>
      </x:c>
      <x:c r="J609" t="str">
        <x:v>Numbered total equals the reconciled printed denominator + beyond-denominator identities + separately listed subset identities.</x:v>
      </x:c>
      <x:c r="K609" t="str">
        <x:v>en-2fbc7c4dc4aa</x:v>
      </x:c>
      <x:c r="L609" t="str">
        <x:v>numbered_total</x:v>
      </x:c>
    </x:row>
    <x:row r="610">
      <x:c r="A610" t="str">
        <x:v>NUM-cf05c6758e05</x:v>
      </x:c>
      <x:c r="B610" t="str">
        <x:v>2026-09-26-numbered-totals</x:v>
      </x:c>
      <x:c r="C610" t="str">
        <x:v>en</x:v>
      </x:c>
      <x:c r="D610" t="str">
        <x:v>Ultra Prism</x:v>
      </x:c>
      <x:c r="E610" t="str">
        <x:v>Numbered total</x:v>
      </x:c>
      <x:c r="F610" t="n">
        <x:v>173</x:v>
      </x:c>
      <x:c r="G610" t="str">
        <x:v>reconciled_components</x:v>
      </x:c>
      <x:c r="H610" t="str"/>
      <x:c r="I610" t="str">
        <x:v>en; unique numbered-card/checklist identities for this row scope</x:v>
      </x:c>
      <x:c r="J610" t="str">
        <x:v>Numbered total equals the reconciled printed denominator + beyond-denominator identities + separately listed subset identities.</x:v>
      </x:c>
      <x:c r="K610" t="str">
        <x:v>en-07efccc9871c</x:v>
      </x:c>
      <x:c r="L610" t="str">
        <x:v>numbered_total</x:v>
      </x:c>
    </x:row>
    <x:row r="611">
      <x:c r="A611" t="str">
        <x:v>NUM-404bb852e3fb</x:v>
      </x:c>
      <x:c r="B611" t="str">
        <x:v>2026-09-26-numbered-totals</x:v>
      </x:c>
      <x:c r="C611" t="str">
        <x:v>en</x:v>
      </x:c>
      <x:c r="D611" t="str">
        <x:v>Forbidden Light</x:v>
      </x:c>
      <x:c r="E611" t="str">
        <x:v>Numbered total</x:v>
      </x:c>
      <x:c r="F611" t="n">
        <x:v>146</x:v>
      </x:c>
      <x:c r="G611" t="str">
        <x:v>reconciled_components</x:v>
      </x:c>
      <x:c r="H611" t="str"/>
      <x:c r="I611" t="str">
        <x:v>en; unique numbered-card/checklist identities for this row scope</x:v>
      </x:c>
      <x:c r="J611" t="str">
        <x:v>Numbered total equals the reconciled printed denominator + beyond-denominator identities + separately listed subset identities.</x:v>
      </x:c>
      <x:c r="K611" t="str">
        <x:v>en-6d3f72991ea4</x:v>
      </x:c>
      <x:c r="L611" t="str">
        <x:v>numbered_total</x:v>
      </x:c>
    </x:row>
    <x:row r="612">
      <x:c r="A612" t="str">
        <x:v>NUM-68256c066a3d</x:v>
      </x:c>
      <x:c r="B612" t="str">
        <x:v>2026-09-26-numbered-totals</x:v>
      </x:c>
      <x:c r="C612" t="str">
        <x:v>en</x:v>
      </x:c>
      <x:c r="D612" t="str">
        <x:v>Celestial Storm</x:v>
      </x:c>
      <x:c r="E612" t="str">
        <x:v>Numbered total</x:v>
      </x:c>
      <x:c r="F612" t="n">
        <x:v>183</x:v>
      </x:c>
      <x:c r="G612" t="str">
        <x:v>reconciled_components</x:v>
      </x:c>
      <x:c r="H612" t="str"/>
      <x:c r="I612" t="str">
        <x:v>en; unique numbered-card/checklist identities for this row scope</x:v>
      </x:c>
      <x:c r="J612" t="str">
        <x:v>Numbered total equals the reconciled printed denominator + beyond-denominator identities + separately listed subset identities.</x:v>
      </x:c>
      <x:c r="K612" t="str">
        <x:v>en-a4e4b7afea78</x:v>
      </x:c>
      <x:c r="L612" t="str">
        <x:v>numbered_total</x:v>
      </x:c>
    </x:row>
    <x:row r="613">
      <x:c r="A613" t="str">
        <x:v>NUM-1fc14b08eae9</x:v>
      </x:c>
      <x:c r="B613" t="str">
        <x:v>2026-09-26-numbered-totals</x:v>
      </x:c>
      <x:c r="C613" t="str">
        <x:v>en</x:v>
      </x:c>
      <x:c r="D613" t="str">
        <x:v>Dragon Majesty</x:v>
      </x:c>
      <x:c r="E613" t="str">
        <x:v>Numbered total</x:v>
      </x:c>
      <x:c r="F613" t="n">
        <x:v>78</x:v>
      </x:c>
      <x:c r="G613" t="str">
        <x:v>reconciled_components</x:v>
      </x:c>
      <x:c r="H613" t="str"/>
      <x:c r="I613" t="str">
        <x:v>en; unique numbered-card/checklist identities for this row scope</x:v>
      </x:c>
      <x:c r="J613" t="str">
        <x:v>Numbered total equals the reconciled printed denominator + beyond-denominator identities + separately listed subset identities.</x:v>
      </x:c>
      <x:c r="K613" t="str">
        <x:v>en-91440136da80</x:v>
      </x:c>
      <x:c r="L613" t="str">
        <x:v>numbered_total</x:v>
      </x:c>
    </x:row>
    <x:row r="614">
      <x:c r="A614" t="str">
        <x:v>NUM-e9db26249213</x:v>
      </x:c>
      <x:c r="B614" t="str">
        <x:v>2026-09-26-numbered-totals</x:v>
      </x:c>
      <x:c r="C614" t="str">
        <x:v>en</x:v>
      </x:c>
      <x:c r="D614" t="str">
        <x:v>McDonald's Collection 2018</x:v>
      </x:c>
      <x:c r="E614" t="str">
        <x:v>Numbered total</x:v>
      </x:c>
      <x:c r="F614" t="n">
        <x:v>12</x:v>
      </x:c>
      <x:c r="G614" t="str">
        <x:v>reconciled_components</x:v>
      </x:c>
      <x:c r="H614" t="str"/>
      <x:c r="I614" t="str">
        <x:v>en; unique numbered-card/checklist identities for this row scope</x:v>
      </x:c>
      <x:c r="J614" t="str">
        <x:v>Numbered total equals the reconciled printed denominator + beyond-denominator identities + separately listed subset identities.</x:v>
      </x:c>
      <x:c r="K614" t="str">
        <x:v>en-b873bbf63462</x:v>
      </x:c>
      <x:c r="L614" t="str">
        <x:v>numbered_total</x:v>
      </x:c>
    </x:row>
    <x:row r="615">
      <x:c r="A615" t="str">
        <x:v>NUM-7ad808b219bd</x:v>
      </x:c>
      <x:c r="B615" t="str">
        <x:v>2026-09-26-numbered-totals</x:v>
      </x:c>
      <x:c r="C615" t="str">
        <x:v>en</x:v>
      </x:c>
      <x:c r="D615" t="str">
        <x:v>Lost Thunder</x:v>
      </x:c>
      <x:c r="E615" t="str">
        <x:v>Numbered total</x:v>
      </x:c>
      <x:c r="F615" t="n">
        <x:v>236</x:v>
      </x:c>
      <x:c r="G615" t="str">
        <x:v>reconciled_components</x:v>
      </x:c>
      <x:c r="H615" t="str"/>
      <x:c r="I615" t="str">
        <x:v>en; unique numbered-card/checklist identities for this row scope</x:v>
      </x:c>
      <x:c r="J615" t="str">
        <x:v>Numbered total equals the reconciled printed denominator + beyond-denominator identities + separately listed subset identities.</x:v>
      </x:c>
      <x:c r="K615" t="str">
        <x:v>en-cf9f952e6af6</x:v>
      </x:c>
      <x:c r="L615" t="str">
        <x:v>numbered_total</x:v>
      </x:c>
    </x:row>
    <x:row r="616">
      <x:c r="A616" t="str">
        <x:v>NUM-788abd536160</x:v>
      </x:c>
      <x:c r="B616" t="str">
        <x:v>2026-09-26-numbered-totals</x:v>
      </x:c>
      <x:c r="C616" t="str">
        <x:v>en</x:v>
      </x:c>
      <x:c r="D616" t="str">
        <x:v>Team Up</x:v>
      </x:c>
      <x:c r="E616" t="str">
        <x:v>Numbered total</x:v>
      </x:c>
      <x:c r="F616" t="n">
        <x:v>196</x:v>
      </x:c>
      <x:c r="G616" t="str">
        <x:v>reconciled_components</x:v>
      </x:c>
      <x:c r="H616" t="str"/>
      <x:c r="I616" t="str">
        <x:v>en; unique numbered-card/checklist identities for this row scope</x:v>
      </x:c>
      <x:c r="J616" t="str">
        <x:v>Numbered total equals the reconciled printed denominator + beyond-denominator identities + separately listed subset identities.</x:v>
      </x:c>
      <x:c r="K616" t="str">
        <x:v>en-b58c098ade79</x:v>
      </x:c>
      <x:c r="L616" t="str">
        <x:v>numbered_total</x:v>
      </x:c>
    </x:row>
    <x:row r="617">
      <x:c r="A617" t="str">
        <x:v>NUM-31a2818a87dc</x:v>
      </x:c>
      <x:c r="B617" t="str">
        <x:v>2026-09-26-numbered-totals</x:v>
      </x:c>
      <x:c r="C617" t="str">
        <x:v>en</x:v>
      </x:c>
      <x:c r="D617" t="str">
        <x:v>Detective Pikachu</x:v>
      </x:c>
      <x:c r="E617" t="str">
        <x:v>Numbered total</x:v>
      </x:c>
      <x:c r="F617" t="n">
        <x:v>18</x:v>
      </x:c>
      <x:c r="G617" t="str">
        <x:v>reconciled_components</x:v>
      </x:c>
      <x:c r="H617" t="str"/>
      <x:c r="I617" t="str">
        <x:v>en; unique numbered-card/checklist identities for this row scope</x:v>
      </x:c>
      <x:c r="J617" t="str">
        <x:v>Numbered total equals the reconciled printed denominator + beyond-denominator identities + separately listed subset identities.</x:v>
      </x:c>
      <x:c r="K617" t="str">
        <x:v>en-332317456664</x:v>
      </x:c>
      <x:c r="L617" t="str">
        <x:v>numbered_total</x:v>
      </x:c>
    </x:row>
    <x:row r="618">
      <x:c r="A618" t="str">
        <x:v>NUM-72d4a2fd83e1</x:v>
      </x:c>
      <x:c r="B618" t="str">
        <x:v>2026-09-26-numbered-totals</x:v>
      </x:c>
      <x:c r="C618" t="str">
        <x:v>en</x:v>
      </x:c>
      <x:c r="D618" t="str">
        <x:v>Unbroken Bonds</x:v>
      </x:c>
      <x:c r="E618" t="str">
        <x:v>Numbered total</x:v>
      </x:c>
      <x:c r="F618" t="n">
        <x:v>234</x:v>
      </x:c>
      <x:c r="G618" t="str">
        <x:v>reconciled_components</x:v>
      </x:c>
      <x:c r="H618" t="str"/>
      <x:c r="I618" t="str">
        <x:v>en; unique numbered-card/checklist identities for this row scope</x:v>
      </x:c>
      <x:c r="J618" t="str">
        <x:v>Numbered total equals the reconciled printed denominator + beyond-denominator identities + separately listed subset identities.</x:v>
      </x:c>
      <x:c r="K618" t="str">
        <x:v>en-2a74b03a3cd0</x:v>
      </x:c>
      <x:c r="L618" t="str">
        <x:v>numbered_total</x:v>
      </x:c>
    </x:row>
    <x:row r="619">
      <x:c r="A619" t="str">
        <x:v>NUM-6c36974f74ca</x:v>
      </x:c>
      <x:c r="B619" t="str">
        <x:v>2026-09-26-numbered-totals</x:v>
      </x:c>
      <x:c r="C619" t="str">
        <x:v>en</x:v>
      </x:c>
      <x:c r="D619" t="str">
        <x:v>Unified Minds</x:v>
      </x:c>
      <x:c r="E619" t="str">
        <x:v>Numbered total</x:v>
      </x:c>
      <x:c r="F619" t="n">
        <x:v>258</x:v>
      </x:c>
      <x:c r="G619" t="str">
        <x:v>reconciled_components</x:v>
      </x:c>
      <x:c r="H619" t="str"/>
      <x:c r="I619" t="str">
        <x:v>en; unique numbered-card/checklist identities for this row scope</x:v>
      </x:c>
      <x:c r="J619" t="str">
        <x:v>Numbered total equals the reconciled printed denominator + beyond-denominator identities + separately listed subset identities.</x:v>
      </x:c>
      <x:c r="K619" t="str">
        <x:v>en-7801e741f632</x:v>
      </x:c>
      <x:c r="L619" t="str">
        <x:v>numbered_total</x:v>
      </x:c>
    </x:row>
    <x:row r="620">
      <x:c r="A620" t="str">
        <x:v>NUM-f3189eac8f94</x:v>
      </x:c>
      <x:c r="B620" t="str">
        <x:v>2026-09-26-numbered-totals</x:v>
      </x:c>
      <x:c r="C620" t="str">
        <x:v>en</x:v>
      </x:c>
      <x:c r="D620" t="str">
        <x:v>Hidden Fates</x:v>
      </x:c>
      <x:c r="E620" t="str">
        <x:v>Numbered total</x:v>
      </x:c>
      <x:c r="F620" t="n">
        <x:v>163</x:v>
      </x:c>
      <x:c r="G620" t="str">
        <x:v>reconciled_components</x:v>
      </x:c>
      <x:c r="H620" t="str"/>
      <x:c r="I620" t="str">
        <x:v>en; unique numbered-card/checklist identities for this row scope</x:v>
      </x:c>
      <x:c r="J620" t="str">
        <x:v>Numbered total equals the reconciled printed denominator + beyond-denominator identities + separately listed subset identities.</x:v>
      </x:c>
      <x:c r="K620" t="str">
        <x:v>en-d2619d0c94c3</x:v>
      </x:c>
      <x:c r="L620" t="str">
        <x:v>numbered_total</x:v>
      </x:c>
    </x:row>
    <x:row r="621">
      <x:c r="A621" t="str">
        <x:v>NUM-4d01d151005c</x:v>
      </x:c>
      <x:c r="B621" t="str">
        <x:v>2026-09-26-numbered-totals</x:v>
      </x:c>
      <x:c r="C621" t="str">
        <x:v>en</x:v>
      </x:c>
      <x:c r="D621" t="str">
        <x:v>McDonald's Collection 2019</x:v>
      </x:c>
      <x:c r="E621" t="str">
        <x:v>Numbered total</x:v>
      </x:c>
      <x:c r="F621" t="n">
        <x:v>12</x:v>
      </x:c>
      <x:c r="G621" t="str">
        <x:v>reconciled_components</x:v>
      </x:c>
      <x:c r="H621" t="str"/>
      <x:c r="I621" t="str">
        <x:v>en; unique numbered-card/checklist identities for this row scope</x:v>
      </x:c>
      <x:c r="J621" t="str">
        <x:v>Numbered total equals the reconciled printed denominator + beyond-denominator identities + separately listed subset identities.</x:v>
      </x:c>
      <x:c r="K621" t="str">
        <x:v>en-d02ad07cbaac</x:v>
      </x:c>
      <x:c r="L621" t="str">
        <x:v>numbered_total</x:v>
      </x:c>
    </x:row>
    <x:row r="622">
      <x:c r="A622" t="str">
        <x:v>NUM-1c7310c7084d</x:v>
      </x:c>
      <x:c r="B622" t="str">
        <x:v>2026-09-26-numbered-totals</x:v>
      </x:c>
      <x:c r="C622" t="str">
        <x:v>en</x:v>
      </x:c>
      <x:c r="D622" t="str">
        <x:v>SWSH Black Star Promos</x:v>
      </x:c>
      <x:c r="E622" t="str">
        <x:v>Numbered total</x:v>
      </x:c>
      <x:c r="F622" t="n">
        <x:v>307</x:v>
      </x:c>
      <x:c r="G622" t="str">
        <x:v>reconciled_components</x:v>
      </x:c>
      <x:c r="H622" t="str"/>
      <x:c r="I622" t="str">
        <x:v>en; unique numbered-card/checklist identities for this row scope</x:v>
      </x:c>
      <x:c r="J622" t="str">
        <x:v>Numbered total equals the reconciled printed denominator + beyond-denominator identities + separately listed subset identities.</x:v>
      </x:c>
      <x:c r="K622" t="str">
        <x:v>en-7ad5746df78d</x:v>
      </x:c>
      <x:c r="L622" t="str">
        <x:v>numbered_total</x:v>
      </x:c>
    </x:row>
    <x:row r="623">
      <x:c r="A623" t="str">
        <x:v>NUM-139f5482043f</x:v>
      </x:c>
      <x:c r="B623" t="str">
        <x:v>2026-09-26-numbered-totals</x:v>
      </x:c>
      <x:c r="C623" t="str">
        <x:v>en</x:v>
      </x:c>
      <x:c r="D623" t="str">
        <x:v>Cosmic Eclipse</x:v>
      </x:c>
      <x:c r="E623" t="str">
        <x:v>Numbered total</x:v>
      </x:c>
      <x:c r="F623" t="n">
        <x:v>271</x:v>
      </x:c>
      <x:c r="G623" t="str">
        <x:v>reconciled_components</x:v>
      </x:c>
      <x:c r="H623" t="str"/>
      <x:c r="I623" t="str">
        <x:v>en; unique numbered-card/checklist identities for this row scope</x:v>
      </x:c>
      <x:c r="J623" t="str">
        <x:v>Numbered total equals the reconciled printed denominator + beyond-denominator identities + separately listed subset identities.</x:v>
      </x:c>
      <x:c r="K623" t="str">
        <x:v>en-e8cc4c8f7365</x:v>
      </x:c>
      <x:c r="L623" t="str">
        <x:v>numbered_total</x:v>
      </x:c>
    </x:row>
    <x:row r="624">
      <x:c r="A624" t="str">
        <x:v>NUM-c919b45ffbe1</x:v>
      </x:c>
      <x:c r="B624" t="str">
        <x:v>2026-09-26-numbered-totals</x:v>
      </x:c>
      <x:c r="C624" t="str">
        <x:v>en</x:v>
      </x:c>
      <x:c r="D624" t="str">
        <x:v>Sword &amp; Shield</x:v>
      </x:c>
      <x:c r="E624" t="str">
        <x:v>Numbered total</x:v>
      </x:c>
      <x:c r="F624" t="n">
        <x:v>216</x:v>
      </x:c>
      <x:c r="G624" t="str">
        <x:v>reconciled_components</x:v>
      </x:c>
      <x:c r="H624" t="str"/>
      <x:c r="I624" t="str">
        <x:v>en; unique numbered-card/checklist identities for this row scope</x:v>
      </x:c>
      <x:c r="J624" t="str">
        <x:v>Numbered total equals the reconciled printed denominator + beyond-denominator identities + separately listed subset identities.</x:v>
      </x:c>
      <x:c r="K624" t="str">
        <x:v>en-0003d347854c</x:v>
      </x:c>
      <x:c r="L624" t="str">
        <x:v>numbered_total</x:v>
      </x:c>
    </x:row>
    <x:row r="625">
      <x:c r="A625" t="str">
        <x:v>NUM-ff0bdeda6a7d</x:v>
      </x:c>
      <x:c r="B625" t="str">
        <x:v>2026-09-26-numbered-totals</x:v>
      </x:c>
      <x:c r="C625" t="str">
        <x:v>en</x:v>
      </x:c>
      <x:c r="D625" t="str">
        <x:v>Rebel Clash</x:v>
      </x:c>
      <x:c r="E625" t="str">
        <x:v>Numbered total</x:v>
      </x:c>
      <x:c r="F625" t="n">
        <x:v>209</x:v>
      </x:c>
      <x:c r="G625" t="str">
        <x:v>reconciled_components</x:v>
      </x:c>
      <x:c r="H625" t="str"/>
      <x:c r="I625" t="str">
        <x:v>en; unique numbered-card/checklist identities for this row scope</x:v>
      </x:c>
      <x:c r="J625" t="str">
        <x:v>Numbered total equals the reconciled printed denominator + beyond-denominator identities + separately listed subset identities.</x:v>
      </x:c>
      <x:c r="K625" t="str">
        <x:v>en-a6fa518f94e3</x:v>
      </x:c>
      <x:c r="L625" t="str">
        <x:v>numbered_total</x:v>
      </x:c>
    </x:row>
    <x:row r="626">
      <x:c r="A626" t="str">
        <x:v>NUM-3c6449b532ff</x:v>
      </x:c>
      <x:c r="B626" t="str">
        <x:v>2026-09-26-numbered-totals</x:v>
      </x:c>
      <x:c r="C626" t="str">
        <x:v>en</x:v>
      </x:c>
      <x:c r="D626" t="str">
        <x:v>Darkness Ablaze</x:v>
      </x:c>
      <x:c r="E626" t="str">
        <x:v>Numbered total</x:v>
      </x:c>
      <x:c r="F626" t="n">
        <x:v>201</x:v>
      </x:c>
      <x:c r="G626" t="str">
        <x:v>reconciled_components</x:v>
      </x:c>
      <x:c r="H626" t="str"/>
      <x:c r="I626" t="str">
        <x:v>en; unique numbered-card/checklist identities for this row scope</x:v>
      </x:c>
      <x:c r="J626" t="str">
        <x:v>Numbered total equals the reconciled printed denominator + beyond-denominator identities + separately listed subset identities.</x:v>
      </x:c>
      <x:c r="K626" t="str">
        <x:v>en-175e9a92fed7</x:v>
      </x:c>
      <x:c r="L626" t="str">
        <x:v>numbered_total</x:v>
      </x:c>
    </x:row>
    <x:row r="627">
      <x:c r="A627" t="str">
        <x:v>NUM-494f9ba51418</x:v>
      </x:c>
      <x:c r="B627" t="str">
        <x:v>2026-09-26-numbered-totals</x:v>
      </x:c>
      <x:c r="C627" t="str">
        <x:v>en</x:v>
      </x:c>
      <x:c r="D627" t="str">
        <x:v>Pokémon Futsal</x:v>
      </x:c>
      <x:c r="E627" t="str">
        <x:v>Numbered total</x:v>
      </x:c>
      <x:c r="F627" t="n">
        <x:v>5</x:v>
      </x:c>
      <x:c r="G627" t="str">
        <x:v>reconciled_components</x:v>
      </x:c>
      <x:c r="H627" t="str"/>
      <x:c r="I627" t="str">
        <x:v>en; unique numbered-card/checklist identities for this row scope</x:v>
      </x:c>
      <x:c r="J627" t="str">
        <x:v>Numbered total equals the reconciled printed denominator + beyond-denominator identities + separately listed subset identities.</x:v>
      </x:c>
      <x:c r="K627" t="str">
        <x:v>en-ebcb2fa528a3</x:v>
      </x:c>
      <x:c r="L627" t="str">
        <x:v>numbered_total</x:v>
      </x:c>
    </x:row>
    <x:row r="628">
      <x:c r="A628" t="str">
        <x:v>NUM-4812c6c9fa44</x:v>
      </x:c>
      <x:c r="B628" t="str">
        <x:v>2026-09-26-numbered-totals</x:v>
      </x:c>
      <x:c r="C628" t="str">
        <x:v>en</x:v>
      </x:c>
      <x:c r="D628" t="str">
        <x:v>Champion's Path</x:v>
      </x:c>
      <x:c r="E628" t="str">
        <x:v>Numbered total</x:v>
      </x:c>
      <x:c r="F628" t="n">
        <x:v>80</x:v>
      </x:c>
      <x:c r="G628" t="str">
        <x:v>reconciled_components</x:v>
      </x:c>
      <x:c r="H628" t="str"/>
      <x:c r="I628" t="str">
        <x:v>en; unique numbered-card/checklist identities for this row scope</x:v>
      </x:c>
      <x:c r="J628" t="str">
        <x:v>Numbered total equals the reconciled printed denominator + beyond-denominator identities + separately listed subset identities.</x:v>
      </x:c>
      <x:c r="K628" t="str">
        <x:v>en-11376d4d5559</x:v>
      </x:c>
      <x:c r="L628" t="str">
        <x:v>numbered_total</x:v>
      </x:c>
    </x:row>
    <x:row r="629">
      <x:c r="A629" t="str">
        <x:v>NUM-d2fdd7391369</x:v>
      </x:c>
      <x:c r="B629" t="str">
        <x:v>2026-09-26-numbered-totals</x:v>
      </x:c>
      <x:c r="C629" t="str">
        <x:v>en</x:v>
      </x:c>
      <x:c r="D629" t="str">
        <x:v>Vivid Voltage</x:v>
      </x:c>
      <x:c r="E629" t="str">
        <x:v>Numbered total</x:v>
      </x:c>
      <x:c r="F629" t="n">
        <x:v>203</x:v>
      </x:c>
      <x:c r="G629" t="str">
        <x:v>reconciled_components</x:v>
      </x:c>
      <x:c r="H629" t="str"/>
      <x:c r="I629" t="str">
        <x:v>en; unique numbered-card/checklist identities for this row scope</x:v>
      </x:c>
      <x:c r="J629" t="str">
        <x:v>Numbered total equals the reconciled printed denominator + beyond-denominator identities + separately listed subset identities.</x:v>
      </x:c>
      <x:c r="K629" t="str">
        <x:v>en-e1af3cad7dfb</x:v>
      </x:c>
      <x:c r="L629" t="str">
        <x:v>numbered_total</x:v>
      </x:c>
    </x:row>
    <x:row r="630">
      <x:c r="A630" t="str">
        <x:v>NUM-fe9031b4f05c</x:v>
      </x:c>
      <x:c r="B630" t="str">
        <x:v>2026-09-26-numbered-totals</x:v>
      </x:c>
      <x:c r="C630" t="str">
        <x:v>en</x:v>
      </x:c>
      <x:c r="D630" t="str">
        <x:v>McDonald's Collection 2021</x:v>
      </x:c>
      <x:c r="E630" t="str">
        <x:v>Numbered total</x:v>
      </x:c>
      <x:c r="F630" t="n">
        <x:v>25</x:v>
      </x:c>
      <x:c r="G630" t="str">
        <x:v>reconciled_components</x:v>
      </x:c>
      <x:c r="H630" t="str"/>
      <x:c r="I630" t="str">
        <x:v>en; unique numbered-card/checklist identities for this row scope</x:v>
      </x:c>
      <x:c r="J630" t="str">
        <x:v>Numbered total equals the reconciled printed denominator + beyond-denominator identities + separately listed subset identities.</x:v>
      </x:c>
      <x:c r="K630" t="str">
        <x:v>en-e731bf8556f5</x:v>
      </x:c>
      <x:c r="L630" t="str">
        <x:v>numbered_total</x:v>
      </x:c>
    </x:row>
    <x:row r="631">
      <x:c r="A631" t="str">
        <x:v>NUM-7582c4956fbc</x:v>
      </x:c>
      <x:c r="B631" t="str">
        <x:v>2026-09-26-numbered-totals</x:v>
      </x:c>
      <x:c r="C631" t="str">
        <x:v>en</x:v>
      </x:c>
      <x:c r="D631" t="str">
        <x:v>Shining Fates</x:v>
      </x:c>
      <x:c r="E631" t="str">
        <x:v>Numbered total</x:v>
      </x:c>
      <x:c r="F631" t="n">
        <x:v>195</x:v>
      </x:c>
      <x:c r="G631" t="str">
        <x:v>reconciled_components</x:v>
      </x:c>
      <x:c r="H631" t="str"/>
      <x:c r="I631" t="str">
        <x:v>en; unique numbered-card/checklist identities for this row scope</x:v>
      </x:c>
      <x:c r="J631" t="str">
        <x:v>Numbered total equals the reconciled printed denominator + beyond-denominator identities + separately listed subset identities.</x:v>
      </x:c>
      <x:c r="K631" t="str">
        <x:v>en-53c41bd0758e</x:v>
      </x:c>
      <x:c r="L631" t="str">
        <x:v>numbered_total</x:v>
      </x:c>
    </x:row>
    <x:row r="632">
      <x:c r="A632" t="str">
        <x:v>NUM-2498e2068132</x:v>
      </x:c>
      <x:c r="B632" t="str">
        <x:v>2026-09-26-numbered-totals</x:v>
      </x:c>
      <x:c r="C632" t="str">
        <x:v>en</x:v>
      </x:c>
      <x:c r="D632" t="str">
        <x:v>Battle Styles</x:v>
      </x:c>
      <x:c r="E632" t="str">
        <x:v>Numbered total</x:v>
      </x:c>
      <x:c r="F632" t="n">
        <x:v>183</x:v>
      </x:c>
      <x:c r="G632" t="str">
        <x:v>reconciled_components</x:v>
      </x:c>
      <x:c r="H632" t="str"/>
      <x:c r="I632" t="str">
        <x:v>en; unique numbered-card/checklist identities for this row scope</x:v>
      </x:c>
      <x:c r="J632" t="str">
        <x:v>Numbered total equals the reconciled printed denominator + beyond-denominator identities + separately listed subset identities.</x:v>
      </x:c>
      <x:c r="K632" t="str">
        <x:v>en-5b657a70e898</x:v>
      </x:c>
      <x:c r="L632" t="str">
        <x:v>numbered_total</x:v>
      </x:c>
    </x:row>
    <x:row r="633">
      <x:c r="A633" t="str">
        <x:v>NUM-7b02e9e78a1d</x:v>
      </x:c>
      <x:c r="B633" t="str">
        <x:v>2026-09-26-numbered-totals</x:v>
      </x:c>
      <x:c r="C633" t="str">
        <x:v>en</x:v>
      </x:c>
      <x:c r="D633" t="str">
        <x:v>Chilling Reign</x:v>
      </x:c>
      <x:c r="E633" t="str">
        <x:v>Numbered total</x:v>
      </x:c>
      <x:c r="F633" t="n">
        <x:v>233</x:v>
      </x:c>
      <x:c r="G633" t="str">
        <x:v>reconciled_components</x:v>
      </x:c>
      <x:c r="H633" t="str"/>
      <x:c r="I633" t="str">
        <x:v>en; unique numbered-card/checklist identities for this row scope</x:v>
      </x:c>
      <x:c r="J633" t="str">
        <x:v>Numbered total equals the reconciled printed denominator + beyond-denominator identities + separately listed subset identities.</x:v>
      </x:c>
      <x:c r="K633" t="str">
        <x:v>en-23b00a171eda</x:v>
      </x:c>
      <x:c r="L633" t="str">
        <x:v>numbered_total</x:v>
      </x:c>
    </x:row>
    <x:row r="634">
      <x:c r="A634" t="str">
        <x:v>NUM-8dbfcf31dcbf</x:v>
      </x:c>
      <x:c r="B634" t="str">
        <x:v>2026-09-26-numbered-totals</x:v>
      </x:c>
      <x:c r="C634" t="str">
        <x:v>en</x:v>
      </x:c>
      <x:c r="D634" t="str">
        <x:v>Evolving Skies</x:v>
      </x:c>
      <x:c r="E634" t="str">
        <x:v>Numbered total</x:v>
      </x:c>
      <x:c r="F634" t="n">
        <x:v>237</x:v>
      </x:c>
      <x:c r="G634" t="str">
        <x:v>reconciled_components</x:v>
      </x:c>
      <x:c r="H634" t="str"/>
      <x:c r="I634" t="str">
        <x:v>en; unique numbered-card/checklist identities for this row scope</x:v>
      </x:c>
      <x:c r="J634" t="str">
        <x:v>Numbered total equals the reconciled printed denominator + beyond-denominator identities + separately listed subset identities.</x:v>
      </x:c>
      <x:c r="K634" t="str">
        <x:v>en-9b73c82bcf48</x:v>
      </x:c>
      <x:c r="L634" t="str">
        <x:v>numbered_total</x:v>
      </x:c>
    </x:row>
    <x:row r="635">
      <x:c r="A635" t="str">
        <x:v>NUM-22e6e35ae7d7</x:v>
      </x:c>
      <x:c r="B635" t="str">
        <x:v>2026-09-26-numbered-totals</x:v>
      </x:c>
      <x:c r="C635" t="str">
        <x:v>en</x:v>
      </x:c>
      <x:c r="D635" t="str">
        <x:v>Celebrations</x:v>
      </x:c>
      <x:c r="E635" t="str">
        <x:v>Numbered total</x:v>
      </x:c>
      <x:c r="F635" t="n">
        <x:v>50</x:v>
      </x:c>
      <x:c r="G635" t="str">
        <x:v>reconciled_components</x:v>
      </x:c>
      <x:c r="H635" t="str"/>
      <x:c r="I635" t="str">
        <x:v>en; unique numbered-card/checklist identities for this row scope</x:v>
      </x:c>
      <x:c r="J635" t="str">
        <x:v>Numbered total equals the reconciled printed denominator + beyond-denominator identities + separately listed subset identities.</x:v>
      </x:c>
      <x:c r="K635" t="str">
        <x:v>en-e56bf6e72454</x:v>
      </x:c>
      <x:c r="L635" t="str">
        <x:v>numbered_total</x:v>
      </x:c>
    </x:row>
    <x:row r="636">
      <x:c r="A636" t="str">
        <x:v>NUM-ffb09855b992</x:v>
      </x:c>
      <x:c r="B636" t="str">
        <x:v>2026-09-26-numbered-totals</x:v>
      </x:c>
      <x:c r="C636" t="str">
        <x:v>en</x:v>
      </x:c>
      <x:c r="D636" t="str">
        <x:v>Fusion Strike</x:v>
      </x:c>
      <x:c r="E636" t="str">
        <x:v>Numbered total</x:v>
      </x:c>
      <x:c r="F636" t="n">
        <x:v>284</x:v>
      </x:c>
      <x:c r="G636" t="str">
        <x:v>reconciled_components</x:v>
      </x:c>
      <x:c r="H636" t="str"/>
      <x:c r="I636" t="str">
        <x:v>en; unique numbered-card/checklist identities for this row scope</x:v>
      </x:c>
      <x:c r="J636" t="str">
        <x:v>Numbered total equals the reconciled printed denominator + beyond-denominator identities + separately listed subset identities.</x:v>
      </x:c>
      <x:c r="K636" t="str">
        <x:v>en-34452d845f59</x:v>
      </x:c>
      <x:c r="L636" t="str">
        <x:v>numbered_total</x:v>
      </x:c>
    </x:row>
    <x:row r="637">
      <x:c r="A637" t="str">
        <x:v>NUM-f4161062bb54</x:v>
      </x:c>
      <x:c r="B637" t="str">
        <x:v>2026-09-26-numbered-totals</x:v>
      </x:c>
      <x:c r="C637" t="str">
        <x:v>en</x:v>
      </x:c>
      <x:c r="D637" t="str">
        <x:v>Brilliant Stars</x:v>
      </x:c>
      <x:c r="E637" t="str">
        <x:v>Numbered total</x:v>
      </x:c>
      <x:c r="F637" t="n">
        <x:v>216</x:v>
      </x:c>
      <x:c r="G637" t="str">
        <x:v>reconciled_components</x:v>
      </x:c>
      <x:c r="H637" t="str"/>
      <x:c r="I637" t="str">
        <x:v>en; unique numbered-card/checklist identities for this row scope</x:v>
      </x:c>
      <x:c r="J637" t="str">
        <x:v>Numbered total equals the reconciled printed denominator + beyond-denominator identities + separately listed subset identities.</x:v>
      </x:c>
      <x:c r="K637" t="str">
        <x:v>en-6a335273a172</x:v>
      </x:c>
      <x:c r="L637" t="str">
        <x:v>numbered_total</x:v>
      </x:c>
    </x:row>
    <x:row r="638">
      <x:c r="A638" t="str">
        <x:v>NUM-4759dbf01fb6</x:v>
      </x:c>
      <x:c r="B638" t="str">
        <x:v>2026-09-26-numbered-totals</x:v>
      </x:c>
      <x:c r="C638" t="str">
        <x:v>en</x:v>
      </x:c>
      <x:c r="D638" t="str">
        <x:v>Astral Radiance</x:v>
      </x:c>
      <x:c r="E638" t="str">
        <x:v>Numbered total</x:v>
      </x:c>
      <x:c r="F638" t="n">
        <x:v>246</x:v>
      </x:c>
      <x:c r="G638" t="str">
        <x:v>reconciled_components</x:v>
      </x:c>
      <x:c r="H638" t="str"/>
      <x:c r="I638" t="str">
        <x:v>en; unique numbered-card/checklist identities for this row scope</x:v>
      </x:c>
      <x:c r="J638" t="str">
        <x:v>Numbered total equals the reconciled printed denominator + beyond-denominator identities + separately listed subset identities.</x:v>
      </x:c>
      <x:c r="K638" t="str">
        <x:v>en-e5998f2862b1</x:v>
      </x:c>
      <x:c r="L638" t="str">
        <x:v>numbered_total</x:v>
      </x:c>
    </x:row>
    <x:row r="639">
      <x:c r="A639" t="str">
        <x:v>NUM-83079e9ecc0e</x:v>
      </x:c>
      <x:c r="B639" t="str">
        <x:v>2026-09-26-numbered-totals</x:v>
      </x:c>
      <x:c r="C639" t="str">
        <x:v>en</x:v>
      </x:c>
      <x:c r="D639" t="str">
        <x:v>Pokémon GO</x:v>
      </x:c>
      <x:c r="E639" t="str">
        <x:v>Numbered total</x:v>
      </x:c>
      <x:c r="F639" t="n">
        <x:v>88</x:v>
      </x:c>
      <x:c r="G639" t="str">
        <x:v>reconciled_components</x:v>
      </x:c>
      <x:c r="H639" t="str"/>
      <x:c r="I639" t="str">
        <x:v>en; unique numbered-card/checklist identities for this row scope</x:v>
      </x:c>
      <x:c r="J639" t="str">
        <x:v>Numbered total equals the reconciled printed denominator + beyond-denominator identities + separately listed subset identities.</x:v>
      </x:c>
      <x:c r="K639" t="str">
        <x:v>en-7d9965a1af2f</x:v>
      </x:c>
      <x:c r="L639" t="str">
        <x:v>numbered_total</x:v>
      </x:c>
    </x:row>
    <x:row r="640">
      <x:c r="A640" t="str">
        <x:v>NUM-dae880a1212c</x:v>
      </x:c>
      <x:c r="B640" t="str">
        <x:v>2026-09-26-numbered-totals</x:v>
      </x:c>
      <x:c r="C640" t="str">
        <x:v>en</x:v>
      </x:c>
      <x:c r="D640" t="str">
        <x:v>McDonald's Collection 2022</x:v>
      </x:c>
      <x:c r="E640" t="str">
        <x:v>Numbered total</x:v>
      </x:c>
      <x:c r="F640" t="n">
        <x:v>15</x:v>
      </x:c>
      <x:c r="G640" t="str">
        <x:v>reconciled_components</x:v>
      </x:c>
      <x:c r="H640" t="str"/>
      <x:c r="I640" t="str">
        <x:v>en; unique numbered-card/checklist identities for this row scope</x:v>
      </x:c>
      <x:c r="J640" t="str">
        <x:v>Numbered total equals the reconciled printed denominator + beyond-denominator identities + separately listed subset identities.</x:v>
      </x:c>
      <x:c r="K640" t="str">
        <x:v>en-e10bc359ed58</x:v>
      </x:c>
      <x:c r="L640" t="str">
        <x:v>numbered_total</x:v>
      </x:c>
    </x:row>
    <x:row r="641">
      <x:c r="A641" t="str">
        <x:v>NUM-4e8362816723</x:v>
      </x:c>
      <x:c r="B641" t="str">
        <x:v>2026-09-26-numbered-totals</x:v>
      </x:c>
      <x:c r="C641" t="str">
        <x:v>en</x:v>
      </x:c>
      <x:c r="D641" t="str">
        <x:v>Trick or Trade 2022</x:v>
      </x:c>
      <x:c r="E641" t="str">
        <x:v>Numbered total</x:v>
      </x:c>
      <x:c r="F641" t="n">
        <x:v>30</x:v>
      </x:c>
      <x:c r="G641" t="str">
        <x:v>reconciled_components</x:v>
      </x:c>
      <x:c r="H641" t="str"/>
      <x:c r="I641" t="str">
        <x:v>en; unique numbered-card/checklist identities for this row scope</x:v>
      </x:c>
      <x:c r="J641" t="str">
        <x:v>Numbered total equals the reconciled printed denominator + beyond-denominator identities + separately listed subset identities.</x:v>
      </x:c>
      <x:c r="K641" t="str">
        <x:v>en-3f3767d11463</x:v>
      </x:c>
      <x:c r="L641" t="str">
        <x:v>numbered_total</x:v>
      </x:c>
    </x:row>
    <x:row r="642">
      <x:c r="A642" t="str">
        <x:v>NUM-9b5ff84b41f6</x:v>
      </x:c>
      <x:c r="B642" t="str">
        <x:v>2026-09-26-numbered-totals</x:v>
      </x:c>
      <x:c r="C642" t="str">
        <x:v>en</x:v>
      </x:c>
      <x:c r="D642" t="str">
        <x:v>Lost Origin</x:v>
      </x:c>
      <x:c r="E642" t="str">
        <x:v>Numbered total</x:v>
      </x:c>
      <x:c r="F642" t="n">
        <x:v>247</x:v>
      </x:c>
      <x:c r="G642" t="str">
        <x:v>reconciled_components</x:v>
      </x:c>
      <x:c r="H642" t="str"/>
      <x:c r="I642" t="str">
        <x:v>en; unique numbered-card/checklist identities for this row scope</x:v>
      </x:c>
      <x:c r="J642" t="str">
        <x:v>Numbered total equals the reconciled printed denominator + beyond-denominator identities + separately listed subset identities.</x:v>
      </x:c>
      <x:c r="K642" t="str">
        <x:v>en-b7f9778c3458</x:v>
      </x:c>
      <x:c r="L642" t="str">
        <x:v>numbered_total</x:v>
      </x:c>
    </x:row>
    <x:row r="643">
      <x:c r="A643" t="str">
        <x:v>NUM-84a0fc0997e5</x:v>
      </x:c>
      <x:c r="B643" t="str">
        <x:v>2026-09-26-numbered-totals</x:v>
      </x:c>
      <x:c r="C643" t="str">
        <x:v>en</x:v>
      </x:c>
      <x:c r="D643" t="str">
        <x:v>Play! Pokémon Prize Pack Series One</x:v>
      </x:c>
      <x:c r="E643" t="str">
        <x:v>Numbered total</x:v>
      </x:c>
      <x:c r="F643" t="n">
        <x:v>170</x:v>
      </x:c>
      <x:c r="G643" t="str">
        <x:v>reconciled_components</x:v>
      </x:c>
      <x:c r="H643" t="str"/>
      <x:c r="I643" t="str">
        <x:v>en; unique numbered-card/checklist identities for this row scope</x:v>
      </x:c>
      <x:c r="J643" t="str">
        <x:v>Numbered total equals the reconciled printed denominator + beyond-denominator identities + separately listed subset identities.</x:v>
      </x:c>
      <x:c r="K643" t="str">
        <x:v>en-e10b0a22e149</x:v>
      </x:c>
      <x:c r="L643" t="str">
        <x:v>numbered_total</x:v>
      </x:c>
    </x:row>
    <x:row r="644">
      <x:c r="A644" t="str">
        <x:v>NUM-9a6118be6531</x:v>
      </x:c>
      <x:c r="B644" t="str">
        <x:v>2026-09-26-numbered-totals</x:v>
      </x:c>
      <x:c r="C644" t="str">
        <x:v>en</x:v>
      </x:c>
      <x:c r="D644" t="str">
        <x:v>Silver Tempest</x:v>
      </x:c>
      <x:c r="E644" t="str">
        <x:v>Numbered total</x:v>
      </x:c>
      <x:c r="F644" t="n">
        <x:v>245</x:v>
      </x:c>
      <x:c r="G644" t="str">
        <x:v>reconciled_components</x:v>
      </x:c>
      <x:c r="H644" t="str"/>
      <x:c r="I644" t="str">
        <x:v>en; unique numbered-card/checklist identities for this row scope</x:v>
      </x:c>
      <x:c r="J644" t="str">
        <x:v>Numbered total equals the reconciled printed denominator + beyond-denominator identities + separately listed subset identities.</x:v>
      </x:c>
      <x:c r="K644" t="str">
        <x:v>en-f753129c5e11</x:v>
      </x:c>
      <x:c r="L644" t="str">
        <x:v>numbered_total</x:v>
      </x:c>
    </x:row>
    <x:row r="645">
      <x:c r="A645" t="str">
        <x:v>NUM-caf16a49b3ba</x:v>
      </x:c>
      <x:c r="B645" t="str">
        <x:v>2026-09-26-numbered-totals</x:v>
      </x:c>
      <x:c r="C645" t="str">
        <x:v>en</x:v>
      </x:c>
      <x:c r="D645" t="str">
        <x:v>SVP Black Star Promos</x:v>
      </x:c>
      <x:c r="E645" t="str">
        <x:v>Numbered total</x:v>
      </x:c>
      <x:c r="F645" t="n">
        <x:v>226</x:v>
      </x:c>
      <x:c r="G645" t="str">
        <x:v>reference_bridge_promo_catalogue_snapshot</x:v>
      </x:c>
      <x:c r="H645" t="str">
        <x:v>https://bulbapedia.bulbagarden.net/wiki/SVP_Black_Star_Promos</x:v>
      </x:c>
      <x:c r="I645" t="str">
        <x:v>en; unique numbered-card/checklist identities for this row scope</x:v>
      </x:c>
      <x:c r="J645" t="str">
        <x:v>Numbered total bridged from the sourced reference-count checklist for this exact row scope. Current Scarlet &amp; Violet Black Star Promo catalogue identities in source scope; promo series cutoff is source-date dependent.</x:v>
      </x:c>
      <x:c r="K645" t="str">
        <x:v>en-30019a75acfd</x:v>
      </x:c>
      <x:c r="L645" t="str">
        <x:v>numbered_total</x:v>
      </x:c>
    </x:row>
    <x:row r="646">
      <x:c r="A646" t="str">
        <x:v>NUM-c77a3081eac6</x:v>
      </x:c>
      <x:c r="B646" t="str">
        <x:v>2026-09-26-numbered-totals</x:v>
      </x:c>
      <x:c r="C646" t="str">
        <x:v>en</x:v>
      </x:c>
      <x:c r="D646" t="str">
        <x:v>Play! Pokémon Prize Pack Series Two</x:v>
      </x:c>
      <x:c r="E646" t="str">
        <x:v>Numbered total</x:v>
      </x:c>
      <x:c r="F646" t="n">
        <x:v>154</x:v>
      </x:c>
      <x:c r="G646" t="str">
        <x:v>reconciled_components</x:v>
      </x:c>
      <x:c r="H646" t="str"/>
      <x:c r="I646" t="str">
        <x:v>en; unique numbered-card/checklist identities for this row scope</x:v>
      </x:c>
      <x:c r="J646" t="str">
        <x:v>Numbered total equals the reconciled printed denominator + beyond-denominator identities + separately listed subset identities.</x:v>
      </x:c>
      <x:c r="K646" t="str">
        <x:v>en-c42442301001</x:v>
      </x:c>
      <x:c r="L646" t="str">
        <x:v>numbered_total</x:v>
      </x:c>
    </x:row>
    <x:row r="647">
      <x:c r="A647" t="str">
        <x:v>NUM-58bacb142aa0</x:v>
      </x:c>
      <x:c r="B647" t="str">
        <x:v>2026-09-26-numbered-totals</x:v>
      </x:c>
      <x:c r="C647" t="str">
        <x:v>en</x:v>
      </x:c>
      <x:c r="D647" t="str">
        <x:v>Crown Zenith</x:v>
      </x:c>
      <x:c r="E647" t="str">
        <x:v>Numbered total</x:v>
      </x:c>
      <x:c r="F647" t="n">
        <x:v>230</x:v>
      </x:c>
      <x:c r="G647" t="str">
        <x:v>reconciled_components</x:v>
      </x:c>
      <x:c r="H647" t="str"/>
      <x:c r="I647" t="str">
        <x:v>en; unique numbered-card/checklist identities for this row scope</x:v>
      </x:c>
      <x:c r="J647" t="str">
        <x:v>Numbered total equals the reconciled printed denominator + beyond-denominator identities + separately listed subset identities.</x:v>
      </x:c>
      <x:c r="K647" t="str">
        <x:v>en-1cb188ee356a</x:v>
      </x:c>
      <x:c r="L647" t="str">
        <x:v>numbered_total</x:v>
      </x:c>
    </x:row>
    <x:row r="648">
      <x:c r="A648" t="str">
        <x:v>NUM-f61d1a928eff</x:v>
      </x:c>
      <x:c r="B648" t="str">
        <x:v>2026-09-26-numbered-totals</x:v>
      </x:c>
      <x:c r="C648" t="str">
        <x:v>en</x:v>
      </x:c>
      <x:c r="D648" t="str">
        <x:v>SVE Basic Energies</x:v>
      </x:c>
      <x:c r="E648" t="str">
        <x:v>Numbered total</x:v>
      </x:c>
      <x:c r="F648" t="n">
        <x:v>24</x:v>
      </x:c>
      <x:c r="G648" t="str">
        <x:v>reconciled_components</x:v>
      </x:c>
      <x:c r="H648" t="str"/>
      <x:c r="I648" t="str">
        <x:v>en; unique numbered-card/checklist identities for this row scope</x:v>
      </x:c>
      <x:c r="J648" t="str">
        <x:v>Numbered total equals the reconciled printed denominator + beyond-denominator identities + separately listed subset identities.</x:v>
      </x:c>
      <x:c r="K648" t="str">
        <x:v>en-44b8071286c1</x:v>
      </x:c>
      <x:c r="L648" t="str">
        <x:v>numbered_total</x:v>
      </x:c>
    </x:row>
    <x:row r="649">
      <x:c r="A649" t="str">
        <x:v>NUM-16f88c7b8a53</x:v>
      </x:c>
      <x:c r="B649" t="str">
        <x:v>2026-09-26-numbered-totals</x:v>
      </x:c>
      <x:c r="C649" t="str">
        <x:v>en</x:v>
      </x:c>
      <x:c r="D649" t="str">
        <x:v>Scarlet &amp; Violet</x:v>
      </x:c>
      <x:c r="E649" t="str">
        <x:v>Numbered total</x:v>
      </x:c>
      <x:c r="F649" t="n">
        <x:v>258</x:v>
      </x:c>
      <x:c r="G649" t="str">
        <x:v>reconciled_components</x:v>
      </x:c>
      <x:c r="H649" t="str"/>
      <x:c r="I649" t="str">
        <x:v>en; unique numbered-card/checklist identities for this row scope</x:v>
      </x:c>
      <x:c r="J649" t="str">
        <x:v>Numbered total equals the reconciled printed denominator + beyond-denominator identities + separately listed subset identities.</x:v>
      </x:c>
      <x:c r="K649" t="str">
        <x:v>en-ddfbd6b63b20</x:v>
      </x:c>
      <x:c r="L649" t="str">
        <x:v>numbered_total</x:v>
      </x:c>
    </x:row>
    <x:row r="650">
      <x:c r="A650" t="str">
        <x:v>NUM-249aebbffe68</x:v>
      </x:c>
      <x:c r="B650" t="str">
        <x:v>2026-09-26-numbered-totals</x:v>
      </x:c>
      <x:c r="C650" t="str">
        <x:v>en</x:v>
      </x:c>
      <x:c r="D650" t="str">
        <x:v>Paldea Evolved</x:v>
      </x:c>
      <x:c r="E650" t="str">
        <x:v>Numbered total</x:v>
      </x:c>
      <x:c r="F650" t="n">
        <x:v>279</x:v>
      </x:c>
      <x:c r="G650" t="str">
        <x:v>reconciled_components</x:v>
      </x:c>
      <x:c r="H650" t="str"/>
      <x:c r="I650" t="str">
        <x:v>en; unique numbered-card/checklist identities for this row scope</x:v>
      </x:c>
      <x:c r="J650" t="str">
        <x:v>Numbered total equals the reconciled printed denominator + beyond-denominator identities + separately listed subset identities.</x:v>
      </x:c>
      <x:c r="K650" t="str">
        <x:v>en-9dda3ec7c416</x:v>
      </x:c>
      <x:c r="L650" t="str">
        <x:v>numbered_total</x:v>
      </x:c>
    </x:row>
    <x:row r="651">
      <x:c r="A651" t="str">
        <x:v>NUM-5f403ae22af8</x:v>
      </x:c>
      <x:c r="B651" t="str">
        <x:v>2026-09-26-numbered-totals</x:v>
      </x:c>
      <x:c r="C651" t="str">
        <x:v>en</x:v>
      </x:c>
      <x:c r="D651" t="str">
        <x:v>McDonald's Collection 2023</x:v>
      </x:c>
      <x:c r="E651" t="str">
        <x:v>Numbered total</x:v>
      </x:c>
      <x:c r="F651" t="n">
        <x:v>15</x:v>
      </x:c>
      <x:c r="G651" t="str">
        <x:v>reconciled_components</x:v>
      </x:c>
      <x:c r="H651" t="str"/>
      <x:c r="I651" t="str">
        <x:v>en; unique numbered-card/checklist identities for this row scope</x:v>
      </x:c>
      <x:c r="J651" t="str">
        <x:v>Numbered total equals the reconciled printed denominator + beyond-denominator identities + separately listed subset identities.</x:v>
      </x:c>
      <x:c r="K651" t="str">
        <x:v>en-0a95a524f39c</x:v>
      </x:c>
      <x:c r="L651" t="str">
        <x:v>numbered_total</x:v>
      </x:c>
    </x:row>
    <x:row r="652">
      <x:c r="A652" t="str">
        <x:v>NUM-7119fa4d054d</x:v>
      </x:c>
      <x:c r="B652" t="str">
        <x:v>2026-09-26-numbered-totals</x:v>
      </x:c>
      <x:c r="C652" t="str">
        <x:v>en</x:v>
      </x:c>
      <x:c r="D652" t="str">
        <x:v>Obsidian Flames</x:v>
      </x:c>
      <x:c r="E652" t="str">
        <x:v>Numbered total</x:v>
      </x:c>
      <x:c r="F652" t="n">
        <x:v>230</x:v>
      </x:c>
      <x:c r="G652" t="str">
        <x:v>reconciled_components</x:v>
      </x:c>
      <x:c r="H652" t="str"/>
      <x:c r="I652" t="str">
        <x:v>en; unique numbered-card/checklist identities for this row scope</x:v>
      </x:c>
      <x:c r="J652" t="str">
        <x:v>Numbered total equals the reconciled printed denominator + beyond-denominator identities + separately listed subset identities.</x:v>
      </x:c>
      <x:c r="K652" t="str">
        <x:v>en-9d4845056c98</x:v>
      </x:c>
      <x:c r="L652" t="str">
        <x:v>numbered_total</x:v>
      </x:c>
    </x:row>
    <x:row r="653">
      <x:c r="A653" t="str">
        <x:v>NUM-a2e6d1a71ce4</x:v>
      </x:c>
      <x:c r="B653" t="str">
        <x:v>2026-09-26-numbered-totals</x:v>
      </x:c>
      <x:c r="C653" t="str">
        <x:v>en</x:v>
      </x:c>
      <x:c r="D653" t="str">
        <x:v>Play! Pokémon Prize Pack Series Three</x:v>
      </x:c>
      <x:c r="E653" t="str">
        <x:v>Numbered total</x:v>
      </x:c>
      <x:c r="F653" t="n">
        <x:v>163</x:v>
      </x:c>
      <x:c r="G653" t="str">
        <x:v>reconciled_components</x:v>
      </x:c>
      <x:c r="H653" t="str"/>
      <x:c r="I653" t="str">
        <x:v>en; unique numbered-card/checklist identities for this row scope</x:v>
      </x:c>
      <x:c r="J653" t="str">
        <x:v>Numbered total equals the reconciled printed denominator + beyond-denominator identities + separately listed subset identities.</x:v>
      </x:c>
      <x:c r="K653" t="str">
        <x:v>en-83f78934a517</x:v>
      </x:c>
      <x:c r="L653" t="str">
        <x:v>numbered_total</x:v>
      </x:c>
    </x:row>
    <x:row r="654">
      <x:c r="A654" t="str">
        <x:v>NUM-b0944de441ef</x:v>
      </x:c>
      <x:c r="B654" t="str">
        <x:v>2026-09-26-numbered-totals</x:v>
      </x:c>
      <x:c r="C654" t="str">
        <x:v>en</x:v>
      </x:c>
      <x:c r="D654" t="str">
        <x:v>Trick or Trade 2023</x:v>
      </x:c>
      <x:c r="E654" t="str">
        <x:v>Numbered total</x:v>
      </x:c>
      <x:c r="F654" t="n">
        <x:v>30</x:v>
      </x:c>
      <x:c r="G654" t="str">
        <x:v>reconciled_components</x:v>
      </x:c>
      <x:c r="H654" t="str"/>
      <x:c r="I654" t="str">
        <x:v>en; unique numbered-card/checklist identities for this row scope</x:v>
      </x:c>
      <x:c r="J654" t="str">
        <x:v>Numbered total equals the reconciled printed denominator + beyond-denominator identities + separately listed subset identities.</x:v>
      </x:c>
      <x:c r="K654" t="str">
        <x:v>en-2ce37163524d</x:v>
      </x:c>
      <x:c r="L654" t="str">
        <x:v>numbered_total</x:v>
      </x:c>
    </x:row>
    <x:row r="655">
      <x:c r="A655" t="str">
        <x:v>NUM-e9f16d81a839</x:v>
      </x:c>
      <x:c r="B655" t="str">
        <x:v>2026-09-26-numbered-totals</x:v>
      </x:c>
      <x:c r="C655" t="str">
        <x:v>en</x:v>
      </x:c>
      <x:c r="D655" t="str">
        <x:v>151</x:v>
      </x:c>
      <x:c r="E655" t="str">
        <x:v>Numbered total</x:v>
      </x:c>
      <x:c r="F655" t="n">
        <x:v>207</x:v>
      </x:c>
      <x:c r="G655" t="str">
        <x:v>reconciled_components</x:v>
      </x:c>
      <x:c r="H655" t="str"/>
      <x:c r="I655" t="str">
        <x:v>en; unique numbered-card/checklist identities for this row scope</x:v>
      </x:c>
      <x:c r="J655" t="str">
        <x:v>Numbered total equals the reconciled printed denominator + beyond-denominator identities + separately listed subset identities.</x:v>
      </x:c>
      <x:c r="K655" t="str">
        <x:v>en-c7c12c0f937d</x:v>
      </x:c>
      <x:c r="L655" t="str">
        <x:v>numbered_total</x:v>
      </x:c>
    </x:row>
    <x:row r="656">
      <x:c r="A656" t="str">
        <x:v>NUM-73ea29a5f141</x:v>
      </x:c>
      <x:c r="B656" t="str">
        <x:v>2026-09-26-numbered-totals</x:v>
      </x:c>
      <x:c r="C656" t="str">
        <x:v>en</x:v>
      </x:c>
      <x:c r="D656" t="str">
        <x:v>Paradox Rift</x:v>
      </x:c>
      <x:c r="E656" t="str">
        <x:v>Numbered total</x:v>
      </x:c>
      <x:c r="F656" t="n">
        <x:v>266</x:v>
      </x:c>
      <x:c r="G656" t="str">
        <x:v>reconciled_components</x:v>
      </x:c>
      <x:c r="H656" t="str"/>
      <x:c r="I656" t="str">
        <x:v>en; unique numbered-card/checklist identities for this row scope</x:v>
      </x:c>
      <x:c r="J656" t="str">
        <x:v>Numbered total equals the reconciled printed denominator + beyond-denominator identities + separately listed subset identities.</x:v>
      </x:c>
      <x:c r="K656" t="str">
        <x:v>en-302cbdce5dc6</x:v>
      </x:c>
      <x:c r="L656" t="str">
        <x:v>numbered_total</x:v>
      </x:c>
    </x:row>
    <x:row r="657">
      <x:c r="A657" t="str">
        <x:v>NUM-1e86c6308cf4</x:v>
      </x:c>
      <x:c r="B657" t="str">
        <x:v>2026-09-26-numbered-totals</x:v>
      </x:c>
      <x:c r="C657" t="str">
        <x:v>en</x:v>
      </x:c>
      <x:c r="D657" t="str">
        <x:v>Pokémon Trading Card Game Classic</x:v>
      </x:c>
      <x:c r="E657" t="str">
        <x:v>Numbered total</x:v>
      </x:c>
      <x:c r="F657" t="n">
        <x:v>102</x:v>
      </x:c>
      <x:c r="G657" t="str">
        <x:v>reconciled_components</x:v>
      </x:c>
      <x:c r="H657" t="str"/>
      <x:c r="I657" t="str">
        <x:v>en; unique numbered-card/checklist identities for this row scope</x:v>
      </x:c>
      <x:c r="J657" t="str">
        <x:v>Numbered total equals the reconciled printed denominator + beyond-denominator identities + separately listed subset identities.</x:v>
      </x:c>
      <x:c r="K657" t="str">
        <x:v>en-479847d5d9d5</x:v>
      </x:c>
      <x:c r="L657" t="str">
        <x:v>numbered_total</x:v>
      </x:c>
    </x:row>
    <x:row r="658">
      <x:c r="A658" t="str">
        <x:v>NUM-706ce9c6a8e6</x:v>
      </x:c>
      <x:c r="B658" t="str">
        <x:v>2026-09-26-numbered-totals</x:v>
      </x:c>
      <x:c r="C658" t="str">
        <x:v>en</x:v>
      </x:c>
      <x:c r="D658" t="str">
        <x:v>Paldean Fates</x:v>
      </x:c>
      <x:c r="E658" t="str">
        <x:v>Numbered total</x:v>
      </x:c>
      <x:c r="F658" t="n">
        <x:v>245</x:v>
      </x:c>
      <x:c r="G658" t="str">
        <x:v>reconciled_components</x:v>
      </x:c>
      <x:c r="H658" t="str"/>
      <x:c r="I658" t="str">
        <x:v>en; unique numbered-card/checklist identities for this row scope</x:v>
      </x:c>
      <x:c r="J658" t="str">
        <x:v>Numbered total equals the reconciled printed denominator + beyond-denominator identities + separately listed subset identities.</x:v>
      </x:c>
      <x:c r="K658" t="str">
        <x:v>en-5922e3c676f6</x:v>
      </x:c>
      <x:c r="L658" t="str">
        <x:v>numbered_total</x:v>
      </x:c>
    </x:row>
    <x:row r="659">
      <x:c r="A659" t="str">
        <x:v>NUM-704611120152</x:v>
      </x:c>
      <x:c r="B659" t="str">
        <x:v>2026-09-26-numbered-totals</x:v>
      </x:c>
      <x:c r="C659" t="str">
        <x:v>en</x:v>
      </x:c>
      <x:c r="D659" t="str">
        <x:v>Play! Pokémon Prize Pack Series Four</x:v>
      </x:c>
      <x:c r="E659" t="str">
        <x:v>Numbered total</x:v>
      </x:c>
      <x:c r="F659" t="n">
        <x:v>86</x:v>
      </x:c>
      <x:c r="G659" t="str">
        <x:v>reconciled_components</x:v>
      </x:c>
      <x:c r="H659" t="str"/>
      <x:c r="I659" t="str">
        <x:v>en; unique numbered-card/checklist identities for this row scope</x:v>
      </x:c>
      <x:c r="J659" t="str">
        <x:v>Numbered total equals the reconciled printed denominator + beyond-denominator identities + separately listed subset identities.</x:v>
      </x:c>
      <x:c r="K659" t="str">
        <x:v>en-2b8243fd6d64</x:v>
      </x:c>
      <x:c r="L659" t="str">
        <x:v>numbered_total</x:v>
      </x:c>
    </x:row>
    <x:row r="660">
      <x:c r="A660" t="str">
        <x:v>NUM-bc8c8b6e9737</x:v>
      </x:c>
      <x:c r="B660" t="str">
        <x:v>2026-09-26-numbered-totals</x:v>
      </x:c>
      <x:c r="C660" t="str">
        <x:v>en</x:v>
      </x:c>
      <x:c r="D660" t="str">
        <x:v>Temporal Forces</x:v>
      </x:c>
      <x:c r="E660" t="str">
        <x:v>Numbered total</x:v>
      </x:c>
      <x:c r="F660" t="n">
        <x:v>218</x:v>
      </x:c>
      <x:c r="G660" t="str">
        <x:v>reconciled_components</x:v>
      </x:c>
      <x:c r="H660" t="str"/>
      <x:c r="I660" t="str">
        <x:v>en; unique numbered-card/checklist identities for this row scope</x:v>
      </x:c>
      <x:c r="J660" t="str">
        <x:v>Numbered total equals the reconciled printed denominator + beyond-denominator identities + separately listed subset identities.</x:v>
      </x:c>
      <x:c r="K660" t="str">
        <x:v>en-e482d4044311</x:v>
      </x:c>
      <x:c r="L660" t="str">
        <x:v>numbered_total</x:v>
      </x:c>
    </x:row>
    <x:row r="661">
      <x:c r="A661" t="str">
        <x:v>NUM-b67d59661f62</x:v>
      </x:c>
      <x:c r="B661" t="str">
        <x:v>2026-09-26-numbered-totals</x:v>
      </x:c>
      <x:c r="C661" t="str">
        <x:v>en</x:v>
      </x:c>
      <x:c r="D661" t="str">
        <x:v>Twilight Masquerade</x:v>
      </x:c>
      <x:c r="E661" t="str">
        <x:v>Numbered total</x:v>
      </x:c>
      <x:c r="F661" t="n">
        <x:v>226</x:v>
      </x:c>
      <x:c r="G661" t="str">
        <x:v>reconciled_components</x:v>
      </x:c>
      <x:c r="H661" t="str"/>
      <x:c r="I661" t="str">
        <x:v>en; unique numbered-card/checklist identities for this row scope</x:v>
      </x:c>
      <x:c r="J661" t="str">
        <x:v>Numbered total equals the reconciled printed denominator + beyond-denominator identities + separately listed subset identities.</x:v>
      </x:c>
      <x:c r="K661" t="str">
        <x:v>en-7986d416b69e</x:v>
      </x:c>
      <x:c r="L661" t="str">
        <x:v>numbered_total</x:v>
      </x:c>
    </x:row>
    <x:row r="662">
      <x:c r="A662" t="str">
        <x:v>NUM-0f0989c79b43</x:v>
      </x:c>
      <x:c r="B662" t="str">
        <x:v>2026-09-26-numbered-totals</x:v>
      </x:c>
      <x:c r="C662" t="str">
        <x:v>en</x:v>
      </x:c>
      <x:c r="D662" t="str">
        <x:v>Shrouded Fable</x:v>
      </x:c>
      <x:c r="E662" t="str">
        <x:v>Numbered total</x:v>
      </x:c>
      <x:c r="F662" t="n">
        <x:v>99</x:v>
      </x:c>
      <x:c r="G662" t="str">
        <x:v>reconciled_components</x:v>
      </x:c>
      <x:c r="H662" t="str"/>
      <x:c r="I662" t="str">
        <x:v>en; unique numbered-card/checklist identities for this row scope</x:v>
      </x:c>
      <x:c r="J662" t="str">
        <x:v>Numbered total equals the reconciled printed denominator + beyond-denominator identities + separately listed subset identities.</x:v>
      </x:c>
      <x:c r="K662" t="str">
        <x:v>en-e1fef072b77d</x:v>
      </x:c>
      <x:c r="L662" t="str">
        <x:v>numbered_total</x:v>
      </x:c>
    </x:row>
    <x:row r="663">
      <x:c r="A663" t="str">
        <x:v>NUM-988116e18907</x:v>
      </x:c>
      <x:c r="B663" t="str">
        <x:v>2026-09-26-numbered-totals</x:v>
      </x:c>
      <x:c r="C663" t="str">
        <x:v>en</x:v>
      </x:c>
      <x:c r="D663" t="str">
        <x:v>Play! Pokémon Prize Pack Series Five</x:v>
      </x:c>
      <x:c r="E663" t="str">
        <x:v>Numbered total</x:v>
      </x:c>
      <x:c r="F663" t="n">
        <x:v>86</x:v>
      </x:c>
      <x:c r="G663" t="str">
        <x:v>reconciled_components</x:v>
      </x:c>
      <x:c r="H663" t="str"/>
      <x:c r="I663" t="str">
        <x:v>en; unique numbered-card/checklist identities for this row scope</x:v>
      </x:c>
      <x:c r="J663" t="str">
        <x:v>Numbered total equals the reconciled printed denominator + beyond-denominator identities + separately listed subset identities.</x:v>
      </x:c>
      <x:c r="K663" t="str">
        <x:v>en-a1202513aacb</x:v>
      </x:c>
      <x:c r="L663" t="str">
        <x:v>numbered_total</x:v>
      </x:c>
    </x:row>
    <x:row r="664">
      <x:c r="A664" t="str">
        <x:v>NUM-4cd683f67094</x:v>
      </x:c>
      <x:c r="B664" t="str">
        <x:v>2026-09-26-numbered-totals</x:v>
      </x:c>
      <x:c r="C664" t="str">
        <x:v>en</x:v>
      </x:c>
      <x:c r="D664" t="str">
        <x:v>Trick or Trade 2024</x:v>
      </x:c>
      <x:c r="E664" t="str">
        <x:v>Numbered total</x:v>
      </x:c>
      <x:c r="F664" t="n">
        <x:v>30</x:v>
      </x:c>
      <x:c r="G664" t="str">
        <x:v>reconciled_components</x:v>
      </x:c>
      <x:c r="H664" t="str"/>
      <x:c r="I664" t="str">
        <x:v>en; unique numbered-card/checklist identities for this row scope</x:v>
      </x:c>
      <x:c r="J664" t="str">
        <x:v>Numbered total equals the reconciled printed denominator + beyond-denominator identities + separately listed subset identities.</x:v>
      </x:c>
      <x:c r="K664" t="str">
        <x:v>en-df740e99a92d</x:v>
      </x:c>
      <x:c r="L664" t="str">
        <x:v>numbered_total</x:v>
      </x:c>
    </x:row>
    <x:row r="665">
      <x:c r="A665" t="str">
        <x:v>NUM-c1577e935c44</x:v>
      </x:c>
      <x:c r="B665" t="str">
        <x:v>2026-09-26-numbered-totals</x:v>
      </x:c>
      <x:c r="C665" t="str">
        <x:v>en</x:v>
      </x:c>
      <x:c r="D665" t="str">
        <x:v>Stellar Crown</x:v>
      </x:c>
      <x:c r="E665" t="str">
        <x:v>Numbered total</x:v>
      </x:c>
      <x:c r="F665" t="n">
        <x:v>175</x:v>
      </x:c>
      <x:c r="G665" t="str">
        <x:v>reconciled_components</x:v>
      </x:c>
      <x:c r="H665" t="str"/>
      <x:c r="I665" t="str">
        <x:v>en; unique numbered-card/checklist identities for this row scope</x:v>
      </x:c>
      <x:c r="J665" t="str">
        <x:v>Numbered total equals the reconciled printed denominator + beyond-denominator identities + separately listed subset identities.</x:v>
      </x:c>
      <x:c r="K665" t="str">
        <x:v>en-b8ef2c909f1e</x:v>
      </x:c>
      <x:c r="L665" t="str">
        <x:v>numbered_total</x:v>
      </x:c>
    </x:row>
    <x:row r="666">
      <x:c r="A666" t="str">
        <x:v>NUM-4a020050f998</x:v>
      </x:c>
      <x:c r="B666" t="str">
        <x:v>2026-09-26-numbered-totals</x:v>
      </x:c>
      <x:c r="C666" t="str">
        <x:v>en</x:v>
      </x:c>
      <x:c r="D666" t="str">
        <x:v>Surging Sparks</x:v>
      </x:c>
      <x:c r="E666" t="str">
        <x:v>Numbered total</x:v>
      </x:c>
      <x:c r="F666" t="n">
        <x:v>252</x:v>
      </x:c>
      <x:c r="G666" t="str">
        <x:v>reconciled_components</x:v>
      </x:c>
      <x:c r="H666" t="str"/>
      <x:c r="I666" t="str">
        <x:v>en; unique numbered-card/checklist identities for this row scope</x:v>
      </x:c>
      <x:c r="J666" t="str">
        <x:v>Numbered total equals the reconciled printed denominator + beyond-denominator identities + separately listed subset identities.</x:v>
      </x:c>
      <x:c r="K666" t="str">
        <x:v>en-33e34a4c782d</x:v>
      </x:c>
      <x:c r="L666" t="str">
        <x:v>numbered_total</x:v>
      </x:c>
    </x:row>
    <x:row r="667">
      <x:c r="A667" t="str">
        <x:v>NUM-58884d75b85f</x:v>
      </x:c>
      <x:c r="B667" t="str">
        <x:v>2026-09-26-numbered-totals</x:v>
      </x:c>
      <x:c r="C667" t="str">
        <x:v>en</x:v>
      </x:c>
      <x:c r="D667" t="str">
        <x:v>McDonald's Collection 2024</x:v>
      </x:c>
      <x:c r="E667" t="str">
        <x:v>Numbered total</x:v>
      </x:c>
      <x:c r="F667" t="n">
        <x:v>15</x:v>
      </x:c>
      <x:c r="G667" t="str">
        <x:v>reconciled_components</x:v>
      </x:c>
      <x:c r="H667" t="str"/>
      <x:c r="I667" t="str">
        <x:v>en; unique numbered-card/checklist identities for this row scope</x:v>
      </x:c>
      <x:c r="J667" t="str">
        <x:v>Numbered total equals the reconciled printed denominator + beyond-denominator identities + separately listed subset identities.</x:v>
      </x:c>
      <x:c r="K667" t="str">
        <x:v>en-1e85d993e9e4</x:v>
      </x:c>
      <x:c r="L667" t="str">
        <x:v>numbered_total</x:v>
      </x:c>
    </x:row>
    <x:row r="668">
      <x:c r="A668" t="str">
        <x:v>NUM-05cfe441a725</x:v>
      </x:c>
      <x:c r="B668" t="str">
        <x:v>2026-09-26-numbered-totals</x:v>
      </x:c>
      <x:c r="C668" t="str">
        <x:v>en</x:v>
      </x:c>
      <x:c r="D668" t="str">
        <x:v>Prismatic Evolutions</x:v>
      </x:c>
      <x:c r="E668" t="str">
        <x:v>Numbered total</x:v>
      </x:c>
      <x:c r="F668" t="n">
        <x:v>180</x:v>
      </x:c>
      <x:c r="G668" t="str">
        <x:v>reconciled_components</x:v>
      </x:c>
      <x:c r="H668" t="str"/>
      <x:c r="I668" t="str">
        <x:v>en; unique numbered-card/checklist identities for this row scope</x:v>
      </x:c>
      <x:c r="J668" t="str">
        <x:v>Numbered total equals the reconciled printed denominator + beyond-denominator identities + separately listed subset identities.</x:v>
      </x:c>
      <x:c r="K668" t="str">
        <x:v>en-b86789f303e5</x:v>
      </x:c>
      <x:c r="L668" t="str">
        <x:v>numbered_total</x:v>
      </x:c>
    </x:row>
    <x:row r="669">
      <x:c r="A669" t="str">
        <x:v>NUM-c40a4a5af679</x:v>
      </x:c>
      <x:c r="B669" t="str">
        <x:v>2026-09-26-numbered-totals</x:v>
      </x:c>
      <x:c r="C669" t="str">
        <x:v>en</x:v>
      </x:c>
      <x:c r="D669" t="str">
        <x:v>Play! Pokémon Prize Pack Series Six</x:v>
      </x:c>
      <x:c r="E669" t="str">
        <x:v>Numbered total</x:v>
      </x:c>
      <x:c r="F669" t="n">
        <x:v>94</x:v>
      </x:c>
      <x:c r="G669" t="str">
        <x:v>reconciled_components</x:v>
      </x:c>
      <x:c r="H669" t="str"/>
      <x:c r="I669" t="str">
        <x:v>en; unique numbered-card/checklist identities for this row scope</x:v>
      </x:c>
      <x:c r="J669" t="str">
        <x:v>Numbered total equals the reconciled printed denominator + beyond-denominator identities + separately listed subset identities.</x:v>
      </x:c>
      <x:c r="K669" t="str">
        <x:v>en-dd51e73f9842</x:v>
      </x:c>
      <x:c r="L669" t="str">
        <x:v>numbered_total</x:v>
      </x:c>
    </x:row>
    <x:row r="670">
      <x:c r="A670" t="str">
        <x:v>NUM-cc6dfe2f6d60</x:v>
      </x:c>
      <x:c r="B670" t="str">
        <x:v>2026-09-26-numbered-totals</x:v>
      </x:c>
      <x:c r="C670" t="str">
        <x:v>en</x:v>
      </x:c>
      <x:c r="D670" t="str">
        <x:v>Journey Together</x:v>
      </x:c>
      <x:c r="E670" t="str">
        <x:v>Numbered total</x:v>
      </x:c>
      <x:c r="F670" t="n">
        <x:v>190</x:v>
      </x:c>
      <x:c r="G670" t="str">
        <x:v>reconciled_components</x:v>
      </x:c>
      <x:c r="H670" t="str"/>
      <x:c r="I670" t="str">
        <x:v>en; unique numbered-card/checklist identities for this row scope</x:v>
      </x:c>
      <x:c r="J670" t="str">
        <x:v>Numbered total equals the reconciled printed denominator + beyond-denominator identities + separately listed subset identities.</x:v>
      </x:c>
      <x:c r="K670" t="str">
        <x:v>en-7a6fbbd70315</x:v>
      </x:c>
      <x:c r="L670" t="str">
        <x:v>numbered_total</x:v>
      </x:c>
    </x:row>
    <x:row r="671">
      <x:c r="A671" t="str">
        <x:v>NUM-343bf0c2f362</x:v>
      </x:c>
      <x:c r="B671" t="str">
        <x:v>2026-09-26-numbered-totals</x:v>
      </x:c>
      <x:c r="C671" t="str">
        <x:v>en</x:v>
      </x:c>
      <x:c r="D671" t="str">
        <x:v>Destined Rivals</x:v>
      </x:c>
      <x:c r="E671" t="str">
        <x:v>Numbered total</x:v>
      </x:c>
      <x:c r="F671" t="n">
        <x:v>244</x:v>
      </x:c>
      <x:c r="G671" t="str">
        <x:v>reconciled_components</x:v>
      </x:c>
      <x:c r="H671" t="str"/>
      <x:c r="I671" t="str">
        <x:v>en; unique numbered-card/checklist identities for this row scope</x:v>
      </x:c>
      <x:c r="J671" t="str">
        <x:v>Numbered total equals the reconciled printed denominator + beyond-denominator identities + separately listed subset identities.</x:v>
      </x:c>
      <x:c r="K671" t="str">
        <x:v>en-84fa355e03ce</x:v>
      </x:c>
      <x:c r="L671" t="str">
        <x:v>numbered_total</x:v>
      </x:c>
    </x:row>
    <x:row r="672">
      <x:c r="A672" t="str">
        <x:v>NUM-794dc7f85b39</x:v>
      </x:c>
      <x:c r="B672" t="str">
        <x:v>2026-09-26-numbered-totals</x:v>
      </x:c>
      <x:c r="C672" t="str">
        <x:v>en</x:v>
      </x:c>
      <x:c r="D672" t="str">
        <x:v>Black Bolt</x:v>
      </x:c>
      <x:c r="E672" t="str">
        <x:v>Numbered total</x:v>
      </x:c>
      <x:c r="F672" t="n">
        <x:v>172</x:v>
      </x:c>
      <x:c r="G672" t="str">
        <x:v>reconciled_components</x:v>
      </x:c>
      <x:c r="H672" t="str"/>
      <x:c r="I672" t="str">
        <x:v>en; unique numbered-card/checklist identities for this row scope</x:v>
      </x:c>
      <x:c r="J672" t="str">
        <x:v>Numbered total equals the reconciled printed denominator + beyond-denominator identities + separately listed subset identities.</x:v>
      </x:c>
      <x:c r="K672" t="str">
        <x:v>en-a459d84fe9e3</x:v>
      </x:c>
      <x:c r="L672" t="str">
        <x:v>numbered_total</x:v>
      </x:c>
    </x:row>
    <x:row r="673">
      <x:c r="A673" t="str">
        <x:v>NUM-cf0ec5e147c3</x:v>
      </x:c>
      <x:c r="B673" t="str">
        <x:v>2026-09-26-numbered-totals</x:v>
      </x:c>
      <x:c r="C673" t="str">
        <x:v>en</x:v>
      </x:c>
      <x:c r="D673" t="str">
        <x:v>White Flare</x:v>
      </x:c>
      <x:c r="E673" t="str">
        <x:v>Numbered total</x:v>
      </x:c>
      <x:c r="F673" t="n">
        <x:v>173</x:v>
      </x:c>
      <x:c r="G673" t="str">
        <x:v>reconciled_components</x:v>
      </x:c>
      <x:c r="H673" t="str"/>
      <x:c r="I673" t="str">
        <x:v>en; unique numbered-card/checklist identities for this row scope</x:v>
      </x:c>
      <x:c r="J673" t="str">
        <x:v>Numbered total equals the reconciled printed denominator + beyond-denominator identities + separately listed subset identities.</x:v>
      </x:c>
      <x:c r="K673" t="str">
        <x:v>en-a76544a31544</x:v>
      </x:c>
      <x:c r="L673" t="str">
        <x:v>numbered_total</x:v>
      </x:c>
    </x:row>
    <x:row r="674">
      <x:c r="A674" t="str">
        <x:v>NUM-40c7f9ad7956</x:v>
      </x:c>
      <x:c r="B674" t="str">
        <x:v>2026-09-26-numbered-totals</x:v>
      </x:c>
      <x:c r="C674" t="str">
        <x:v>en</x:v>
      </x:c>
      <x:c r="D674" t="str">
        <x:v>Play! Pokémon Prize Pack Series Seven</x:v>
      </x:c>
      <x:c r="E674" t="str">
        <x:v>Numbered total</x:v>
      </x:c>
      <x:c r="F674" t="n">
        <x:v>96</x:v>
      </x:c>
      <x:c r="G674" t="str">
        <x:v>reconciled_components</x:v>
      </x:c>
      <x:c r="H674" t="str"/>
      <x:c r="I674" t="str">
        <x:v>en; unique numbered-card/checklist identities for this row scope</x:v>
      </x:c>
      <x:c r="J674" t="str">
        <x:v>Numbered total equals the reconciled printed denominator + beyond-denominator identities + separately listed subset identities.</x:v>
      </x:c>
      <x:c r="K674" t="str">
        <x:v>en-f900154f1156</x:v>
      </x:c>
      <x:c r="L674" t="str">
        <x:v>numbered_total</x:v>
      </x:c>
    </x:row>
    <x:row r="675">
      <x:c r="A675" t="str">
        <x:v>NUM-40c7012db10e</x:v>
      </x:c>
      <x:c r="B675" t="str">
        <x:v>2026-09-26-numbered-totals</x:v>
      </x:c>
      <x:c r="C675" t="str">
        <x:v>en</x:v>
      </x:c>
      <x:c r="D675" t="str">
        <x:v>MEP Black Star Promos</x:v>
      </x:c>
      <x:c r="E675" t="str">
        <x:v>Numbered total</x:v>
      </x:c>
      <x:c r="F675" t="n">
        <x:v>127</x:v>
      </x:c>
      <x:c r="G675" t="str">
        <x:v>reference_bridge_secondary_catalogue_snapshot</x:v>
      </x:c>
      <x:c r="H675" t="str">
        <x:v>https://www.cardtrader.com/en/pokemon/expansions</x:v>
      </x:c>
      <x:c r="I675" t="str">
        <x:v>en; unique numbered-card/checklist identities for this row scope</x:v>
      </x:c>
      <x:c r="J675" t="str">
        <x:v>Numbered total bridged from the sourced reference-count checklist for this exact row scope. Current Mega Evolution Black Star Promo catalogue index snapshot; ongoing series, so this is a dated catalogue count rather than a closed-set total.</x:v>
      </x:c>
      <x:c r="K675" t="str">
        <x:v>en-5e7baa43c285</x:v>
      </x:c>
      <x:c r="L675" t="str">
        <x:v>numbered_total</x:v>
      </x:c>
    </x:row>
    <x:row r="676">
      <x:c r="A676" t="str">
        <x:v>NUM-abd259b0be68</x:v>
      </x:c>
      <x:c r="B676" t="str">
        <x:v>2026-09-26-numbered-totals</x:v>
      </x:c>
      <x:c r="C676" t="str">
        <x:v>en</x:v>
      </x:c>
      <x:c r="D676" t="str">
        <x:v>MEE Basic Energies</x:v>
      </x:c>
      <x:c r="E676" t="str">
        <x:v>Numbered total</x:v>
      </x:c>
      <x:c r="F676" t="n">
        <x:v>16</x:v>
      </x:c>
      <x:c r="G676" t="str">
        <x:v>reconciled_components</x:v>
      </x:c>
      <x:c r="H676" t="str"/>
      <x:c r="I676" t="str">
        <x:v>en; unique numbered-card/checklist identities for this row scope</x:v>
      </x:c>
      <x:c r="J676" t="str">
        <x:v>Numbered total equals the reconciled printed denominator + beyond-denominator identities + separately listed subset identities.</x:v>
      </x:c>
      <x:c r="K676" t="str">
        <x:v>en-4cea9dd34e60</x:v>
      </x:c>
      <x:c r="L676" t="str">
        <x:v>numbered_total</x:v>
      </x:c>
    </x:row>
    <x:row r="677">
      <x:c r="A677" t="str">
        <x:v>NUM-233a09d61c42</x:v>
      </x:c>
      <x:c r="B677" t="str">
        <x:v>2026-09-26-numbered-totals</x:v>
      </x:c>
      <x:c r="C677" t="str">
        <x:v>en</x:v>
      </x:c>
      <x:c r="D677" t="str">
        <x:v>Mega Evolution</x:v>
      </x:c>
      <x:c r="E677" t="str">
        <x:v>Numbered total</x:v>
      </x:c>
      <x:c r="F677" t="n">
        <x:v>188</x:v>
      </x:c>
      <x:c r="G677" t="str">
        <x:v>reconciled_components</x:v>
      </x:c>
      <x:c r="H677" t="str"/>
      <x:c r="I677" t="str">
        <x:v>en; unique numbered-card/checklist identities for this row scope</x:v>
      </x:c>
      <x:c r="J677" t="str">
        <x:v>Numbered total equals the reconciled printed denominator + beyond-denominator identities + separately listed subset identities.</x:v>
      </x:c>
      <x:c r="K677" t="str">
        <x:v>en-ffa9ac4a086b</x:v>
      </x:c>
      <x:c r="L677" t="str">
        <x:v>numbered_total</x:v>
      </x:c>
    </x:row>
    <x:row r="678">
      <x:c r="A678" t="str">
        <x:v>NUM-141b99d0d91c</x:v>
      </x:c>
      <x:c r="B678" t="str">
        <x:v>2026-09-26-numbered-totals</x:v>
      </x:c>
      <x:c r="C678" t="str">
        <x:v>en</x:v>
      </x:c>
      <x:c r="D678" t="str">
        <x:v>Phantasmal Flames</x:v>
      </x:c>
      <x:c r="E678" t="str">
        <x:v>Numbered total</x:v>
      </x:c>
      <x:c r="F678" t="n">
        <x:v>130</x:v>
      </x:c>
      <x:c r="G678" t="str">
        <x:v>reconciled_components</x:v>
      </x:c>
      <x:c r="H678" t="str"/>
      <x:c r="I678" t="str">
        <x:v>en; unique numbered-card/checklist identities for this row scope</x:v>
      </x:c>
      <x:c r="J678" t="str">
        <x:v>Numbered total equals the reconciled printed denominator + beyond-denominator identities + separately listed subset identities.</x:v>
      </x:c>
      <x:c r="K678" t="str">
        <x:v>en-12b98e6f9204</x:v>
      </x:c>
      <x:c r="L678" t="str">
        <x:v>numbered_total</x:v>
      </x:c>
    </x:row>
    <x:row r="679">
      <x:c r="A679" t="str">
        <x:v>NUM-13ceee151391</x:v>
      </x:c>
      <x:c r="B679" t="str">
        <x:v>2026-09-26-numbered-totals</x:v>
      </x:c>
      <x:c r="C679" t="str">
        <x:v>en</x:v>
      </x:c>
      <x:c r="D679" t="str">
        <x:v>Play! Pokémon Prize Pack Series Eight</x:v>
      </x:c>
      <x:c r="E679" t="str">
        <x:v>Numbered total</x:v>
      </x:c>
      <x:c r="F679" t="n">
        <x:v>91</x:v>
      </x:c>
      <x:c r="G679" t="str">
        <x:v>reconciled_components</x:v>
      </x:c>
      <x:c r="H679" t="str"/>
      <x:c r="I679" t="str">
        <x:v>en; unique numbered-card/checklist identities for this row scope</x:v>
      </x:c>
      <x:c r="J679" t="str">
        <x:v>Numbered total equals the reconciled printed denominator + beyond-denominator identities + separately listed subset identities.</x:v>
      </x:c>
      <x:c r="K679" t="str">
        <x:v>en-737b1e423c62</x:v>
      </x:c>
      <x:c r="L679" t="str">
        <x:v>numbered_total</x:v>
      </x:c>
    </x:row>
    <x:row r="680">
      <x:c r="A680" t="str">
        <x:v>NUM-e129a2bacd7f</x:v>
      </x:c>
      <x:c r="B680" t="str">
        <x:v>2026-09-26-numbered-totals</x:v>
      </x:c>
      <x:c r="C680" t="str">
        <x:v>en</x:v>
      </x:c>
      <x:c r="D680" t="str">
        <x:v>Ascended Heroes</x:v>
      </x:c>
      <x:c r="E680" t="str">
        <x:v>Numbered total</x:v>
      </x:c>
      <x:c r="F680" t="n">
        <x:v>295</x:v>
      </x:c>
      <x:c r="G680" t="str">
        <x:v>reconciled_components</x:v>
      </x:c>
      <x:c r="H680" t="str"/>
      <x:c r="I680" t="str">
        <x:v>en; unique numbered-card/checklist identities for this row scope</x:v>
      </x:c>
      <x:c r="J680" t="str">
        <x:v>Numbered total equals the reconciled printed denominator + beyond-denominator identities + separately listed subset identities.</x:v>
      </x:c>
      <x:c r="K680" t="str">
        <x:v>en-603ff366eb29</x:v>
      </x:c>
      <x:c r="L680" t="str">
        <x:v>numbered_total</x:v>
      </x:c>
    </x:row>
    <x:row r="681">
      <x:c r="A681" t="str">
        <x:v>NUM-3b07e126c771</x:v>
      </x:c>
      <x:c r="B681" t="str">
        <x:v>2026-09-26-numbered-totals</x:v>
      </x:c>
      <x:c r="C681" t="str">
        <x:v>en</x:v>
      </x:c>
      <x:c r="D681" t="str">
        <x:v>Perfect Order</x:v>
      </x:c>
      <x:c r="E681" t="str">
        <x:v>Numbered total</x:v>
      </x:c>
      <x:c r="F681" t="n">
        <x:v>124</x:v>
      </x:c>
      <x:c r="G681" t="str">
        <x:v>reconciled_components</x:v>
      </x:c>
      <x:c r="H681" t="str"/>
      <x:c r="I681" t="str">
        <x:v>en; unique numbered-card/checklist identities for this row scope</x:v>
      </x:c>
      <x:c r="J681" t="str">
        <x:v>Numbered total equals the reconciled printed denominator + beyond-denominator identities + separately listed subset identities.</x:v>
      </x:c>
      <x:c r="K681" t="str">
        <x:v>en-04ad102367c4</x:v>
      </x:c>
      <x:c r="L681" t="str">
        <x:v>numbered_total</x:v>
      </x:c>
    </x:row>
    <x:row r="682">
      <x:c r="A682" t="str">
        <x:v>NUM-5b3bad8ddf52</x:v>
      </x:c>
      <x:c r="B682" t="str">
        <x:v>2026-09-26-numbered-totals</x:v>
      </x:c>
      <x:c r="C682" t="str">
        <x:v>en</x:v>
      </x:c>
      <x:c r="D682" t="str">
        <x:v>Chaos Rising</x:v>
      </x:c>
      <x:c r="E682" t="str">
        <x:v>Numbered total</x:v>
      </x:c>
      <x:c r="F682" t="n">
        <x:v>122</x:v>
      </x:c>
      <x:c r="G682" t="str">
        <x:v>reconciled_components</x:v>
      </x:c>
      <x:c r="H682" t="str"/>
      <x:c r="I682" t="str">
        <x:v>en; unique numbered-card/checklist identities for this row scope</x:v>
      </x:c>
      <x:c r="J682" t="str">
        <x:v>Numbered total equals the reconciled printed denominator + beyond-denominator identities + separately listed subset identities.</x:v>
      </x:c>
      <x:c r="K682" t="str">
        <x:v>en-8355779cb5d3</x:v>
      </x:c>
      <x:c r="L682" t="str">
        <x:v>numbered_total</x:v>
      </x:c>
    </x:row>
    <x:row r="683">
      <x:c r="A683" t="str">
        <x:v>NUM-abe4df04ff7f</x:v>
      </x:c>
      <x:c r="B683" t="str">
        <x:v>2026-09-26-numbered-totals</x:v>
      </x:c>
      <x:c r="C683" t="str">
        <x:v>en</x:v>
      </x:c>
      <x:c r="D683" t="str">
        <x:v>Play! Pokémon Prize Pack Series Nine</x:v>
      </x:c>
      <x:c r="E683" t="str">
        <x:v>Numbered total</x:v>
      </x:c>
      <x:c r="F683" t="n">
        <x:v>80</x:v>
      </x:c>
      <x:c r="G683" t="str">
        <x:v>reconciled_components</x:v>
      </x:c>
      <x:c r="H683" t="str"/>
      <x:c r="I683" t="str">
        <x:v>en; unique numbered-card/checklist identities for this row scope</x:v>
      </x:c>
      <x:c r="J683" t="str">
        <x:v>Numbered total equals the reconciled printed denominator + beyond-denominator identities + separately listed subset identities.</x:v>
      </x:c>
      <x:c r="K683" t="str">
        <x:v>en-1d7b80eb920d</x:v>
      </x:c>
      <x:c r="L683" t="str">
        <x:v>numbered_total</x:v>
      </x:c>
    </x:row>
    <x:row r="684">
      <x:c r="A684" t="str">
        <x:v>NUM-c2a533c33b50</x:v>
      </x:c>
      <x:c r="B684" t="str">
        <x:v>2026-09-26-numbered-totals</x:v>
      </x:c>
      <x:c r="C684" t="str">
        <x:v>en</x:v>
      </x:c>
      <x:c r="D684" t="str">
        <x:v>Pitch Black</x:v>
      </x:c>
      <x:c r="E684" t="str">
        <x:v>Numbered total</x:v>
      </x:c>
      <x:c r="F684" t="n">
        <x:v>120</x:v>
      </x:c>
      <x:c r="G684" t="str">
        <x:v>reconciled_components</x:v>
      </x:c>
      <x:c r="H684" t="str"/>
      <x:c r="I684" t="str">
        <x:v>en; unique numbered-card/checklist identities for this row scope</x:v>
      </x:c>
      <x:c r="J684" t="str">
        <x:v>Numbered total equals the reconciled printed denominator + beyond-denominator identities + separately listed subset identities.</x:v>
      </x:c>
      <x:c r="K684" t="str">
        <x:v>en-40b9f502f511</x:v>
      </x:c>
      <x:c r="L684" t="str">
        <x:v>numbered_total</x:v>
      </x:c>
    </x:row>
    <x:row r="685">
      <x:c r="A685" t="str">
        <x:v>NUM-f3893cc97a5a</x:v>
      </x:c>
      <x:c r="B685" t="str">
        <x:v>2026-09-26-numbered-totals</x:v>
      </x:c>
      <x:c r="C685" t="str">
        <x:v>en</x:v>
      </x:c>
      <x:c r="D685" t="str">
        <x:v>30th Celebration</x:v>
      </x:c>
      <x:c r="E685" t="str">
        <x:v>Numbered total</x:v>
      </x:c>
      <x:c r="F685" t="n">
        <x:v>199</x:v>
      </x:c>
      <x:c r="G685" t="str">
        <x:v>current_complete_checklist</x:v>
      </x:c>
      <x:c r="H685" t="str">
        <x:v>https://www.pokebeach.com/2026/09/30th-celebration-english-set-guide-full-card-list-products-store-promotions-and-more</x:v>
      </x:c>
      <x:c r="I685" t="str">
        <x:v>en; unique numbered-card/checklist identities for this row scope</x:v>
      </x:c>
      <x:c r="J685" t="str">
        <x:v>Current complete English checklist: 128 main-set cards + 33 secret rares + 30 Classic Collection cards + 8 Basic Energy cards.</x:v>
      </x:c>
      <x:c r="K685" t="str">
        <x:v>en-ceccb90187e4</x:v>
      </x:c>
      <x:c r="L685" t="str">
        <x:v>numbered_total</x:v>
      </x:c>
    </x:row>
    <x:row r="686">
      <x:c r="A686" t="str">
        <x:v>NUM-867fbf86c704</x:v>
      </x:c>
      <x:c r="B686" t="str">
        <x:v>2026-09-26-numbered-totals</x:v>
      </x:c>
      <x:c r="C686" t="str">
        <x:v>en</x:v>
      </x:c>
      <x:c r="D686" t="str">
        <x:v>Delta Reign</x:v>
      </x:c>
      <x:c r="E686" t="str">
        <x:v>Numbered total</x:v>
      </x:c>
      <x:c r="F686" t="n">
        <x:v>135</x:v>
      </x:c>
      <x:c r="G686" t="str">
        <x:v>minimum_pending_final_checklist</x:v>
      </x:c>
      <x:c r="H686" t="str">
        <x:v>https://www.pokemon.com/uk/features/heat-rotom-ex-delibird-and-more-from-pokemon-tcg-mega-evolution-delta-reign</x:v>
      </x:c>
      <x:c r="I686" t="str">
        <x:v>en; unique numbered-card/checklist identities for this row scope</x:v>
      </x:c>
      <x:c r="J686" t="str">
        <x:v>Officially announced as over 135 cards. 135 is stored as a minimum/provisional numbered total until the final checklist is published.</x:v>
      </x:c>
      <x:c r="K686" t="str">
        <x:v>en-c2a4826cab63</x:v>
      </x:c>
      <x:c r="L686" t="str">
        <x:v>numbered_total</x:v>
      </x:c>
    </x:row>
    <x:row r="687">
      <x:c r="A687" t="str">
        <x:v>NUM-1fce4b5beaed</x:v>
      </x:c>
      <x:c r="B687" t="str">
        <x:v>2026-09-26-numbered-totals</x:v>
      </x:c>
      <x:c r="C687" t="str">
        <x:v>en</x:v>
      </x:c>
      <x:c r="D687" t="str">
        <x:v>Black &amp; White Trainer Kit</x:v>
      </x:c>
      <x:c r="E687" t="str">
        <x:v>Numbered total</x:v>
      </x:c>
      <x:c r="F687" t="n">
        <x:v>60</x:v>
      </x:c>
      <x:c r="G687" t="str">
        <x:v>reference_bridge_product_numbered_checklist</x:v>
      </x:c>
      <x:c r="H687" t="str">
        <x:v>https://bulbapedia.bulbagarden.net/wiki/Black_%26_White_Trainer_Kit_(TCG)</x:v>
      </x:c>
      <x:c r="I687" t="str">
        <x:v>en; unique numbered-card/checklist identities for this row scope</x:v>
      </x:c>
      <x:c r="J687" t="str">
        <x:v>Numbered total bridged from the sourced reference-count checklist for this exact row scope. Two separately numbered 30-card Trainer Kit half-decks; reference count is numbered tutorial slots, not physical duplicates.</x:v>
      </x:c>
      <x:c r="K687" t="str">
        <x:v>en-21b02872eb20</x:v>
      </x:c>
      <x:c r="L687" t="str">
        <x:v>numbered_total</x:v>
      </x:c>
    </x:row>
    <x:row r="688">
      <x:c r="A688" t="str">
        <x:v>NUM-162dcde63cb2</x:v>
      </x:c>
      <x:c r="B688" t="str">
        <x:v>2026-09-26-numbered-totals</x:v>
      </x:c>
      <x:c r="C688" t="str">
        <x:v>en</x:v>
      </x:c>
      <x:c r="D688" t="str">
        <x:v>Diamond &amp; Pearl Trainer Kit</x:v>
      </x:c>
      <x:c r="E688" t="str">
        <x:v>Numbered total</x:v>
      </x:c>
      <x:c r="F688" t="n">
        <x:v>23</x:v>
      </x:c>
      <x:c r="G688" t="str">
        <x:v>reference_bridge_product_numbered_checklist</x:v>
      </x:c>
      <x:c r="H688" t="str">
        <x:v>https://bulbapedia.bulbagarden.net/wiki/Diamond_%26_Pearl_Trainer_Kit_(TCG)</x:v>
      </x:c>
      <x:c r="I688" t="str">
        <x:v>en; unique numbered-card/checklist identities for this row scope</x:v>
      </x:c>
      <x:c r="J688" t="str">
        <x:v>Numbered total bridged from the sourced reference-count checklist for this exact row scope. Distinct numbered Trainer Kit component identities: 12 Manaphy + 11 Lucario.</x:v>
      </x:c>
      <x:c r="K688" t="str">
        <x:v>en-6f8abbba436c</x:v>
      </x:c>
      <x:c r="L688" t="str">
        <x:v>numbered_total</x:v>
      </x:c>
    </x:row>
    <x:row r="689">
      <x:c r="A689" t="str">
        <x:v>NUM-31dfbf310546</x:v>
      </x:c>
      <x:c r="B689" t="str">
        <x:v>2026-09-26-numbered-totals</x:v>
      </x:c>
      <x:c r="C689" t="str">
        <x:v>en</x:v>
      </x:c>
      <x:c r="D689" t="str">
        <x:v>EX Trainer Kit</x:v>
      </x:c>
      <x:c r="E689" t="str">
        <x:v>Numbered total</x:v>
      </x:c>
      <x:c r="F689" t="n">
        <x:v>20</x:v>
      </x:c>
      <x:c r="G689" t="str">
        <x:v>reference_bridge_product_numbered_checklist</x:v>
      </x:c>
      <x:c r="H689" t="str">
        <x:v>https://bulbapedia.bulbagarden.net/wiki/EX_Trainer_Kit_(TCG)</x:v>
      </x:c>
      <x:c r="I689" t="str">
        <x:v>en; unique numbered-card/checklist identities for this row scope</x:v>
      </x:c>
      <x:c r="J689" t="str">
        <x:v>Numbered total bridged from the sourced reference-count checklist for this exact row scope. Two 10-card numbered Trainer Kit half-deck checklists; counts identities, not repeated physical cards.</x:v>
      </x:c>
      <x:c r="K689" t="str">
        <x:v>en-e2138469cc4d</x:v>
      </x:c>
      <x:c r="L689" t="str">
        <x:v>numbered_total</x:v>
      </x:c>
    </x:row>
    <x:row r="690">
      <x:c r="A690" t="str">
        <x:v>NUM-ed8d072c6620</x:v>
      </x:c>
      <x:c r="B690" t="str">
        <x:v>2026-09-26-numbered-totals</x:v>
      </x:c>
      <x:c r="C690" t="str">
        <x:v>en</x:v>
      </x:c>
      <x:c r="D690" t="str">
        <x:v>EX Trainer Kit 2</x:v>
      </x:c>
      <x:c r="E690" t="str">
        <x:v>Numbered total</x:v>
      </x:c>
      <x:c r="F690" t="n">
        <x:v>24</x:v>
      </x:c>
      <x:c r="G690" t="str">
        <x:v>reference_bridge_product_numbered_checklist</x:v>
      </x:c>
      <x:c r="H690" t="str">
        <x:v>https://bulbapedia.bulbagarden.net/wiki/EX_Trainer_Kit_2_(TCG)</x:v>
      </x:c>
      <x:c r="I690" t="str">
        <x:v>en; unique numbered-card/checklist identities for this row scope</x:v>
      </x:c>
      <x:c r="J690" t="str">
        <x:v>Numbered total bridged from the sourced reference-count checklist for this exact row scope. Two 12-card numbered Trainer Kit 2 half-deck checklists; counts identities, not repeated physical cards.</x:v>
      </x:c>
      <x:c r="K690" t="str">
        <x:v>en-f5c65c7b0a45</x:v>
      </x:c>
      <x:c r="L690" t="str">
        <x:v>numbered_total</x:v>
      </x:c>
    </x:row>
    <x:row r="691">
      <x:c r="A691" t="str">
        <x:v>NUM-2bbfabcf2a25</x:v>
      </x:c>
      <x:c r="B691" t="str">
        <x:v>2026-09-26-numbered-totals</x:v>
      </x:c>
      <x:c r="C691" t="str">
        <x:v>en</x:v>
      </x:c>
      <x:c r="D691" t="str">
        <x:v>HS Trainer Kit</x:v>
      </x:c>
      <x:c r="E691" t="str">
        <x:v>Numbered total</x:v>
      </x:c>
      <x:c r="F691" t="n">
        <x:v>60</x:v>
      </x:c>
      <x:c r="G691" t="str">
        <x:v>reference_bridge_product_numbered_checklist</x:v>
      </x:c>
      <x:c r="H691" t="str">
        <x:v>https://bulbapedia.bulbagarden.net/wiki/HS_Trainer_Kit_(TCG)</x:v>
      </x:c>
      <x:c r="I691" t="str">
        <x:v>en; unique numbered-card/checklist identities for this row scope</x:v>
      </x:c>
      <x:c r="J691" t="str">
        <x:v>Numbered total bridged from the sourced reference-count checklist for this exact row scope. Two separately numbered 30-card HS Trainer Kit half-decks.</x:v>
      </x:c>
      <x:c r="K691" t="str">
        <x:v>en-3b501faa2faf</x:v>
      </x:c>
      <x:c r="L691" t="str">
        <x:v>numbered_total</x:v>
      </x:c>
    </x:row>
    <x:row r="692">
      <x:c r="A692" t="str">
        <x:v>NUM-ebabda14ac87</x:v>
      </x:c>
      <x:c r="B692" t="str">
        <x:v>2026-09-26-numbered-totals</x:v>
      </x:c>
      <x:c r="C692" t="str">
        <x:v>en</x:v>
      </x:c>
      <x:c r="D692" t="str">
        <x:v>Sun &amp; Moon Trainer Kit: Lycanroc &amp; Alolan Raichu</x:v>
      </x:c>
      <x:c r="E692" t="str">
        <x:v>Numbered total</x:v>
      </x:c>
      <x:c r="F692" t="n">
        <x:v>60</x:v>
      </x:c>
      <x:c r="G692" t="str">
        <x:v>reference_bridge_product_numbered_checklist</x:v>
      </x:c>
      <x:c r="H692" t="str">
        <x:v>https://bulbapedia.bulbagarden.net/wiki/Sun_%26_Moon_Trainer_Kit_(TCG)</x:v>
      </x:c>
      <x:c r="I692" t="str">
        <x:v>en; unique numbered-card/checklist identities for this row scope</x:v>
      </x:c>
      <x:c r="J692" t="str">
        <x:v>Numbered total bridged from the sourced reference-count checklist for this exact row scope. Two separately numbered 30-card Sun &amp; Moon Trainer Kit half-decks.</x:v>
      </x:c>
      <x:c r="K692" t="str">
        <x:v>en-ecc3b9bb3ca7</x:v>
      </x:c>
      <x:c r="L692" t="str">
        <x:v>numbered_total</x:v>
      </x:c>
    </x:row>
    <x:row r="693">
      <x:c r="A693" t="str">
        <x:v>NUM-8d8812975ad1</x:v>
      </x:c>
      <x:c r="B693" t="str">
        <x:v>2026-09-26-numbered-totals</x:v>
      </x:c>
      <x:c r="C693" t="str">
        <x:v>en</x:v>
      </x:c>
      <x:c r="D693" t="str">
        <x:v>XY Trainer Kit: Bisharp &amp; Wigglytuff</x:v>
      </x:c>
      <x:c r="E693" t="str">
        <x:v>Numbered total</x:v>
      </x:c>
      <x:c r="F693" t="n">
        <x:v>60</x:v>
      </x:c>
      <x:c r="G693" t="str">
        <x:v>reference_bridge_product_numbered_checklist</x:v>
      </x:c>
      <x:c r="H693" t="str">
        <x:v>https://bulbapedia.bulbagarden.net/wiki/XY_Trainer_Kit_(TCG)</x:v>
      </x:c>
      <x:c r="I693" t="str">
        <x:v>en; unique numbered-card/checklist identities for this row scope</x:v>
      </x:c>
      <x:c r="J693" t="str">
        <x:v>Numbered total bridged from the sourced reference-count checklist for this exact row scope. Two separately numbered 30-card XY Trainer Kit half-decks.</x:v>
      </x:c>
      <x:c r="K693" t="str">
        <x:v>en-07817e7127e4</x:v>
      </x:c>
      <x:c r="L693" t="str">
        <x:v>numbered_total</x:v>
      </x:c>
    </x:row>
    <x:row r="694">
      <x:c r="A694" t="str">
        <x:v>NUM-3dfb0c78f555</x:v>
      </x:c>
      <x:c r="B694" t="str">
        <x:v>2026-09-26-numbered-totals</x:v>
      </x:c>
      <x:c r="C694" t="str">
        <x:v>en</x:v>
      </x:c>
      <x:c r="D694" t="str">
        <x:v>XY Trainer Kit: Pikachu Libre &amp; Suicune</x:v>
      </x:c>
      <x:c r="E694" t="str">
        <x:v>Numbered total</x:v>
      </x:c>
      <x:c r="F694" t="n">
        <x:v>60</x:v>
      </x:c>
      <x:c r="G694" t="str">
        <x:v>reference_bridge_product_numbered_checklist</x:v>
      </x:c>
      <x:c r="H694" t="str">
        <x:v>https://bulbapedia.bulbagarden.net/wiki/XY_Trainer_Kit_(TCG)</x:v>
      </x:c>
      <x:c r="I694" t="str">
        <x:v>en; unique numbered-card/checklist identities for this row scope</x:v>
      </x:c>
      <x:c r="J694" t="str">
        <x:v>Numbered total bridged from the sourced reference-count checklist for this exact row scope. Two separately numbered 30-card XY Trainer Kit half-decks.</x:v>
      </x:c>
      <x:c r="K694" t="str">
        <x:v>en-302071e0cf37</x:v>
      </x:c>
      <x:c r="L694" t="str">
        <x:v>numbered_total</x:v>
      </x:c>
    </x:row>
    <x:row r="695">
      <x:c r="A695" t="str">
        <x:v>NUM-ac5648404c50</x:v>
      </x:c>
      <x:c r="B695" t="str">
        <x:v>2026-09-26-numbered-totals</x:v>
      </x:c>
      <x:c r="C695" t="str">
        <x:v>en</x:v>
      </x:c>
      <x:c r="D695" t="str">
        <x:v>XY Trainer Kit: Sylveon &amp; Noivern</x:v>
      </x:c>
      <x:c r="E695" t="str">
        <x:v>Numbered total</x:v>
      </x:c>
      <x:c r="F695" t="n">
        <x:v>60</x:v>
      </x:c>
      <x:c r="G695" t="str">
        <x:v>reference_bridge_product_numbered_checklist</x:v>
      </x:c>
      <x:c r="H695" t="str">
        <x:v>https://bulbapedia.bulbagarden.net/wiki/XY_Trainer_Kit_(TCG)</x:v>
      </x:c>
      <x:c r="I695" t="str">
        <x:v>en; unique numbered-card/checklist identities for this row scope</x:v>
      </x:c>
      <x:c r="J695" t="str">
        <x:v>Numbered total bridged from the sourced reference-count checklist for this exact row scope. Two separately numbered 30-card XY Trainer Kit half-decks.</x:v>
      </x:c>
      <x:c r="K695" t="str">
        <x:v>en-6acc5b28480e</x:v>
      </x:c>
      <x:c r="L695" t="str">
        <x:v>numbered_total</x:v>
      </x:c>
    </x:row>
    <x:row r="696">
      <x:c r="A696" t="str">
        <x:v>NUM-a9c8b0ec5f2f</x:v>
      </x:c>
      <x:c r="B696" t="str">
        <x:v>2026-09-26-numbered-totals</x:v>
      </x:c>
      <x:c r="C696" t="str">
        <x:v>ja</x:v>
      </x:c>
      <x:c r="D696" t="str">
        <x:v>Expansion Pack</x:v>
      </x:c>
      <x:c r="E696" t="str">
        <x:v>Numbered total</x:v>
      </x:c>
      <x:c r="F696" t="n">
        <x:v>102</x:v>
      </x:c>
      <x:c r="G696" t="str">
        <x:v>reconciled_components</x:v>
      </x:c>
      <x:c r="H696" t="str">
        <x:v>https://bulbapedia.bulbagarden.net/wiki/List_of_Japanese_TCG_Expansions</x:v>
      </x:c>
      <x:c r="I696" t="str">
        <x:v>ja; unique numbered-card/checklist identities for this row scope</x:v>
      </x:c>
      <x:c r="J696" t="str">
        <x:v>Numbered total equals the reconciled printed denominator + beyond-denominator identities + separately listed subset identities.</x:v>
      </x:c>
      <x:c r="K696" t="str">
        <x:v>ja-d722650df667</x:v>
      </x:c>
      <x:c r="L696" t="str">
        <x:v>numbered_total</x:v>
      </x:c>
    </x:row>
    <x:row r="697">
      <x:c r="A697" t="str">
        <x:v>NUM-3e6578e391ea</x:v>
      </x:c>
      <x:c r="B697" t="str">
        <x:v>2026-09-26-numbered-totals</x:v>
      </x:c>
      <x:c r="C697" t="str">
        <x:v>ja</x:v>
      </x:c>
      <x:c r="D697" t="str">
        <x:v>Pokémon Jungle</x:v>
      </x:c>
      <x:c r="E697" t="str">
        <x:v>Numbered total</x:v>
      </x:c>
      <x:c r="F697" t="n">
        <x:v>48</x:v>
      </x:c>
      <x:c r="G697" t="str">
        <x:v>reconciled_components</x:v>
      </x:c>
      <x:c r="H697" t="str">
        <x:v>https://bulbapedia.bulbagarden.net/wiki/List_of_Japanese_TCG_Expansions</x:v>
      </x:c>
      <x:c r="I697" t="str">
        <x:v>ja; unique numbered-card/checklist identities for this row scope</x:v>
      </x:c>
      <x:c r="J697" t="str">
        <x:v>Numbered total equals the reconciled printed denominator + beyond-denominator identities + separately listed subset identities.</x:v>
      </x:c>
      <x:c r="K697" t="str">
        <x:v>ja-e7895419dae9</x:v>
      </x:c>
      <x:c r="L697" t="str">
        <x:v>numbered_total</x:v>
      </x:c>
    </x:row>
    <x:row r="698">
      <x:c r="A698" t="str">
        <x:v>NUM-16542b38e72c</x:v>
      </x:c>
      <x:c r="B698" t="str">
        <x:v>2026-09-26-numbered-totals</x:v>
      </x:c>
      <x:c r="C698" t="str">
        <x:v>ja</x:v>
      </x:c>
      <x:c r="D698" t="str">
        <x:v>Mystery of the Fossils</x:v>
      </x:c>
      <x:c r="E698" t="str">
        <x:v>Numbered total</x:v>
      </x:c>
      <x:c r="F698" t="n">
        <x:v>48</x:v>
      </x:c>
      <x:c r="G698" t="str">
        <x:v>reconciled_components</x:v>
      </x:c>
      <x:c r="H698" t="str">
        <x:v>https://bulbapedia.bulbagarden.net/wiki/List_of_Japanese_TCG_Expansions</x:v>
      </x:c>
      <x:c r="I698" t="str">
        <x:v>ja; unique numbered-card/checklist identities for this row scope</x:v>
      </x:c>
      <x:c r="J698" t="str">
        <x:v>Numbered total equals the reconciled printed denominator + beyond-denominator identities + separately listed subset identities.</x:v>
      </x:c>
      <x:c r="K698" t="str">
        <x:v>ja-96cbc157b1b7</x:v>
      </x:c>
      <x:c r="L698" t="str">
        <x:v>numbered_total</x:v>
      </x:c>
    </x:row>
    <x:row r="699">
      <x:c r="A699" t="str">
        <x:v>NUM-514d78a08520</x:v>
      </x:c>
      <x:c r="B699" t="str">
        <x:v>2026-09-26-numbered-totals</x:v>
      </x:c>
      <x:c r="C699" t="str">
        <x:v>ja</x:v>
      </x:c>
      <x:c r="D699" t="str">
        <x:v>Rocket Gang</x:v>
      </x:c>
      <x:c r="E699" t="str">
        <x:v>Numbered total</x:v>
      </x:c>
      <x:c r="F699" t="n">
        <x:v>65</x:v>
      </x:c>
      <x:c r="G699" t="str">
        <x:v>reconciled_components</x:v>
      </x:c>
      <x:c r="H699" t="str">
        <x:v>https://bulbapedia.bulbagarden.net/wiki/List_of_Japanese_TCG_Expansions</x:v>
      </x:c>
      <x:c r="I699" t="str">
        <x:v>ja; unique numbered-card/checklist identities for this row scope</x:v>
      </x:c>
      <x:c r="J699" t="str">
        <x:v>Numbered total equals the reconciled printed denominator + beyond-denominator identities + separately listed subset identities.</x:v>
      </x:c>
      <x:c r="K699" t="str">
        <x:v>ja-f556d02e1e51</x:v>
      </x:c>
      <x:c r="L699" t="str">
        <x:v>numbered_total</x:v>
      </x:c>
    </x:row>
    <x:row r="700">
      <x:c r="A700" t="str">
        <x:v>NUM-aee1fcf90a57</x:v>
      </x:c>
      <x:c r="B700" t="str">
        <x:v>2026-09-26-numbered-totals</x:v>
      </x:c>
      <x:c r="C700" t="str">
        <x:v>ja</x:v>
      </x:c>
      <x:c r="D700" t="str">
        <x:v>Expansion Sheet: Vending Series 1 (Blue)</x:v>
      </x:c>
      <x:c r="E700" t="str">
        <x:v>Numbered total</x:v>
      </x:c>
      <x:c r="F700" t="n">
        <x:v>36</x:v>
      </x:c>
      <x:c r="G700" t="str">
        <x:v>reconciled_components</x:v>
      </x:c>
      <x:c r="H700" t="str">
        <x:v>https://bulbapedia.bulbagarden.net/wiki/List_of_Japanese_TCG_Expansions</x:v>
      </x:c>
      <x:c r="I700" t="str">
        <x:v>ja; unique numbered-card/checklist identities for this row scope</x:v>
      </x:c>
      <x:c r="J700" t="str">
        <x:v>Numbered total equals the reconciled printed denominator + beyond-denominator identities + separately listed subset identities.</x:v>
      </x:c>
      <x:c r="K700" t="str">
        <x:v>ja-67f6283ec86c</x:v>
      </x:c>
      <x:c r="L700" t="str">
        <x:v>numbered_total</x:v>
      </x:c>
    </x:row>
    <x:row r="701">
      <x:c r="A701" t="str">
        <x:v>NUM-d0b437da4474</x:v>
      </x:c>
      <x:c r="B701" t="str">
        <x:v>2026-09-26-numbered-totals</x:v>
      </x:c>
      <x:c r="C701" t="str">
        <x:v>ja</x:v>
      </x:c>
      <x:c r="D701" t="str">
        <x:v>Expansion Sheet: Vending Series 2 (Red)</x:v>
      </x:c>
      <x:c r="E701" t="str">
        <x:v>Numbered total</x:v>
      </x:c>
      <x:c r="F701" t="n">
        <x:v>36</x:v>
      </x:c>
      <x:c r="G701" t="str">
        <x:v>reconciled_components</x:v>
      </x:c>
      <x:c r="H701" t="str">
        <x:v>https://bulbapedia.bulbagarden.net/wiki/List_of_Japanese_TCG_Expansions</x:v>
      </x:c>
      <x:c r="I701" t="str">
        <x:v>ja; unique numbered-card/checklist identities for this row scope</x:v>
      </x:c>
      <x:c r="J701" t="str">
        <x:v>Numbered total equals the reconciled printed denominator + beyond-denominator identities + separately listed subset identities.</x:v>
      </x:c>
      <x:c r="K701" t="str">
        <x:v>ja-9bd76242f73f</x:v>
      </x:c>
      <x:c r="L701" t="str">
        <x:v>numbered_total</x:v>
      </x:c>
    </x:row>
    <x:row r="702">
      <x:c r="A702" t="str">
        <x:v>NUM-e990e2de7761</x:v>
      </x:c>
      <x:c r="B702" t="str">
        <x:v>2026-09-26-numbered-totals</x:v>
      </x:c>
      <x:c r="C702" t="str">
        <x:v>ja</x:v>
      </x:c>
      <x:c r="D702" t="str">
        <x:v>Leaders' Stadium</x:v>
      </x:c>
      <x:c r="E702" t="str">
        <x:v>Numbered total</x:v>
      </x:c>
      <x:c r="F702" t="n">
        <x:v>96</x:v>
      </x:c>
      <x:c r="G702" t="str">
        <x:v>reconciled_components</x:v>
      </x:c>
      <x:c r="H702" t="str">
        <x:v>https://bulbapedia.bulbagarden.net/wiki/List_of_Japanese_TCG_Expansions</x:v>
      </x:c>
      <x:c r="I702" t="str">
        <x:v>ja; unique numbered-card/checklist identities for this row scope</x:v>
      </x:c>
      <x:c r="J702" t="str">
        <x:v>Numbered total equals the reconciled printed denominator + beyond-denominator identities + separately listed subset identities.</x:v>
      </x:c>
      <x:c r="K702" t="str">
        <x:v>ja-f18120dbfa37</x:v>
      </x:c>
      <x:c r="L702" t="str">
        <x:v>numbered_total</x:v>
      </x:c>
    </x:row>
    <x:row r="703">
      <x:c r="A703" t="str">
        <x:v>NUM-fe6af4fca75e</x:v>
      </x:c>
      <x:c r="B703" t="str">
        <x:v>2026-09-26-numbered-totals</x:v>
      </x:c>
      <x:c r="C703" t="str">
        <x:v>ja</x:v>
      </x:c>
      <x:c r="D703" t="str">
        <x:v>Expansion Sheet: Vending Series 3 (Green)</x:v>
      </x:c>
      <x:c r="E703" t="str">
        <x:v>Numbered total</x:v>
      </x:c>
      <x:c r="F703" t="n">
        <x:v>36</x:v>
      </x:c>
      <x:c r="G703" t="str">
        <x:v>reconciled_components</x:v>
      </x:c>
      <x:c r="H703" t="str">
        <x:v>https://bulbapedia.bulbagarden.net/wiki/List_of_Japanese_TCG_Expansions</x:v>
      </x:c>
      <x:c r="I703" t="str">
        <x:v>ja; unique numbered-card/checklist identities for this row scope</x:v>
      </x:c>
      <x:c r="J703" t="str">
        <x:v>Numbered total equals the reconciled printed denominator + beyond-denominator identities + separately listed subset identities.</x:v>
      </x:c>
      <x:c r="K703" t="str">
        <x:v>ja-5bdb5008be38</x:v>
      </x:c>
      <x:c r="L703" t="str">
        <x:v>numbered_total</x:v>
      </x:c>
    </x:row>
    <x:row r="704">
      <x:c r="A704" t="str">
        <x:v>NUM-e1386b836c48</x:v>
      </x:c>
      <x:c r="B704" t="str">
        <x:v>2026-09-26-numbered-totals</x:v>
      </x:c>
      <x:c r="C704" t="str">
        <x:v>ja</x:v>
      </x:c>
      <x:c r="D704" t="str">
        <x:v>Challenge from the Darkness</x:v>
      </x:c>
      <x:c r="E704" t="str">
        <x:v>Numbered total</x:v>
      </x:c>
      <x:c r="F704" t="n">
        <x:v>98</x:v>
      </x:c>
      <x:c r="G704" t="str">
        <x:v>reconciled_components</x:v>
      </x:c>
      <x:c r="H704" t="str">
        <x:v>https://bulbapedia.bulbagarden.net/wiki/List_of_Japanese_TCG_Expansions</x:v>
      </x:c>
      <x:c r="I704" t="str">
        <x:v>ja; unique numbered-card/checklist identities for this row scope</x:v>
      </x:c>
      <x:c r="J704" t="str">
        <x:v>Numbered total equals the reconciled printed denominator + beyond-denominator identities + separately listed subset identities.</x:v>
      </x:c>
      <x:c r="K704" t="str">
        <x:v>ja-f204abc8bf9b</x:v>
      </x:c>
      <x:c r="L704" t="str">
        <x:v>numbered_total</x:v>
      </x:c>
    </x:row>
    <x:row r="705">
      <x:c r="A705" t="str">
        <x:v>NUM-9f46d7122e4b</x:v>
      </x:c>
      <x:c r="B705" t="str">
        <x:v>2026-09-26-numbered-totals</x:v>
      </x:c>
      <x:c r="C705" t="str">
        <x:v>ja</x:v>
      </x:c>
      <x:c r="D705" t="str">
        <x:v>Southern Islands</x:v>
      </x:c>
      <x:c r="E705" t="str">
        <x:v>Numbered total</x:v>
      </x:c>
      <x:c r="F705" t="n">
        <x:v>18</x:v>
      </x:c>
      <x:c r="G705" t="str">
        <x:v>reconciled_components</x:v>
      </x:c>
      <x:c r="H705" t="str">
        <x:v>https://bulbapedia.bulbagarden.net/wiki/List_of_Japanese_TCG_Expansions</x:v>
      </x:c>
      <x:c r="I705" t="str">
        <x:v>ja; unique numbered-card/checklist identities for this row scope</x:v>
      </x:c>
      <x:c r="J705" t="str">
        <x:v>Numbered total equals the reconciled printed denominator + beyond-denominator identities + separately listed subset identities.</x:v>
      </x:c>
      <x:c r="K705" t="str">
        <x:v>ja-c8ebd015e6c7</x:v>
      </x:c>
      <x:c r="L705" t="str">
        <x:v>numbered_total</x:v>
      </x:c>
    </x:row>
    <x:row r="706">
      <x:c r="A706" t="str">
        <x:v>NUM-49da50118a45</x:v>
      </x:c>
      <x:c r="B706" t="str">
        <x:v>2026-09-26-numbered-totals</x:v>
      </x:c>
      <x:c r="C706" t="str">
        <x:v>ja</x:v>
      </x:c>
      <x:c r="D706" t="str">
        <x:v>Gold, Silver, to a New World...</x:v>
      </x:c>
      <x:c r="E706" t="str">
        <x:v>Numbered total</x:v>
      </x:c>
      <x:c r="F706" t="n">
        <x:v>96</x:v>
      </x:c>
      <x:c r="G706" t="str">
        <x:v>reconciled_components</x:v>
      </x:c>
      <x:c r="H706" t="str">
        <x:v>https://bulbapedia.bulbagarden.net/wiki/List_of_Japanese_TCG_Expansions</x:v>
      </x:c>
      <x:c r="I706" t="str">
        <x:v>ja; unique numbered-card/checklist identities for this row scope</x:v>
      </x:c>
      <x:c r="J706" t="str">
        <x:v>Numbered total equals the reconciled printed denominator + beyond-denominator identities + separately listed subset identities.</x:v>
      </x:c>
      <x:c r="K706" t="str">
        <x:v>ja-a532d3dde077</x:v>
      </x:c>
      <x:c r="L706" t="str">
        <x:v>numbered_total</x:v>
      </x:c>
    </x:row>
    <x:row r="707">
      <x:c r="A707" t="str">
        <x:v>NUM-1a5b509c501c</x:v>
      </x:c>
      <x:c r="B707" t="str">
        <x:v>2026-09-26-numbered-totals</x:v>
      </x:c>
      <x:c r="C707" t="str">
        <x:v>ja</x:v>
      </x:c>
      <x:c r="D707" t="str">
        <x:v>Crossing the Ruins...</x:v>
      </x:c>
      <x:c r="E707" t="str">
        <x:v>Numbered total</x:v>
      </x:c>
      <x:c r="F707" t="n">
        <x:v>56</x:v>
      </x:c>
      <x:c r="G707" t="str">
        <x:v>reconciled_components</x:v>
      </x:c>
      <x:c r="H707" t="str">
        <x:v>https://bulbapedia.bulbagarden.net/wiki/List_of_Japanese_TCG_Expansions</x:v>
      </x:c>
      <x:c r="I707" t="str">
        <x:v>ja; unique numbered-card/checklist identities for this row scope</x:v>
      </x:c>
      <x:c r="J707" t="str">
        <x:v>Numbered total equals the reconciled printed denominator + beyond-denominator identities + separately listed subset identities.</x:v>
      </x:c>
      <x:c r="K707" t="str">
        <x:v>ja-4c0b4b1b444a</x:v>
      </x:c>
      <x:c r="L707" t="str">
        <x:v>numbered_total</x:v>
      </x:c>
    </x:row>
    <x:row r="708">
      <x:c r="A708" t="str">
        <x:v>NUM-7220df7a14b9</x:v>
      </x:c>
      <x:c r="B708" t="str">
        <x:v>2026-09-26-numbered-totals</x:v>
      </x:c>
      <x:c r="C708" t="str">
        <x:v>ja</x:v>
      </x:c>
      <x:c r="D708" t="str">
        <x:v>Awakening Legends</x:v>
      </x:c>
      <x:c r="E708" t="str">
        <x:v>Numbered total</x:v>
      </x:c>
      <x:c r="F708" t="n">
        <x:v>57</x:v>
      </x:c>
      <x:c r="G708" t="str">
        <x:v>reconciled_components</x:v>
      </x:c>
      <x:c r="H708" t="str">
        <x:v>https://bulbapedia.bulbagarden.net/wiki/List_of_Japanese_TCG_Expansions</x:v>
      </x:c>
      <x:c r="I708" t="str">
        <x:v>ja; unique numbered-card/checklist identities for this row scope</x:v>
      </x:c>
      <x:c r="J708" t="str">
        <x:v>Numbered total equals the reconciled printed denominator + beyond-denominator identities + separately listed subset identities.</x:v>
      </x:c>
      <x:c r="K708" t="str">
        <x:v>ja-14ecd336f6c4</x:v>
      </x:c>
      <x:c r="L708" t="str">
        <x:v>numbered_total</x:v>
      </x:c>
    </x:row>
    <x:row r="709">
      <x:c r="A709" t="str">
        <x:v>NUM-7ea36d7ff15b</x:v>
      </x:c>
      <x:c r="B709" t="str">
        <x:v>2026-09-26-numbered-totals</x:v>
      </x:c>
      <x:c r="C709" t="str">
        <x:v>ja</x:v>
      </x:c>
      <x:c r="D709" t="str">
        <x:v>Darkness, and to Light...</x:v>
      </x:c>
      <x:c r="E709" t="str">
        <x:v>Numbered total</x:v>
      </x:c>
      <x:c r="F709" t="n">
        <x:v>113</x:v>
      </x:c>
      <x:c r="G709" t="str">
        <x:v>reconciled_components</x:v>
      </x:c>
      <x:c r="H709" t="str">
        <x:v>https://bulbapedia.bulbagarden.net/wiki/List_of_Japanese_TCG_Expansions</x:v>
      </x:c>
      <x:c r="I709" t="str">
        <x:v>ja; unique numbered-card/checklist identities for this row scope</x:v>
      </x:c>
      <x:c r="J709" t="str">
        <x:v>Numbered total equals the reconciled printed denominator + beyond-denominator identities + separately listed subset identities.</x:v>
      </x:c>
      <x:c r="K709" t="str">
        <x:v>ja-1ab5b2841927</x:v>
      </x:c>
      <x:c r="L709" t="str">
        <x:v>numbered_total</x:v>
      </x:c>
    </x:row>
    <x:row r="710">
      <x:c r="A710" t="str">
        <x:v>NUM-b7571c405ddf</x:v>
      </x:c>
      <x:c r="B710" t="str">
        <x:v>2026-09-26-numbered-totals</x:v>
      </x:c>
      <x:c r="C710" t="str">
        <x:v>ja</x:v>
      </x:c>
      <x:c r="D710" t="str">
        <x:v>P Promotional cards</x:v>
      </x:c>
      <x:c r="E710" t="str">
        <x:v>Numbered total</x:v>
      </x:c>
      <x:c r="F710" t="n">
        <x:v>47</x:v>
      </x:c>
      <x:c r="G710" t="str">
        <x:v>reconciled_components</x:v>
      </x:c>
      <x:c r="H710" t="str">
        <x:v>https://bulbapedia.bulbagarden.net/wiki/P_Promotional_cards_%28TCG%29</x:v>
      </x:c>
      <x:c r="I710" t="str">
        <x:v>ja; unique numbered-card/checklist identities for this row scope</x:v>
      </x:c>
      <x:c r="J710" t="str">
        <x:v>Numbered total equals the reconciled printed denominator + beyond-denominator identities + separately listed subset identities.</x:v>
      </x:c>
      <x:c r="K710" t="str">
        <x:v>ja-694d6a421da5</x:v>
      </x:c>
      <x:c r="L710" t="str">
        <x:v>numbered_total</x:v>
      </x:c>
    </x:row>
    <x:row r="711">
      <x:c r="A711" t="str">
        <x:v>NUM-1d472ea89bac</x:v>
      </x:c>
      <x:c r="B711" t="str">
        <x:v>2026-09-26-numbered-totals</x:v>
      </x:c>
      <x:c r="C711" t="str">
        <x:v>ja</x:v>
      </x:c>
      <x:c r="D711" t="str">
        <x:v>Pokémon Card★VS</x:v>
      </x:c>
      <x:c r="E711" t="str">
        <x:v>Numbered total</x:v>
      </x:c>
      <x:c r="F711" t="n">
        <x:v>142</x:v>
      </x:c>
      <x:c r="G711" t="str">
        <x:v>reconciled_components</x:v>
      </x:c>
      <x:c r="H711" t="str">
        <x:v>https://bulbapedia.bulbagarden.net/wiki/List_of_Japanese_TCG_Expansions</x:v>
      </x:c>
      <x:c r="I711" t="str">
        <x:v>ja; unique numbered-card/checklist identities for this row scope</x:v>
      </x:c>
      <x:c r="J711" t="str">
        <x:v>Numbered total equals the reconciled printed denominator + beyond-denominator identities + separately listed subset identities.</x:v>
      </x:c>
      <x:c r="K711" t="str">
        <x:v>ja-6e4fae6e522b</x:v>
      </x:c>
      <x:c r="L711" t="str">
        <x:v>numbered_total</x:v>
      </x:c>
    </x:row>
    <x:row r="712">
      <x:c r="A712" t="str">
        <x:v>NUM-b422ec99cef9</x:v>
      </x:c>
      <x:c r="B712" t="str">
        <x:v>2026-09-26-numbered-totals</x:v>
      </x:c>
      <x:c r="C712" t="str">
        <x:v>ja</x:v>
      </x:c>
      <x:c r="D712" t="str">
        <x:v>J Promotional cards</x:v>
      </x:c>
      <x:c r="E712" t="str">
        <x:v>Numbered total</x:v>
      </x:c>
      <x:c r="F712" t="n">
        <x:v>2</x:v>
      </x:c>
      <x:c r="G712" t="str">
        <x:v>reconciled_components</x:v>
      </x:c>
      <x:c r="H712" t="str">
        <x:v>https://bulbapedia.bulbagarden.net/wiki/Category%3AJapanese_promotional_cards</x:v>
      </x:c>
      <x:c r="I712" t="str">
        <x:v>ja; unique numbered-card/checklist identities for this row scope</x:v>
      </x:c>
      <x:c r="J712" t="str">
        <x:v>Numbered total equals the reconciled printed denominator + beyond-denominator identities + separately listed subset identities.</x:v>
      </x:c>
      <x:c r="K712" t="str">
        <x:v>ja-ddb55a1b97e2</x:v>
      </x:c>
      <x:c r="L712" t="str">
        <x:v>numbered_total</x:v>
      </x:c>
    </x:row>
    <x:row r="713">
      <x:c r="A713" t="str">
        <x:v>NUM-0be061e2c94b</x:v>
      </x:c>
      <x:c r="B713" t="str">
        <x:v>2026-09-26-numbered-totals</x:v>
      </x:c>
      <x:c r="C713" t="str">
        <x:v>ja</x:v>
      </x:c>
      <x:c r="D713" t="str">
        <x:v>Pokémon Card★web</x:v>
      </x:c>
      <x:c r="E713" t="str">
        <x:v>Numbered total</x:v>
      </x:c>
      <x:c r="F713" t="n">
        <x:v>48</x:v>
      </x:c>
      <x:c r="G713" t="str">
        <x:v>reconciled_components</x:v>
      </x:c>
      <x:c r="H713" t="str">
        <x:v>https://bulbapedia.bulbagarden.net/wiki/List_of_Japanese_TCG_Expansions</x:v>
      </x:c>
      <x:c r="I713" t="str">
        <x:v>ja; unique numbered-card/checklist identities for this row scope</x:v>
      </x:c>
      <x:c r="J713" t="str">
        <x:v>Numbered total equals the reconciled printed denominator + beyond-denominator identities + separately listed subset identities.</x:v>
      </x:c>
      <x:c r="K713" t="str">
        <x:v>ja-bd87aa858368</x:v>
      </x:c>
      <x:c r="L713" t="str">
        <x:v>numbered_total</x:v>
      </x:c>
    </x:row>
    <x:row r="714">
      <x:c r="A714" t="str">
        <x:v>NUM-56d5fda71f50</x:v>
      </x:c>
      <x:c r="B714" t="str">
        <x:v>2026-09-26-numbered-totals</x:v>
      </x:c>
      <x:c r="C714" t="str">
        <x:v>ja</x:v>
      </x:c>
      <x:c r="D714" t="str">
        <x:v>Base Expansion Pack</x:v>
      </x:c>
      <x:c r="E714" t="str">
        <x:v>Numbered total</x:v>
      </x:c>
      <x:c r="F714" t="n">
        <x:v>128</x:v>
      </x:c>
      <x:c r="G714" t="str">
        <x:v>reconciled_components</x:v>
      </x:c>
      <x:c r="H714" t="str">
        <x:v>https://bulbapedia.bulbagarden.net/wiki/List_of_Japanese_TCG_Expansions</x:v>
      </x:c>
      <x:c r="I714" t="str">
        <x:v>ja; unique numbered-card/checklist identities for this row scope</x:v>
      </x:c>
      <x:c r="J714" t="str">
        <x:v>Numbered total equals the reconciled printed denominator + beyond-denominator identities + separately listed subset identities.</x:v>
      </x:c>
      <x:c r="K714" t="str">
        <x:v>ja-19b0125d0ef2</x:v>
      </x:c>
      <x:c r="L714" t="str">
        <x:v>numbered_total</x:v>
      </x:c>
    </x:row>
    <x:row r="715">
      <x:c r="A715" t="str">
        <x:v>NUM-1e940bcb7f05</x:v>
      </x:c>
      <x:c r="B715" t="str">
        <x:v>2026-09-26-numbered-totals</x:v>
      </x:c>
      <x:c r="C715" t="str">
        <x:v>ja</x:v>
      </x:c>
      <x:c r="D715" t="str">
        <x:v>T Promotional cards</x:v>
      </x:c>
      <x:c r="E715" t="str">
        <x:v>Numbered total</x:v>
      </x:c>
      <x:c r="F715" t="n">
        <x:v>24</x:v>
      </x:c>
      <x:c r="G715" t="str">
        <x:v>reconciled_components</x:v>
      </x:c>
      <x:c r="H715" t="str">
        <x:v>https://bulbapedia.bulbagarden.net/wiki/Category%3AJapanese_promotional_cards</x:v>
      </x:c>
      <x:c r="I715" t="str">
        <x:v>ja; unique numbered-card/checklist identities for this row scope</x:v>
      </x:c>
      <x:c r="J715" t="str">
        <x:v>Numbered total equals the reconciled printed denominator + beyond-denominator identities + separately listed subset identities.</x:v>
      </x:c>
      <x:c r="K715" t="str">
        <x:v>ja-50f9d368a5bd</x:v>
      </x:c>
      <x:c r="L715" t="str">
        <x:v>numbered_total</x:v>
      </x:c>
    </x:row>
    <x:row r="716">
      <x:c r="A716" t="str">
        <x:v>NUM-93e261e636e2</x:v>
      </x:c>
      <x:c r="B716" t="str">
        <x:v>2026-09-26-numbered-totals</x:v>
      </x:c>
      <x:c r="C716" t="str">
        <x:v>ja</x:v>
      </x:c>
      <x:c r="D716" t="str">
        <x:v>McDonald's Original Minimum★Pack</x:v>
      </x:c>
      <x:c r="E716" t="str">
        <x:v>Numbered total</x:v>
      </x:c>
      <x:c r="F716" t="n">
        <x:v>30</x:v>
      </x:c>
      <x:c r="G716" t="str">
        <x:v>reconciled_components</x:v>
      </x:c>
      <x:c r="H716" t="str">
        <x:v>https://bulbapedia.bulbagarden.net/wiki/McDonald%27s_Pokemon-e_Minimum_Pack</x:v>
      </x:c>
      <x:c r="I716" t="str">
        <x:v>ja; unique numbered-card/checklist identities for this row scope</x:v>
      </x:c>
      <x:c r="J716" t="str">
        <x:v>Numbered total equals the reconciled printed denominator + beyond-denominator identities + separately listed subset identities.</x:v>
      </x:c>
      <x:c r="K716" t="str">
        <x:v>ja-91f917868d08</x:v>
      </x:c>
      <x:c r="L716" t="str">
        <x:v>numbered_total</x:v>
      </x:c>
    </x:row>
    <x:row r="717">
      <x:c r="A717" t="str">
        <x:v>NUM-8db2aab1a2ba</x:v>
      </x:c>
      <x:c r="B717" t="str">
        <x:v>2026-09-26-numbered-totals</x:v>
      </x:c>
      <x:c r="C717" t="str">
        <x:v>ja</x:v>
      </x:c>
      <x:c r="D717" t="str">
        <x:v>The Town on No Map</x:v>
      </x:c>
      <x:c r="E717" t="str">
        <x:v>Numbered total</x:v>
      </x:c>
      <x:c r="F717" t="n">
        <x:v>92</x:v>
      </x:c>
      <x:c r="G717" t="str">
        <x:v>reconciled_components</x:v>
      </x:c>
      <x:c r="H717" t="str">
        <x:v>https://bulbapedia.bulbagarden.net/wiki/List_of_Japanese_TCG_Expansions</x:v>
      </x:c>
      <x:c r="I717" t="str">
        <x:v>ja; unique numbered-card/checklist identities for this row scope</x:v>
      </x:c>
      <x:c r="J717" t="str">
        <x:v>Numbered total equals the reconciled printed denominator + beyond-denominator identities + separately listed subset identities.</x:v>
      </x:c>
      <x:c r="K717" t="str">
        <x:v>ja-1b38a138c59c</x:v>
      </x:c>
      <x:c r="L717" t="str">
        <x:v>numbered_total</x:v>
      </x:c>
    </x:row>
    <x:row r="718">
      <x:c r="A718" t="str">
        <x:v>NUM-3dbbffeb0206</x:v>
      </x:c>
      <x:c r="B718" t="str">
        <x:v>2026-09-26-numbered-totals</x:v>
      </x:c>
      <x:c r="C718" t="str">
        <x:v>ja</x:v>
      </x:c>
      <x:c r="D718" t="str">
        <x:v>Wind from the Sea</x:v>
      </x:c>
      <x:c r="E718" t="str">
        <x:v>Numbered total</x:v>
      </x:c>
      <x:c r="F718" t="n">
        <x:v>90</x:v>
      </x:c>
      <x:c r="G718" t="str">
        <x:v>reconciled_components</x:v>
      </x:c>
      <x:c r="H718" t="str">
        <x:v>https://bulbapedia.bulbagarden.net/wiki/List_of_Japanese_TCG_Expansions</x:v>
      </x:c>
      <x:c r="I718" t="str">
        <x:v>ja; unique numbered-card/checklist identities for this row scope</x:v>
      </x:c>
      <x:c r="J718" t="str">
        <x:v>Numbered total equals the reconciled printed denominator + beyond-denominator identities + separately listed subset identities.</x:v>
      </x:c>
      <x:c r="K718" t="str">
        <x:v>ja-61b293a47b88</x:v>
      </x:c>
      <x:c r="L718" t="str">
        <x:v>numbered_total</x:v>
      </x:c>
    </x:row>
    <x:row r="719">
      <x:c r="A719" t="str">
        <x:v>NUM-8dbfd1e4fdb6</x:v>
      </x:c>
      <x:c r="B719" t="str">
        <x:v>2026-09-26-numbered-totals</x:v>
      </x:c>
      <x:c r="C719" t="str">
        <x:v>ja</x:v>
      </x:c>
      <x:c r="D719" t="str">
        <x:v>Split Earth</x:v>
      </x:c>
      <x:c r="E719" t="str">
        <x:v>Numbered total</x:v>
      </x:c>
      <x:c r="F719" t="n">
        <x:v>91</x:v>
      </x:c>
      <x:c r="G719" t="str">
        <x:v>reconciled_components</x:v>
      </x:c>
      <x:c r="H719" t="str">
        <x:v>https://bulbapedia.bulbagarden.net/wiki/List_of_Japanese_TCG_Expansions</x:v>
      </x:c>
      <x:c r="I719" t="str">
        <x:v>ja; unique numbered-card/checklist identities for this row scope</x:v>
      </x:c>
      <x:c r="J719" t="str">
        <x:v>Numbered total equals the reconciled printed denominator + beyond-denominator identities + separately listed subset identities.</x:v>
      </x:c>
      <x:c r="K719" t="str">
        <x:v>ja-6a862845aa36</x:v>
      </x:c>
      <x:c r="L719" t="str">
        <x:v>numbered_total</x:v>
      </x:c>
    </x:row>
    <x:row r="720">
      <x:c r="A720" t="str">
        <x:v>NUM-5a200e0e907f</x:v>
      </x:c>
      <x:c r="B720" t="str">
        <x:v>2026-09-26-numbered-totals</x:v>
      </x:c>
      <x:c r="C720" t="str">
        <x:v>ja</x:v>
      </x:c>
      <x:c r="D720" t="str">
        <x:v>Mysterious Mountains</x:v>
      </x:c>
      <x:c r="E720" t="str">
        <x:v>Numbered total</x:v>
      </x:c>
      <x:c r="F720" t="n">
        <x:v>91</x:v>
      </x:c>
      <x:c r="G720" t="str">
        <x:v>reconciled_components</x:v>
      </x:c>
      <x:c r="H720" t="str">
        <x:v>https://bulbapedia.bulbagarden.net/wiki/List_of_Japanese_TCG_Expansions</x:v>
      </x:c>
      <x:c r="I720" t="str">
        <x:v>ja; unique numbered-card/checklist identities for this row scope</x:v>
      </x:c>
      <x:c r="J720" t="str">
        <x:v>Numbered total equals the reconciled printed denominator + beyond-denominator identities + separately listed subset identities.</x:v>
      </x:c>
      <x:c r="K720" t="str">
        <x:v>ja-e4c00d42f6bb</x:v>
      </x:c>
      <x:c r="L720" t="str">
        <x:v>numbered_total</x:v>
      </x:c>
    </x:row>
    <x:row r="721">
      <x:c r="A721" t="str">
        <x:v>NUM-87eed8402c0b</x:v>
      </x:c>
      <x:c r="B721" t="str">
        <x:v>2026-09-26-numbered-totals</x:v>
      </x:c>
      <x:c r="C721" t="str">
        <x:v>ja</x:v>
      </x:c>
      <x:c r="D721" t="str">
        <x:v>ADV-P Promotional cards</x:v>
      </x:c>
      <x:c r="E721" t="str">
        <x:v>Numbered total</x:v>
      </x:c>
      <x:c r="F721" t="n">
        <x:v>63</x:v>
      </x:c>
      <x:c r="G721" t="str">
        <x:v>reconciled_components</x:v>
      </x:c>
      <x:c r="H721" t="str">
        <x:v>https://bulbapedia.bulbagarden.net/wiki/ADV-P</x:v>
      </x:c>
      <x:c r="I721" t="str">
        <x:v>ja; unique numbered-card/checklist identities for this row scope</x:v>
      </x:c>
      <x:c r="J721" t="str">
        <x:v>Numbered total equals the reconciled printed denominator + beyond-denominator identities + separately listed subset identities.</x:v>
      </x:c>
      <x:c r="K721" t="str">
        <x:v>ja-41afcbcca321</x:v>
      </x:c>
      <x:c r="L721" t="str">
        <x:v>numbered_total</x:v>
      </x:c>
    </x:row>
    <x:row r="722">
      <x:c r="A722" t="str">
        <x:v>NUM-5c588cd27556</x:v>
      </x:c>
      <x:c r="B722" t="str">
        <x:v>2026-09-26-numbered-totals</x:v>
      </x:c>
      <x:c r="C722" t="str">
        <x:v>ja</x:v>
      </x:c>
      <x:c r="D722" t="str">
        <x:v>PLAY Promotional cards</x:v>
      </x:c>
      <x:c r="E722" t="str">
        <x:v>Numbered total</x:v>
      </x:c>
      <x:c r="F722" t="n">
        <x:v>32</x:v>
      </x:c>
      <x:c r="G722" t="str">
        <x:v>reconciled_components</x:v>
      </x:c>
      <x:c r="H722" t="str">
        <x:v>https://bulbapedia.bulbagarden.net/wiki/Category%3AJapanese_promotional_cards</x:v>
      </x:c>
      <x:c r="I722" t="str">
        <x:v>ja; unique numbered-card/checklist identities for this row scope</x:v>
      </x:c>
      <x:c r="J722" t="str">
        <x:v>Numbered total equals the reconciled printed denominator + beyond-denominator identities + separately listed subset identities.</x:v>
      </x:c>
      <x:c r="K722" t="str">
        <x:v>ja-d25bf55a9cb2</x:v>
      </x:c>
      <x:c r="L722" t="str">
        <x:v>numbered_total</x:v>
      </x:c>
    </x:row>
    <x:row r="723">
      <x:c r="A723" t="str">
        <x:v>NUM-a46b83be353e</x:v>
      </x:c>
      <x:c r="B723" t="str">
        <x:v>2026-09-26-numbered-totals</x:v>
      </x:c>
      <x:c r="C723" t="str">
        <x:v>ja</x:v>
      </x:c>
      <x:c r="D723" t="str">
        <x:v>ADV Expansion Pack</x:v>
      </x:c>
      <x:c r="E723" t="str">
        <x:v>Numbered total</x:v>
      </x:c>
      <x:c r="F723" t="n">
        <x:v>55</x:v>
      </x:c>
      <x:c r="G723" t="str">
        <x:v>reconciled_components</x:v>
      </x:c>
      <x:c r="H723" t="str">
        <x:v>https://bulbapedia.bulbagarden.net/wiki/List_of_Japanese_TCG_Expansions</x:v>
      </x:c>
      <x:c r="I723" t="str">
        <x:v>ja; unique numbered-card/checklist identities for this row scope</x:v>
      </x:c>
      <x:c r="J723" t="str">
        <x:v>Numbered total equals the reconciled printed denominator + beyond-denominator identities + separately listed subset identities.</x:v>
      </x:c>
      <x:c r="K723" t="str">
        <x:v>ja-d5664388d43a</x:v>
      </x:c>
      <x:c r="L723" t="str">
        <x:v>numbered_total</x:v>
      </x:c>
    </x:row>
    <x:row r="724">
      <x:c r="A724" t="str">
        <x:v>NUM-ba32d2b95f81</x:v>
      </x:c>
      <x:c r="B724" t="str">
        <x:v>2026-09-26-numbered-totals</x:v>
      </x:c>
      <x:c r="C724" t="str">
        <x:v>ja</x:v>
      </x:c>
      <x:c r="D724" t="str">
        <x:v>Miracle of the Desert</x:v>
      </x:c>
      <x:c r="E724" t="str">
        <x:v>Numbered total</x:v>
      </x:c>
      <x:c r="F724" t="n">
        <x:v>53</x:v>
      </x:c>
      <x:c r="G724" t="str">
        <x:v>reconciled_components</x:v>
      </x:c>
      <x:c r="H724" t="str">
        <x:v>https://bulbapedia.bulbagarden.net/wiki/List_of_Japanese_TCG_Expansions</x:v>
      </x:c>
      <x:c r="I724" t="str">
        <x:v>ja; unique numbered-card/checklist identities for this row scope</x:v>
      </x:c>
      <x:c r="J724" t="str">
        <x:v>Numbered total equals the reconciled printed denominator + beyond-denominator identities + separately listed subset identities.</x:v>
      </x:c>
      <x:c r="K724" t="str">
        <x:v>ja-b1f20b82870a</x:v>
      </x:c>
      <x:c r="L724" t="str">
        <x:v>numbered_total</x:v>
      </x:c>
    </x:row>
    <x:row r="725">
      <x:c r="A725" t="str">
        <x:v>NUM-65686446b146</x:v>
      </x:c>
      <x:c r="B725" t="str">
        <x:v>2026-09-26-numbered-totals</x:v>
      </x:c>
      <x:c r="C725" t="str">
        <x:v>ja</x:v>
      </x:c>
      <x:c r="D725" t="str">
        <x:v>Rulers of the Heavens</x:v>
      </x:c>
      <x:c r="E725" t="str">
        <x:v>Numbered total</x:v>
      </x:c>
      <x:c r="F725" t="n">
        <x:v>54</x:v>
      </x:c>
      <x:c r="G725" t="str">
        <x:v>reconciled_components</x:v>
      </x:c>
      <x:c r="H725" t="str">
        <x:v>https://bulbapedia.bulbagarden.net/wiki/List_of_Japanese_TCG_Expansions</x:v>
      </x:c>
      <x:c r="I725" t="str">
        <x:v>ja; unique numbered-card/checklist identities for this row scope</x:v>
      </x:c>
      <x:c r="J725" t="str">
        <x:v>Numbered total equals the reconciled printed denominator + beyond-denominator identities + separately listed subset identities.</x:v>
      </x:c>
      <x:c r="K725" t="str">
        <x:v>ja-65c3523196a0</x:v>
      </x:c>
      <x:c r="L725" t="str">
        <x:v>numbered_total</x:v>
      </x:c>
    </x:row>
    <x:row r="726">
      <x:c r="A726" t="str">
        <x:v>NUM-f0eb5ac33d0c</x:v>
      </x:c>
      <x:c r="B726" t="str">
        <x:v>2026-09-26-numbered-totals</x:v>
      </x:c>
      <x:c r="C726" t="str">
        <x:v>ja</x:v>
      </x:c>
      <x:c r="D726" t="str">
        <x:v>Magma VS Aqua: Two Ambitions</x:v>
      </x:c>
      <x:c r="E726" t="str">
        <x:v>Numbered total</x:v>
      </x:c>
      <x:c r="F726" t="n">
        <x:v>80</x:v>
      </x:c>
      <x:c r="G726" t="str">
        <x:v>reconciled_components</x:v>
      </x:c>
      <x:c r="H726" t="str">
        <x:v>https://bulbapedia.bulbagarden.net/wiki/List_of_Japanese_TCG_Expansions</x:v>
      </x:c>
      <x:c r="I726" t="str">
        <x:v>ja; unique numbered-card/checklist identities for this row scope</x:v>
      </x:c>
      <x:c r="J726" t="str">
        <x:v>Numbered total equals the reconciled printed denominator + beyond-denominator identities + separately listed subset identities.</x:v>
      </x:c>
      <x:c r="K726" t="str">
        <x:v>ja-ac97c5a93e93</x:v>
      </x:c>
      <x:c r="L726" t="str">
        <x:v>numbered_total</x:v>
      </x:c>
    </x:row>
    <x:row r="727">
      <x:c r="A727" t="str">
        <x:v>NUM-c61d97c205d5</x:v>
      </x:c>
      <x:c r="B727" t="str">
        <x:v>2026-09-26-numbered-totals</x:v>
      </x:c>
      <x:c r="C727" t="str">
        <x:v>ja</x:v>
      </x:c>
      <x:c r="D727" t="str">
        <x:v>Undone Seal</x:v>
      </x:c>
      <x:c r="E727" t="str">
        <x:v>Numbered total</x:v>
      </x:c>
      <x:c r="F727" t="n">
        <x:v>83</x:v>
      </x:c>
      <x:c r="G727" t="str">
        <x:v>reconciled_components</x:v>
      </x:c>
      <x:c r="H727" t="str">
        <x:v>https://bulbapedia.bulbagarden.net/wiki/List_of_Japanese_TCG_Expansions</x:v>
      </x:c>
      <x:c r="I727" t="str">
        <x:v>ja; unique numbered-card/checklist identities for this row scope</x:v>
      </x:c>
      <x:c r="J727" t="str">
        <x:v>Numbered total equals the reconciled printed denominator + beyond-denominator identities + separately listed subset identities.</x:v>
      </x:c>
      <x:c r="K727" t="str">
        <x:v>ja-c2fcd6909311</x:v>
      </x:c>
      <x:c r="L727" t="str">
        <x:v>numbered_total</x:v>
      </x:c>
    </x:row>
    <x:row r="728">
      <x:c r="A728" t="str">
        <x:v>NUM-65535cb1e26f</x:v>
      </x:c>
      <x:c r="B728" t="str">
        <x:v>2026-09-26-numbered-totals</x:v>
      </x:c>
      <x:c r="C728" t="str">
        <x:v>ja</x:v>
      </x:c>
      <x:c r="D728" t="str">
        <x:v>PCG-P Promotional cards</x:v>
      </x:c>
      <x:c r="E728" t="str">
        <x:v>Numbered total</x:v>
      </x:c>
      <x:c r="F728" t="n">
        <x:v>154</x:v>
      </x:c>
      <x:c r="G728" t="str">
        <x:v>reconciled_components</x:v>
      </x:c>
      <x:c r="H728" t="str">
        <x:v>https://bulbapedia.bulbagarden.net/wiki/Category%3AJapanese_promotional_cards</x:v>
      </x:c>
      <x:c r="I728" t="str">
        <x:v>ja; unique numbered-card/checklist identities for this row scope</x:v>
      </x:c>
      <x:c r="J728" t="str">
        <x:v>Numbered total equals the reconciled printed denominator + beyond-denominator identities + separately listed subset identities.</x:v>
      </x:c>
      <x:c r="K728" t="str">
        <x:v>ja-69e99c848c8f</x:v>
      </x:c>
      <x:c r="L728" t="str">
        <x:v>numbered_total</x:v>
      </x:c>
    </x:row>
    <x:row r="729">
      <x:c r="A729" t="str">
        <x:v>NUM-f63ddb788e68</x:v>
      </x:c>
      <x:c r="B729" t="str">
        <x:v>2026-09-26-numbered-totals</x:v>
      </x:c>
      <x:c r="C729" t="str">
        <x:v>ja</x:v>
      </x:c>
      <x:c r="D729" t="str">
        <x:v>Flight of Legends</x:v>
      </x:c>
      <x:c r="E729" t="str">
        <x:v>Numbered total</x:v>
      </x:c>
      <x:c r="F729" t="n">
        <x:v>82</x:v>
      </x:c>
      <x:c r="G729" t="str">
        <x:v>reconciled_components</x:v>
      </x:c>
      <x:c r="H729" t="str">
        <x:v>https://bulbapedia.bulbagarden.net/wiki/List_of_Japanese_TCG_Expansions</x:v>
      </x:c>
      <x:c r="I729" t="str">
        <x:v>ja; unique numbered-card/checklist identities for this row scope</x:v>
      </x:c>
      <x:c r="J729" t="str">
        <x:v>Numbered total equals the reconciled printed denominator + beyond-denominator identities + separately listed subset identities.</x:v>
      </x:c>
      <x:c r="K729" t="str">
        <x:v>ja-f4ad1a5de8de</x:v>
      </x:c>
      <x:c r="L729" t="str">
        <x:v>numbered_total</x:v>
      </x:c>
    </x:row>
    <x:row r="730">
      <x:c r="A730" t="str">
        <x:v>NUM-f73b33c985b3</x:v>
      </x:c>
      <x:c r="B730" t="str">
        <x:v>2026-09-26-numbered-totals</x:v>
      </x:c>
      <x:c r="C730" t="str">
        <x:v>ja</x:v>
      </x:c>
      <x:c r="D730" t="str">
        <x:v>Clash of the Blue Sky</x:v>
      </x:c>
      <x:c r="E730" t="str">
        <x:v>Numbered total</x:v>
      </x:c>
      <x:c r="F730" t="n">
        <x:v>82</x:v>
      </x:c>
      <x:c r="G730" t="str">
        <x:v>reconciled_components</x:v>
      </x:c>
      <x:c r="H730" t="str">
        <x:v>https://bulbapedia.bulbagarden.net/wiki/List_of_Japanese_TCG_Expansions</x:v>
      </x:c>
      <x:c r="I730" t="str">
        <x:v>ja; unique numbered-card/checklist identities for this row scope</x:v>
      </x:c>
      <x:c r="J730" t="str">
        <x:v>Numbered total equals the reconciled printed denominator + beyond-denominator identities + separately listed subset identities.</x:v>
      </x:c>
      <x:c r="K730" t="str">
        <x:v>ja-fbdbd21d3497</x:v>
      </x:c>
      <x:c r="L730" t="str">
        <x:v>numbered_total</x:v>
      </x:c>
    </x:row>
    <x:row r="731">
      <x:c r="A731" t="str">
        <x:v>NUM-4dd760fd4465</x:v>
      </x:c>
      <x:c r="B731" t="str">
        <x:v>2026-09-26-numbered-totals</x:v>
      </x:c>
      <x:c r="C731" t="str">
        <x:v>ja</x:v>
      </x:c>
      <x:c r="D731" t="str">
        <x:v>Rocket Gang Strikes Back</x:v>
      </x:c>
      <x:c r="E731" t="str">
        <x:v>Numbered total</x:v>
      </x:c>
      <x:c r="F731" t="n">
        <x:v>85</x:v>
      </x:c>
      <x:c r="G731" t="str">
        <x:v>reconciled_components</x:v>
      </x:c>
      <x:c r="H731" t="str">
        <x:v>https://bulbapedia.bulbagarden.net/wiki/List_of_Japanese_TCG_Expansions</x:v>
      </x:c>
      <x:c r="I731" t="str">
        <x:v>ja; unique numbered-card/checklist identities for this row scope</x:v>
      </x:c>
      <x:c r="J731" t="str">
        <x:v>Numbered total equals the reconciled printed denominator + beyond-denominator identities + separately listed subset identities.</x:v>
      </x:c>
      <x:c r="K731" t="str">
        <x:v>ja-ad3e200bd99c</x:v>
      </x:c>
      <x:c r="L731" t="str">
        <x:v>numbered_total</x:v>
      </x:c>
    </x:row>
    <x:row r="732">
      <x:c r="A732" t="str">
        <x:v>NUM-51885ebbb131</x:v>
      </x:c>
      <x:c r="B732" t="str">
        <x:v>2026-09-26-numbered-totals</x:v>
      </x:c>
      <x:c r="C732" t="str">
        <x:v>ja</x:v>
      </x:c>
      <x:c r="D732" t="str">
        <x:v>Golden Sky, Silvery Ocean</x:v>
      </x:c>
      <x:c r="E732" t="str">
        <x:v>Numbered total</x:v>
      </x:c>
      <x:c r="F732" t="n">
        <x:v>106</x:v>
      </x:c>
      <x:c r="G732" t="str">
        <x:v>reconciled_components</x:v>
      </x:c>
      <x:c r="H732" t="str">
        <x:v>https://bulbapedia.bulbagarden.net/wiki/List_of_Japanese_TCG_Expansions</x:v>
      </x:c>
      <x:c r="I732" t="str">
        <x:v>ja; unique numbered-card/checklist identities for this row scope</x:v>
      </x:c>
      <x:c r="J732" t="str">
        <x:v>Numbered total equals the reconciled printed denominator + beyond-denominator identities + separately listed subset identities.</x:v>
      </x:c>
      <x:c r="K732" t="str">
        <x:v>ja-9dd6c248531c</x:v>
      </x:c>
      <x:c r="L732" t="str">
        <x:v>numbered_total</x:v>
      </x:c>
    </x:row>
    <x:row r="733">
      <x:c r="A733" t="str">
        <x:v>NUM-8507dfb211f3</x:v>
      </x:c>
      <x:c r="B733" t="str">
        <x:v>2026-09-26-numbered-totals</x:v>
      </x:c>
      <x:c r="C733" t="str">
        <x:v>ja</x:v>
      </x:c>
      <x:c r="D733" t="str">
        <x:v>Mirage Forest</x:v>
      </x:c>
      <x:c r="E733" t="str">
        <x:v>Numbered total</x:v>
      </x:c>
      <x:c r="F733" t="n">
        <x:v>86</x:v>
      </x:c>
      <x:c r="G733" t="str">
        <x:v>reconciled_components</x:v>
      </x:c>
      <x:c r="H733" t="str">
        <x:v>https://bulbapedia.bulbagarden.net/wiki/List_of_Japanese_TCG_Expansions</x:v>
      </x:c>
      <x:c r="I733" t="str">
        <x:v>ja; unique numbered-card/checklist identities for this row scope</x:v>
      </x:c>
      <x:c r="J733" t="str">
        <x:v>Numbered total equals the reconciled printed denominator + beyond-denominator identities + separately listed subset identities.</x:v>
      </x:c>
      <x:c r="K733" t="str">
        <x:v>ja-9b8346044725</x:v>
      </x:c>
      <x:c r="L733" t="str">
        <x:v>numbered_total</x:v>
      </x:c>
    </x:row>
    <x:row r="734">
      <x:c r="A734" t="str">
        <x:v>NUM-6b90617f9f54</x:v>
      </x:c>
      <x:c r="B734" t="str">
        <x:v>2026-09-26-numbered-totals</x:v>
      </x:c>
      <x:c r="C734" t="str">
        <x:v>ja</x:v>
      </x:c>
      <x:c r="D734" t="str">
        <x:v>Holon Research Tower</x:v>
      </x:c>
      <x:c r="E734" t="str">
        <x:v>Numbered total</x:v>
      </x:c>
      <x:c r="F734" t="n">
        <x:v>86</x:v>
      </x:c>
      <x:c r="G734" t="str">
        <x:v>reconciled_components</x:v>
      </x:c>
      <x:c r="H734" t="str">
        <x:v>https://bulbapedia.bulbagarden.net/wiki/List_of_Japanese_TCG_Expansions</x:v>
      </x:c>
      <x:c r="I734" t="str">
        <x:v>ja; unique numbered-card/checklist identities for this row scope</x:v>
      </x:c>
      <x:c r="J734" t="str">
        <x:v>Numbered total equals the reconciled printed denominator + beyond-denominator identities + separately listed subset identities.</x:v>
      </x:c>
      <x:c r="K734" t="str">
        <x:v>ja-575fbe513ad9</x:v>
      </x:c>
      <x:c r="L734" t="str">
        <x:v>numbered_total</x:v>
      </x:c>
    </x:row>
    <x:row r="735">
      <x:c r="A735" t="str">
        <x:v>NUM-f8ace8e58745</x:v>
      </x:c>
      <x:c r="B735" t="str">
        <x:v>2026-09-26-numbered-totals</x:v>
      </x:c>
      <x:c r="C735" t="str">
        <x:v>ja</x:v>
      </x:c>
      <x:c r="D735" t="str">
        <x:v>Holon Phantom</x:v>
      </x:c>
      <x:c r="E735" t="str">
        <x:v>Numbered total</x:v>
      </x:c>
      <x:c r="F735" t="n">
        <x:v>52</x:v>
      </x:c>
      <x:c r="G735" t="str">
        <x:v>reconciled_components</x:v>
      </x:c>
      <x:c r="H735" t="str">
        <x:v>https://bulbapedia.bulbagarden.net/wiki/List_of_Japanese_TCG_Expansions</x:v>
      </x:c>
      <x:c r="I735" t="str">
        <x:v>ja; unique numbered-card/checklist identities for this row scope</x:v>
      </x:c>
      <x:c r="J735" t="str">
        <x:v>Numbered total equals the reconciled printed denominator + beyond-denominator identities + separately listed subset identities.</x:v>
      </x:c>
      <x:c r="K735" t="str">
        <x:v>ja-ee699b245332</x:v>
      </x:c>
      <x:c r="L735" t="str">
        <x:v>numbered_total</x:v>
      </x:c>
    </x:row>
    <x:row r="736">
      <x:c r="A736" t="str">
        <x:v>NUM-46511d020d04</x:v>
      </x:c>
      <x:c r="B736" t="str">
        <x:v>2026-09-26-numbered-totals</x:v>
      </x:c>
      <x:c r="C736" t="str">
        <x:v>ja</x:v>
      </x:c>
      <x:c r="D736" t="str">
        <x:v>Miracle Crystal</x:v>
      </x:c>
      <x:c r="E736" t="str">
        <x:v>Numbered total</x:v>
      </x:c>
      <x:c r="F736" t="n">
        <x:v>75</x:v>
      </x:c>
      <x:c r="G736" t="str">
        <x:v>reconciled_components</x:v>
      </x:c>
      <x:c r="H736" t="str">
        <x:v>https://bulbapedia.bulbagarden.net/wiki/List_of_Japanese_TCG_Expansions</x:v>
      </x:c>
      <x:c r="I736" t="str">
        <x:v>ja; unique numbered-card/checklist identities for this row scope</x:v>
      </x:c>
      <x:c r="J736" t="str">
        <x:v>Numbered total equals the reconciled printed denominator + beyond-denominator identities + separately listed subset identities.</x:v>
      </x:c>
      <x:c r="K736" t="str">
        <x:v>ja-18798a4981e5</x:v>
      </x:c>
      <x:c r="L736" t="str">
        <x:v>numbered_total</x:v>
      </x:c>
    </x:row>
    <x:row r="737">
      <x:c r="A737" t="str">
        <x:v>NUM-bb8ae15249a1</x:v>
      </x:c>
      <x:c r="B737" t="str">
        <x:v>2026-09-26-numbered-totals</x:v>
      </x:c>
      <x:c r="C737" t="str">
        <x:v>ja</x:v>
      </x:c>
      <x:c r="D737" t="str">
        <x:v>Offense and Defense of the Furthest Ends</x:v>
      </x:c>
      <x:c r="E737" t="str">
        <x:v>Numbered total</x:v>
      </x:c>
      <x:c r="F737" t="n">
        <x:v>68</x:v>
      </x:c>
      <x:c r="G737" t="str">
        <x:v>reconciled_components</x:v>
      </x:c>
      <x:c r="H737" t="str">
        <x:v>https://bulbapedia.bulbagarden.net/wiki/List_of_Japanese_TCG_Expansions</x:v>
      </x:c>
      <x:c r="I737" t="str">
        <x:v>ja; unique numbered-card/checklist identities for this row scope</x:v>
      </x:c>
      <x:c r="J737" t="str">
        <x:v>Numbered total equals the reconciled printed denominator + beyond-denominator identities + separately listed subset identities.</x:v>
      </x:c>
      <x:c r="K737" t="str">
        <x:v>ja-8052362cd40f</x:v>
      </x:c>
      <x:c r="L737" t="str">
        <x:v>numbered_total</x:v>
      </x:c>
    </x:row>
    <x:row r="738">
      <x:c r="A738" t="str">
        <x:v>NUM-60473e4389a9</x:v>
      </x:c>
      <x:c r="B738" t="str">
        <x:v>2026-09-26-numbered-totals</x:v>
      </x:c>
      <x:c r="C738" t="str">
        <x:v>ja</x:v>
      </x:c>
      <x:c r="D738" t="str">
        <x:v>Space-Time Creation: Diamond Collection</x:v>
      </x:c>
      <x:c r="E738" t="str">
        <x:v>Numbered total</x:v>
      </x:c>
      <x:c r="F738" t="n">
        <x:v>117</x:v>
      </x:c>
      <x:c r="G738" t="str">
        <x:v>reconciled_components</x:v>
      </x:c>
      <x:c r="H738" t="str">
        <x:v>https://bulbapedia.bulbagarden.net/wiki/List_of_Japanese_TCG_Expansions</x:v>
      </x:c>
      <x:c r="I738" t="str">
        <x:v>ja; unique numbered-card/checklist identities for this row scope</x:v>
      </x:c>
      <x:c r="J738" t="str">
        <x:v>Numbered total equals the reconciled printed denominator + beyond-denominator identities + separately listed subset identities.</x:v>
      </x:c>
      <x:c r="K738" t="str">
        <x:v>ja-ac539985be33</x:v>
      </x:c>
      <x:c r="L738" t="str">
        <x:v>numbered_total</x:v>
      </x:c>
    </x:row>
    <x:row r="739">
      <x:c r="A739" t="str">
        <x:v>NUM-3df3fcd5664d</x:v>
      </x:c>
      <x:c r="B739" t="str">
        <x:v>2026-09-26-numbered-totals</x:v>
      </x:c>
      <x:c r="C739" t="str">
        <x:v>ja</x:v>
      </x:c>
      <x:c r="D739" t="str">
        <x:v>Space-Time Creation: Pearl Collection</x:v>
      </x:c>
      <x:c r="E739" t="str">
        <x:v>Numbered total</x:v>
      </x:c>
      <x:c r="F739" t="n">
        <x:v>119</x:v>
      </x:c>
      <x:c r="G739" t="str">
        <x:v>reconciled_components</x:v>
      </x:c>
      <x:c r="H739" t="str">
        <x:v>https://bulbapedia.bulbagarden.net/wiki/List_of_Japanese_TCG_Expansions</x:v>
      </x:c>
      <x:c r="I739" t="str">
        <x:v>ja; unique numbered-card/checklist identities for this row scope</x:v>
      </x:c>
      <x:c r="J739" t="str">
        <x:v>Numbered total equals the reconciled printed denominator + beyond-denominator identities + separately listed subset identities.</x:v>
      </x:c>
      <x:c r="K739" t="str">
        <x:v>ja-88bfb2a6b618</x:v>
      </x:c>
      <x:c r="L739" t="str">
        <x:v>numbered_total</x:v>
      </x:c>
    </x:row>
    <x:row r="740">
      <x:c r="A740" t="str">
        <x:v>NUM-8548ebd2eef6</x:v>
      </x:c>
      <x:c r="B740" t="str">
        <x:v>2026-09-26-numbered-totals</x:v>
      </x:c>
      <x:c r="C740" t="str">
        <x:v>ja</x:v>
      </x:c>
      <x:c r="D740" t="str">
        <x:v>DP-P Promotional cards</x:v>
      </x:c>
      <x:c r="E740" t="str">
        <x:v>Numbered total</x:v>
      </x:c>
      <x:c r="F740" t="n">
        <x:v>127</x:v>
      </x:c>
      <x:c r="G740" t="str">
        <x:v>reconciled_components</x:v>
      </x:c>
      <x:c r="H740" t="str">
        <x:v>https://bulbapedia.bulbagarden.net/wiki/DP-P_Promotional_cards_%28TCG%29</x:v>
      </x:c>
      <x:c r="I740" t="str">
        <x:v>ja; unique numbered-card/checklist identities for this row scope</x:v>
      </x:c>
      <x:c r="J740" t="str">
        <x:v>Numbered total equals the reconciled printed denominator + beyond-denominator identities + separately listed subset identities.</x:v>
      </x:c>
      <x:c r="K740" t="str">
        <x:v>ja-4f36e9f81e8a</x:v>
      </x:c>
      <x:c r="L740" t="str">
        <x:v>numbered_total</x:v>
      </x:c>
    </x:row>
    <x:row r="741">
      <x:c r="A741" t="str">
        <x:v>NUM-a664f46ccb8c</x:v>
      </x:c>
      <x:c r="B741" t="str">
        <x:v>2026-09-26-numbered-totals</x:v>
      </x:c>
      <x:c r="C741" t="str">
        <x:v>ja</x:v>
      </x:c>
      <x:c r="D741" t="str">
        <x:v>Secret of the Lakes</x:v>
      </x:c>
      <x:c r="E741" t="str">
        <x:v>Numbered total</x:v>
      </x:c>
      <x:c r="F741" t="n">
        <x:v>123</x:v>
      </x:c>
      <x:c r="G741" t="str">
        <x:v>reconciled_components</x:v>
      </x:c>
      <x:c r="H741" t="str">
        <x:v>https://bulbapedia.bulbagarden.net/wiki/List_of_Japanese_TCG_Expansions</x:v>
      </x:c>
      <x:c r="I741" t="str">
        <x:v>ja; unique numbered-card/checklist identities for this row scope</x:v>
      </x:c>
      <x:c r="J741" t="str">
        <x:v>Numbered total equals the reconciled printed denominator + beyond-denominator identities + separately listed subset identities.</x:v>
      </x:c>
      <x:c r="K741" t="str">
        <x:v>ja-e5de102d35c9</x:v>
      </x:c>
      <x:c r="L741" t="str">
        <x:v>numbered_total</x:v>
      </x:c>
    </x:row>
    <x:row r="742">
      <x:c r="A742" t="str">
        <x:v>NUM-f3f645c6761d</x:v>
      </x:c>
      <x:c r="B742" t="str">
        <x:v>2026-09-26-numbered-totals</x:v>
      </x:c>
      <x:c r="C742" t="str">
        <x:v>ja</x:v>
      </x:c>
      <x:c r="D742" t="str">
        <x:v>PPP Promotional cards</x:v>
      </x:c>
      <x:c r="E742" t="str">
        <x:v>Numbered total</x:v>
      </x:c>
      <x:c r="F742" t="n">
        <x:v>7</x:v>
      </x:c>
      <x:c r="G742" t="str">
        <x:v>reconciled_components</x:v>
      </x:c>
      <x:c r="H742" t="str">
        <x:v>https://bulbapedia.bulbagarden.net/wiki/Category%3AJapanese_promotional_cards</x:v>
      </x:c>
      <x:c r="I742" t="str">
        <x:v>ja; unique numbered-card/checklist identities for this row scope</x:v>
      </x:c>
      <x:c r="J742" t="str">
        <x:v>Numbered total equals the reconciled printed denominator + beyond-denominator identities + separately listed subset identities.</x:v>
      </x:c>
      <x:c r="K742" t="str">
        <x:v>ja-8b06d2da9b06</x:v>
      </x:c>
      <x:c r="L742" t="str">
        <x:v>numbered_total</x:v>
      </x:c>
    </x:row>
    <x:row r="743">
      <x:c r="A743" t="str">
        <x:v>NUM-52e8dc4703c4</x:v>
      </x:c>
      <x:c r="B743" t="str">
        <x:v>2026-09-26-numbered-totals</x:v>
      </x:c>
      <x:c r="C743" t="str">
        <x:v>ja</x:v>
      </x:c>
      <x:c r="D743" t="str">
        <x:v>Shining Darkness</x:v>
      </x:c>
      <x:c r="E743" t="str">
        <x:v>Numbered total</x:v>
      </x:c>
      <x:c r="F743" t="n">
        <x:v>119</x:v>
      </x:c>
      <x:c r="G743" t="str">
        <x:v>reconciled_components</x:v>
      </x:c>
      <x:c r="H743" t="str">
        <x:v>https://bulbapedia.bulbagarden.net/wiki/List_of_Japanese_TCG_Expansions</x:v>
      </x:c>
      <x:c r="I743" t="str">
        <x:v>ja; unique numbered-card/checklist identities for this row scope</x:v>
      </x:c>
      <x:c r="J743" t="str">
        <x:v>Numbered total equals the reconciled printed denominator + beyond-denominator identities + separately listed subset identities.</x:v>
      </x:c>
      <x:c r="K743" t="str">
        <x:v>ja-9f086f3cb6b7</x:v>
      </x:c>
      <x:c r="L743" t="str">
        <x:v>numbered_total</x:v>
      </x:c>
    </x:row>
    <x:row r="744">
      <x:c r="A744" t="str">
        <x:v>NUM-cae17d46efb5</x:v>
      </x:c>
      <x:c r="B744" t="str">
        <x:v>2026-09-26-numbered-totals</x:v>
      </x:c>
      <x:c r="C744" t="str">
        <x:v>ja</x:v>
      </x:c>
      <x:c r="D744" t="str">
        <x:v>World Champions Pack</x:v>
      </x:c>
      <x:c r="E744" t="str">
        <x:v>Numbered total</x:v>
      </x:c>
      <x:c r="F744" t="n">
        <x:v>108</x:v>
      </x:c>
      <x:c r="G744" t="str">
        <x:v>reconciled_components</x:v>
      </x:c>
      <x:c r="H744" t="str">
        <x:v>https://bulbapedia.bulbagarden.net/wiki/List_of_Japanese_TCG_Expansions</x:v>
      </x:c>
      <x:c r="I744" t="str">
        <x:v>ja; unique numbered-card/checklist identities for this row scope</x:v>
      </x:c>
      <x:c r="J744" t="str">
        <x:v>Numbered total equals the reconciled printed denominator + beyond-denominator identities + separately listed subset identities.</x:v>
      </x:c>
      <x:c r="K744" t="str">
        <x:v>ja-f9484ea5a0db</x:v>
      </x:c>
      <x:c r="L744" t="str">
        <x:v>numbered_total</x:v>
      </x:c>
    </x:row>
    <x:row r="745">
      <x:c r="A745" t="str">
        <x:v>NUM-6c003b5e5a8f</x:v>
      </x:c>
      <x:c r="B745" t="str">
        <x:v>2026-09-26-numbered-totals</x:v>
      </x:c>
      <x:c r="C745" t="str">
        <x:v>ja</x:v>
      </x:c>
      <x:c r="D745" t="str">
        <x:v>Movie 10th Anniversary Premium Sheet</x:v>
      </x:c>
      <x:c r="E745" t="str">
        <x:v>Numbered total</x:v>
      </x:c>
      <x:c r="F745" t="n">
        <x:v>11</x:v>
      </x:c>
      <x:c r="G745" t="str">
        <x:v>reconciled_components</x:v>
      </x:c>
      <x:c r="H745" t="str">
        <x:v>https://bulbapedia.bulbagarden.net/wiki/10th_Movie_Commemoration_Set_%28TCG%29</x:v>
      </x:c>
      <x:c r="I745" t="str">
        <x:v>ja; unique numbered-card/checklist identities for this row scope</x:v>
      </x:c>
      <x:c r="J745" t="str">
        <x:v>Numbered total equals the reconciled printed denominator + beyond-denominator identities + separately listed subset identities.</x:v>
      </x:c>
      <x:c r="K745" t="str">
        <x:v>ja-99455347bdc0</x:v>
      </x:c>
      <x:c r="L745" t="str">
        <x:v>numbered_total</x:v>
      </x:c>
    </x:row>
    <x:row r="746">
      <x:c r="A746" t="str">
        <x:v>NUM-416ae3368524</x:v>
      </x:c>
      <x:c r="B746" t="str">
        <x:v>2026-09-26-numbered-totals</x:v>
      </x:c>
      <x:c r="C746" t="str">
        <x:v>ja</x:v>
      </x:c>
      <x:c r="D746" t="str">
        <x:v>Dawn Dash</x:v>
      </x:c>
      <x:c r="E746" t="str">
        <x:v>Numbered total</x:v>
      </x:c>
      <x:c r="F746" t="n">
        <x:v>70</x:v>
      </x:c>
      <x:c r="G746" t="str">
        <x:v>reconciled_components</x:v>
      </x:c>
      <x:c r="H746" t="str">
        <x:v>https://bulbapedia.bulbagarden.net/wiki/List_of_Japanese_TCG_Expansions</x:v>
      </x:c>
      <x:c r="I746" t="str">
        <x:v>ja; unique numbered-card/checklist identities for this row scope</x:v>
      </x:c>
      <x:c r="J746" t="str">
        <x:v>Numbered total equals the reconciled printed denominator + beyond-denominator identities + separately listed subset identities.</x:v>
      </x:c>
      <x:c r="K746" t="str">
        <x:v>ja-55740d850232</x:v>
      </x:c>
      <x:c r="L746" t="str">
        <x:v>numbered_total</x:v>
      </x:c>
    </x:row>
    <x:row r="747">
      <x:c r="A747" t="str">
        <x:v>NUM-5d76077e95ff</x:v>
      </x:c>
      <x:c r="B747" t="str">
        <x:v>2026-09-26-numbered-totals</x:v>
      </x:c>
      <x:c r="C747" t="str">
        <x:v>ja</x:v>
      </x:c>
      <x:c r="D747" t="str">
        <x:v>Moonlit Pursuit</x:v>
      </x:c>
      <x:c r="E747" t="str">
        <x:v>Numbered total</x:v>
      </x:c>
      <x:c r="F747" t="n">
        <x:v>70</x:v>
      </x:c>
      <x:c r="G747" t="str">
        <x:v>reconciled_components</x:v>
      </x:c>
      <x:c r="H747" t="str">
        <x:v>https://bulbapedia.bulbagarden.net/wiki/List_of_Japanese_TCG_Expansions</x:v>
      </x:c>
      <x:c r="I747" t="str">
        <x:v>ja; unique numbered-card/checklist identities for this row scope</x:v>
      </x:c>
      <x:c r="J747" t="str">
        <x:v>Numbered total equals the reconciled printed denominator + beyond-denominator identities + separately listed subset identities.</x:v>
      </x:c>
      <x:c r="K747" t="str">
        <x:v>ja-366d4a2e5f45</x:v>
      </x:c>
      <x:c r="L747" t="str">
        <x:v>numbered_total</x:v>
      </x:c>
    </x:row>
    <x:row r="748">
      <x:c r="A748" t="str">
        <x:v>NUM-d6f8089d7795</x:v>
      </x:c>
      <x:c r="B748" t="str">
        <x:v>2026-09-26-numbered-totals</x:v>
      </x:c>
      <x:c r="C748" t="str">
        <x:v>ja</x:v>
      </x:c>
      <x:c r="D748" t="str">
        <x:v>Cry from the Mysterious</x:v>
      </x:c>
      <x:c r="E748" t="str">
        <x:v>Numbered total</x:v>
      </x:c>
      <x:c r="F748" t="n">
        <x:v>65</x:v>
      </x:c>
      <x:c r="G748" t="str">
        <x:v>reconciled_components</x:v>
      </x:c>
      <x:c r="H748" t="str">
        <x:v>https://bulbapedia.bulbagarden.net/wiki/List_of_Japanese_TCG_Expansions</x:v>
      </x:c>
      <x:c r="I748" t="str">
        <x:v>ja; unique numbered-card/checklist identities for this row scope</x:v>
      </x:c>
      <x:c r="J748" t="str">
        <x:v>Numbered total equals the reconciled printed denominator + beyond-denominator identities + separately listed subset identities.</x:v>
      </x:c>
      <x:c r="K748" t="str">
        <x:v>ja-f2ff12dfa982</x:v>
      </x:c>
      <x:c r="L748" t="str">
        <x:v>numbered_total</x:v>
      </x:c>
    </x:row>
    <x:row r="749">
      <x:c r="A749" t="str">
        <x:v>NUM-5019d99b1e5b</x:v>
      </x:c>
      <x:c r="B749" t="str">
        <x:v>2026-09-26-numbered-totals</x:v>
      </x:c>
      <x:c r="C749" t="str">
        <x:v>ja</x:v>
      </x:c>
      <x:c r="D749" t="str">
        <x:v>Temple of Anger</x:v>
      </x:c>
      <x:c r="E749" t="str">
        <x:v>Numbered total</x:v>
      </x:c>
      <x:c r="F749" t="n">
        <x:v>65</x:v>
      </x:c>
      <x:c r="G749" t="str">
        <x:v>reconciled_components</x:v>
      </x:c>
      <x:c r="H749" t="str">
        <x:v>https://bulbapedia.bulbagarden.net/wiki/List_of_Japanese_TCG_Expansions</x:v>
      </x:c>
      <x:c r="I749" t="str">
        <x:v>ja; unique numbered-card/checklist identities for this row scope</x:v>
      </x:c>
      <x:c r="J749" t="str">
        <x:v>Numbered total equals the reconciled printed denominator + beyond-denominator identities + separately listed subset identities.</x:v>
      </x:c>
      <x:c r="K749" t="str">
        <x:v>ja-c285050d1f0d</x:v>
      </x:c>
      <x:c r="L749" t="str">
        <x:v>numbered_total</x:v>
      </x:c>
    </x:row>
    <x:row r="750">
      <x:c r="A750" t="str">
        <x:v>NUM-1ff556fcd7c0</x:v>
      </x:c>
      <x:c r="B750" t="str">
        <x:v>2026-09-26-numbered-totals</x:v>
      </x:c>
      <x:c r="C750" t="str">
        <x:v>ja</x:v>
      </x:c>
      <x:c r="D750" t="str">
        <x:v>Intense Fight in the Destroyed Sky</x:v>
      </x:c>
      <x:c r="E750" t="str">
        <x:v>Numbered total</x:v>
      </x:c>
      <x:c r="F750" t="n">
        <x:v>92</x:v>
      </x:c>
      <x:c r="G750" t="str">
        <x:v>reconciled_components</x:v>
      </x:c>
      <x:c r="H750" t="str">
        <x:v>https://bulbapedia.bulbagarden.net/wiki/List_of_Japanese_TCG_Expansions</x:v>
      </x:c>
      <x:c r="I750" t="str">
        <x:v>ja; unique numbered-card/checklist identities for this row scope</x:v>
      </x:c>
      <x:c r="J750" t="str">
        <x:v>Numbered total equals the reconciled printed denominator + beyond-denominator identities + separately listed subset identities.</x:v>
      </x:c>
      <x:c r="K750" t="str">
        <x:v>ja-36bd2d9bbb54</x:v>
      </x:c>
      <x:c r="L750" t="str">
        <x:v>numbered_total</x:v>
      </x:c>
    </x:row>
    <x:row r="751">
      <x:c r="A751" t="str">
        <x:v>NUM-e5bec608e12b</x:v>
      </x:c>
      <x:c r="B751" t="str">
        <x:v>2026-09-26-numbered-totals</x:v>
      </x:c>
      <x:c r="C751" t="str">
        <x:v>ja</x:v>
      </x:c>
      <x:c r="D751" t="str">
        <x:v>Movie Commemoration Premium Sheet</x:v>
      </x:c>
      <x:c r="E751" t="str">
        <x:v>Numbered total</x:v>
      </x:c>
      <x:c r="F751" t="n">
        <x:v>9</x:v>
      </x:c>
      <x:c r="G751" t="str">
        <x:v>reconciled_components</x:v>
      </x:c>
      <x:c r="H751" t="str">
        <x:v>https://bulbapedia.bulbagarden.net/wiki/11th_Movie_Commemoration_Set_%28TCG%29</x:v>
      </x:c>
      <x:c r="I751" t="str">
        <x:v>ja; unique numbered-card/checklist identities for this row scope</x:v>
      </x:c>
      <x:c r="J751" t="str">
        <x:v>Numbered total equals the reconciled printed denominator + beyond-denominator identities + separately listed subset identities.</x:v>
      </x:c>
      <x:c r="K751" t="str">
        <x:v>ja-6522461d7ad2</x:v>
      </x:c>
      <x:c r="L751" t="str">
        <x:v>numbered_total</x:v>
      </x:c>
    </x:row>
    <x:row r="752">
      <x:c r="A752" t="str">
        <x:v>NUM-836fc33e512d</x:v>
      </x:c>
      <x:c r="B752" t="str">
        <x:v>2026-09-26-numbered-totals</x:v>
      </x:c>
      <x:c r="C752" t="str">
        <x:v>ja</x:v>
      </x:c>
      <x:c r="D752" t="str">
        <x:v>DPt-P Promotional cards</x:v>
      </x:c>
      <x:c r="E752" t="str">
        <x:v>Numbered total</x:v>
      </x:c>
      <x:c r="F752" t="n">
        <x:v>51</x:v>
      </x:c>
      <x:c r="G752" t="str">
        <x:v>reconciled_components</x:v>
      </x:c>
      <x:c r="H752" t="str">
        <x:v>https://bulbapedia.bulbagarden.net/wiki/Category%3AJapanese_promotional_cards</x:v>
      </x:c>
      <x:c r="I752" t="str">
        <x:v>ja; unique numbered-card/checklist identities for this row scope</x:v>
      </x:c>
      <x:c r="J752" t="str">
        <x:v>Numbered total equals the reconciled printed denominator + beyond-denominator identities + separately listed subset identities.</x:v>
      </x:c>
      <x:c r="K752" t="str">
        <x:v>ja-7509d3f988ca</x:v>
      </x:c>
      <x:c r="L752" t="str">
        <x:v>numbered_total</x:v>
      </x:c>
    </x:row>
    <x:row r="753">
      <x:c r="A753" t="str">
        <x:v>NUM-ca06d49a8894</x:v>
      </x:c>
      <x:c r="B753" t="str">
        <x:v>2026-09-26-numbered-totals</x:v>
      </x:c>
      <x:c r="C753" t="str">
        <x:v>ja</x:v>
      </x:c>
      <x:c r="D753" t="str">
        <x:v>Galactic's Conquest</x:v>
      </x:c>
      <x:c r="E753" t="str">
        <x:v>Numbered total</x:v>
      </x:c>
      <x:c r="F753" t="n">
        <x:v>96</x:v>
      </x:c>
      <x:c r="G753" t="str">
        <x:v>reconciled_components</x:v>
      </x:c>
      <x:c r="H753" t="str"/>
      <x:c r="I753" t="str">
        <x:v>ja; unique numbered-card/checklist identities for this row scope</x:v>
      </x:c>
      <x:c r="J753" t="str">
        <x:v>Numbered total equals the reconciled printed denominator + beyond-denominator identities + separately listed subset identities.</x:v>
      </x:c>
      <x:c r="K753" t="str">
        <x:v>ja-cd5d6efb8f68</x:v>
      </x:c>
      <x:c r="L753" t="str">
        <x:v>numbered_total</x:v>
      </x:c>
    </x:row>
    <x:row r="754">
      <x:c r="A754" t="str">
        <x:v>NUM-7163ee46e83f</x:v>
      </x:c>
      <x:c r="B754" t="str">
        <x:v>2026-09-26-numbered-totals</x:v>
      </x:c>
      <x:c r="C754" t="str">
        <x:v>ja</x:v>
      </x:c>
      <x:c r="D754" t="str">
        <x:v>Bonds to the End of Time</x:v>
      </x:c>
      <x:c r="E754" t="str">
        <x:v>Numbered total</x:v>
      </x:c>
      <x:c r="F754" t="n">
        <x:v>90</x:v>
      </x:c>
      <x:c r="G754" t="str">
        <x:v>reconciled_components</x:v>
      </x:c>
      <x:c r="H754" t="str"/>
      <x:c r="I754" t="str">
        <x:v>ja; unique numbered-card/checklist identities for this row scope</x:v>
      </x:c>
      <x:c r="J754" t="str">
        <x:v>Numbered total equals the reconciled printed denominator + beyond-denominator identities + separately listed subset identities.</x:v>
      </x:c>
      <x:c r="K754" t="str">
        <x:v>ja-2305f796724b</x:v>
      </x:c>
      <x:c r="L754" t="str">
        <x:v>numbered_total</x:v>
      </x:c>
    </x:row>
    <x:row r="755">
      <x:c r="A755" t="str">
        <x:v>NUM-c289a901fded</x:v>
      </x:c>
      <x:c r="B755" t="str">
        <x:v>2026-09-26-numbered-totals</x:v>
      </x:c>
      <x:c r="C755" t="str">
        <x:v>ja</x:v>
      </x:c>
      <x:c r="D755" t="str">
        <x:v>Beat of the Frontier</x:v>
      </x:c>
      <x:c r="E755" t="str">
        <x:v>Numbered total</x:v>
      </x:c>
      <x:c r="F755" t="n">
        <x:v>100</x:v>
      </x:c>
      <x:c r="G755" t="str">
        <x:v>reconciled_components</x:v>
      </x:c>
      <x:c r="H755" t="str"/>
      <x:c r="I755" t="str">
        <x:v>ja; unique numbered-card/checklist identities for this row scope</x:v>
      </x:c>
      <x:c r="J755" t="str">
        <x:v>Numbered total equals the reconciled printed denominator + beyond-denominator identities + separately listed subset identities.</x:v>
      </x:c>
      <x:c r="K755" t="str">
        <x:v>ja-1848e7ac2f76</x:v>
      </x:c>
      <x:c r="L755" t="str">
        <x:v>numbered_total</x:v>
      </x:c>
    </x:row>
    <x:row r="756">
      <x:c r="A756" t="str">
        <x:v>NUM-44993e6f9c34</x:v>
      </x:c>
      <x:c r="B756" t="str">
        <x:v>2026-09-26-numbered-totals</x:v>
      </x:c>
      <x:c r="C756" t="str">
        <x:v>ja</x:v>
      </x:c>
      <x:c r="D756" t="str">
        <x:v>Advent of Arceus</x:v>
      </x:c>
      <x:c r="E756" t="str">
        <x:v>Numbered total</x:v>
      </x:c>
      <x:c r="F756" t="n">
        <x:v>90</x:v>
      </x:c>
      <x:c r="G756" t="str">
        <x:v>reconciled_components</x:v>
      </x:c>
      <x:c r="H756" t="str"/>
      <x:c r="I756" t="str">
        <x:v>ja; unique numbered-card/checklist identities for this row scope</x:v>
      </x:c>
      <x:c r="J756" t="str">
        <x:v>Numbered total equals the reconciled printed denominator + beyond-denominator identities + separately listed subset identities.</x:v>
      </x:c>
      <x:c r="K756" t="str">
        <x:v>ja-0b3474b08955</x:v>
      </x:c>
      <x:c r="L756" t="str">
        <x:v>numbered_total</x:v>
      </x:c>
    </x:row>
    <x:row r="757">
      <x:c r="A757" t="str">
        <x:v>NUM-8abcc1e2207b</x:v>
      </x:c>
      <x:c r="B757" t="str">
        <x:v>2026-09-26-numbered-totals</x:v>
      </x:c>
      <x:c r="C757" t="str">
        <x:v>ja</x:v>
      </x:c>
      <x:c r="D757" t="str">
        <x:v>L-P Promotional cards</x:v>
      </x:c>
      <x:c r="E757" t="str">
        <x:v>Numbered total</x:v>
      </x:c>
      <x:c r="F757" t="n">
        <x:v>79</x:v>
      </x:c>
      <x:c r="G757" t="str">
        <x:v>reconciled_components</x:v>
      </x:c>
      <x:c r="H757" t="str">
        <x:v>https://bulbapedia.bulbagarden.net/wiki/Category%3AJapanese_promotional_cards</x:v>
      </x:c>
      <x:c r="I757" t="str">
        <x:v>ja; unique numbered-card/checklist identities for this row scope</x:v>
      </x:c>
      <x:c r="J757" t="str">
        <x:v>Numbered total equals the reconciled printed denominator + beyond-denominator identities + separately listed subset identities.</x:v>
      </x:c>
      <x:c r="K757" t="str">
        <x:v>ja-6a0876b64cf1</x:v>
      </x:c>
      <x:c r="L757" t="str">
        <x:v>numbered_total</x:v>
      </x:c>
    </x:row>
    <x:row r="758">
      <x:c r="A758" t="str">
        <x:v>NUM-96ef7b923f4e</x:v>
      </x:c>
      <x:c r="B758" t="str">
        <x:v>2026-09-26-numbered-totals</x:v>
      </x:c>
      <x:c r="C758" t="str">
        <x:v>ja</x:v>
      </x:c>
      <x:c r="D758" t="str">
        <x:v>HeartGold Collection</x:v>
      </x:c>
      <x:c r="E758" t="str">
        <x:v>Numbered total</x:v>
      </x:c>
      <x:c r="F758" t="n">
        <x:v>71</x:v>
      </x:c>
      <x:c r="G758" t="str">
        <x:v>reconciled_components</x:v>
      </x:c>
      <x:c r="H758" t="str">
        <x:v>https://bulbapedia.bulbagarden.net/wiki/List_of_Japanese_TCG_Expansions</x:v>
      </x:c>
      <x:c r="I758" t="str">
        <x:v>ja; unique numbered-card/checklist identities for this row scope</x:v>
      </x:c>
      <x:c r="J758" t="str">
        <x:v>Numbered total equals the reconciled printed denominator + beyond-denominator identities + separately listed subset identities.</x:v>
      </x:c>
      <x:c r="K758" t="str">
        <x:v>ja-47b20ad63664</x:v>
      </x:c>
      <x:c r="L758" t="str">
        <x:v>numbered_total</x:v>
      </x:c>
    </x:row>
    <x:row r="759">
      <x:c r="A759" t="str">
        <x:v>NUM-9f6ccdd4f11b</x:v>
      </x:c>
      <x:c r="B759" t="str">
        <x:v>2026-09-26-numbered-totals</x:v>
      </x:c>
      <x:c r="C759" t="str">
        <x:v>ja</x:v>
      </x:c>
      <x:c r="D759" t="str">
        <x:v>SoulSilver Collection</x:v>
      </x:c>
      <x:c r="E759" t="str">
        <x:v>Numbered total</x:v>
      </x:c>
      <x:c r="F759" t="n">
        <x:v>71</x:v>
      </x:c>
      <x:c r="G759" t="str">
        <x:v>reconciled_components</x:v>
      </x:c>
      <x:c r="H759" t="str">
        <x:v>https://bulbapedia.bulbagarden.net/wiki/List_of_Japanese_TCG_Expansions</x:v>
      </x:c>
      <x:c r="I759" t="str">
        <x:v>ja; unique numbered-card/checklist identities for this row scope</x:v>
      </x:c>
      <x:c r="J759" t="str">
        <x:v>Numbered total equals the reconciled printed denominator + beyond-denominator identities + separately listed subset identities.</x:v>
      </x:c>
      <x:c r="K759" t="str">
        <x:v>ja-d1b8743147a9</x:v>
      </x:c>
      <x:c r="L759" t="str">
        <x:v>numbered_total</x:v>
      </x:c>
    </x:row>
    <x:row r="760">
      <x:c r="A760" t="str">
        <x:v>NUM-d11dc91ff94f</x:v>
      </x:c>
      <x:c r="B760" t="str">
        <x:v>2026-09-26-numbered-totals</x:v>
      </x:c>
      <x:c r="C760" t="str">
        <x:v>ja</x:v>
      </x:c>
      <x:c r="D760" t="str">
        <x:v>Reviving Legends</x:v>
      </x:c>
      <x:c r="E760" t="str">
        <x:v>Numbered total</x:v>
      </x:c>
      <x:c r="F760" t="n">
        <x:v>81</x:v>
      </x:c>
      <x:c r="G760" t="str">
        <x:v>reconciled_components</x:v>
      </x:c>
      <x:c r="H760" t="str"/>
      <x:c r="I760" t="str">
        <x:v>ja; unique numbered-card/checklist identities for this row scope</x:v>
      </x:c>
      <x:c r="J760" t="str">
        <x:v>Numbered total equals the reconciled printed denominator + beyond-denominator identities + separately listed subset identities.</x:v>
      </x:c>
      <x:c r="K760" t="str">
        <x:v>ja-14fe79e19ee3</x:v>
      </x:c>
      <x:c r="L760" t="str">
        <x:v>numbered_total</x:v>
      </x:c>
    </x:row>
    <x:row r="761">
      <x:c r="A761" t="str">
        <x:v>NUM-13790d305e6c</x:v>
      </x:c>
      <x:c r="B761" t="str">
        <x:v>2026-09-26-numbered-totals</x:v>
      </x:c>
      <x:c r="C761" t="str">
        <x:v>ja</x:v>
      </x:c>
      <x:c r="D761" t="str">
        <x:v>Lost Link</x:v>
      </x:c>
      <x:c r="E761" t="str">
        <x:v>Numbered total</x:v>
      </x:c>
      <x:c r="F761" t="n">
        <x:v>40</x:v>
      </x:c>
      <x:c r="G761" t="str">
        <x:v>reconciled_components</x:v>
      </x:c>
      <x:c r="H761" t="str"/>
      <x:c r="I761" t="str">
        <x:v>ja; unique numbered-card/checklist identities for this row scope</x:v>
      </x:c>
      <x:c r="J761" t="str">
        <x:v>Numbered total equals the reconciled printed denominator + beyond-denominator identities + separately listed subset identities.</x:v>
      </x:c>
      <x:c r="K761" t="str">
        <x:v>ja-0fdbb9b7ff7c</x:v>
      </x:c>
      <x:c r="L761" t="str">
        <x:v>numbered_total</x:v>
      </x:c>
    </x:row>
    <x:row r="762">
      <x:c r="A762" t="str">
        <x:v>NUM-3572c50cf8b5</x:v>
      </x:c>
      <x:c r="B762" t="str">
        <x:v>2026-09-26-numbered-totals</x:v>
      </x:c>
      <x:c r="C762" t="str">
        <x:v>ja</x:v>
      </x:c>
      <x:c r="D762" t="str">
        <x:v>Clash at the Summit</x:v>
      </x:c>
      <x:c r="E762" t="str">
        <x:v>Numbered total</x:v>
      </x:c>
      <x:c r="F762" t="n">
        <x:v>81</x:v>
      </x:c>
      <x:c r="G762" t="str">
        <x:v>reconciled_components</x:v>
      </x:c>
      <x:c r="H762" t="str"/>
      <x:c r="I762" t="str">
        <x:v>ja; unique numbered-card/checklist identities for this row scope</x:v>
      </x:c>
      <x:c r="J762" t="str">
        <x:v>Numbered total equals the reconciled printed denominator + beyond-denominator identities + separately listed subset identities.</x:v>
      </x:c>
      <x:c r="K762" t="str">
        <x:v>ja-6b4a3e2ee98a</x:v>
      </x:c>
      <x:c r="L762" t="str">
        <x:v>numbered_total</x:v>
      </x:c>
    </x:row>
    <x:row r="763">
      <x:c r="A763" t="str">
        <x:v>NUM-3b81b0145658</x:v>
      </x:c>
      <x:c r="B763" t="str">
        <x:v>2026-09-26-numbered-totals</x:v>
      </x:c>
      <x:c r="C763" t="str">
        <x:v>ja</x:v>
      </x:c>
      <x:c r="D763" t="str">
        <x:v>World Collection</x:v>
      </x:c>
      <x:c r="E763" t="str">
        <x:v>Numbered total</x:v>
      </x:c>
      <x:c r="F763" t="n">
        <x:v>10</x:v>
      </x:c>
      <x:c r="G763" t="str">
        <x:v>reconciled_components</x:v>
      </x:c>
      <x:c r="H763" t="str">
        <x:v>https://bulbapedia.bulbagarden.net/wiki/Pikachu_World_%28TCG%29</x:v>
      </x:c>
      <x:c r="I763" t="str">
        <x:v>ja; unique numbered-card/checklist identities for this row scope</x:v>
      </x:c>
      <x:c r="J763" t="str">
        <x:v>Numbered total equals the reconciled printed denominator + beyond-denominator identities + separately listed subset identities.</x:v>
      </x:c>
      <x:c r="K763" t="str">
        <x:v>ja-7f31002fd758</x:v>
      </x:c>
      <x:c r="L763" t="str">
        <x:v>numbered_total</x:v>
      </x:c>
    </x:row>
    <x:row r="764">
      <x:c r="A764" t="str">
        <x:v>NUM-88619587f8b2</x:v>
      </x:c>
      <x:c r="B764" t="str">
        <x:v>2026-09-26-numbered-totals</x:v>
      </x:c>
      <x:c r="C764" t="str">
        <x:v>ja</x:v>
      </x:c>
      <x:c r="D764" t="str">
        <x:v>Collection Sheet Journey Partners</x:v>
      </x:c>
      <x:c r="E764" t="str">
        <x:v>Numbered total</x:v>
      </x:c>
      <x:c r="F764" t="n">
        <x:v>9</x:v>
      </x:c>
      <x:c r="G764" t="str">
        <x:v>reconciled_components</x:v>
      </x:c>
      <x:c r="H764" t="str"/>
      <x:c r="I764" t="str">
        <x:v>ja; unique numbered-card/checklist identities for this row scope</x:v>
      </x:c>
      <x:c r="J764" t="str">
        <x:v>Numbered total equals the reconciled printed denominator + beyond-denominator identities + separately listed subset identities.</x:v>
      </x:c>
      <x:c r="K764" t="str">
        <x:v>ja-375d68f5afb5</x:v>
      </x:c>
      <x:c r="L764" t="str">
        <x:v>numbered_total</x:v>
      </x:c>
    </x:row>
    <x:row r="765">
      <x:c r="A765" t="str">
        <x:v>NUM-026c74286e3a</x:v>
      </x:c>
      <x:c r="B765" t="str">
        <x:v>2026-09-26-numbered-totals</x:v>
      </x:c>
      <x:c r="C765" t="str">
        <x:v>ja</x:v>
      </x:c>
      <x:c r="D765" t="str">
        <x:v>BW-P Promotional cards</x:v>
      </x:c>
      <x:c r="E765" t="str">
        <x:v>Numbered total</x:v>
      </x:c>
      <x:c r="F765" t="n">
        <x:v>229</x:v>
      </x:c>
      <x:c r="G765" t="str">
        <x:v>reconciled_components</x:v>
      </x:c>
      <x:c r="H765" t="str">
        <x:v>https://bulbapedia.bulbagarden.net/wiki/Category%3AJapanese_promotional_cards</x:v>
      </x:c>
      <x:c r="I765" t="str">
        <x:v>ja; unique numbered-card/checklist identities for this row scope</x:v>
      </x:c>
      <x:c r="J765" t="str">
        <x:v>Numbered total equals the reconciled printed denominator + beyond-denominator identities + separately listed subset identities.</x:v>
      </x:c>
      <x:c r="K765" t="str">
        <x:v>ja-55ccb6ad65f9</x:v>
      </x:c>
      <x:c r="L765" t="str">
        <x:v>numbered_total</x:v>
      </x:c>
    </x:row>
    <x:row r="766">
      <x:c r="A766" t="str">
        <x:v>NUM-006fbe1934b2</x:v>
      </x:c>
      <x:c r="B766" t="str">
        <x:v>2026-09-26-numbered-totals</x:v>
      </x:c>
      <x:c r="C766" t="str">
        <x:v>ja</x:v>
      </x:c>
      <x:c r="D766" t="str">
        <x:v>Black Collection</x:v>
      </x:c>
      <x:c r="E766" t="str">
        <x:v>Numbered total</x:v>
      </x:c>
      <x:c r="F766" t="n">
        <x:v>56</x:v>
      </x:c>
      <x:c r="G766" t="str">
        <x:v>reconciled_components</x:v>
      </x:c>
      <x:c r="H766" t="str">
        <x:v>https://bulbapedia.bulbagarden.net/wiki/BW1</x:v>
      </x:c>
      <x:c r="I766" t="str">
        <x:v>ja; unique numbered-card/checklist identities for this row scope</x:v>
      </x:c>
      <x:c r="J766" t="str">
        <x:v>Numbered total equals the reconciled printed denominator + beyond-denominator identities + separately listed subset identities.</x:v>
      </x:c>
      <x:c r="K766" t="str">
        <x:v>ja-0792c3a06e5e</x:v>
      </x:c>
      <x:c r="L766" t="str">
        <x:v>numbered_total</x:v>
      </x:c>
    </x:row>
    <x:row r="767">
      <x:c r="A767" t="str">
        <x:v>NUM-d40aaebe4c93</x:v>
      </x:c>
      <x:c r="B767" t="str">
        <x:v>2026-09-26-numbered-totals</x:v>
      </x:c>
      <x:c r="C767" t="str">
        <x:v>ja</x:v>
      </x:c>
      <x:c r="D767" t="str">
        <x:v>White Collection</x:v>
      </x:c>
      <x:c r="E767" t="str">
        <x:v>Numbered total</x:v>
      </x:c>
      <x:c r="F767" t="n">
        <x:v>56</x:v>
      </x:c>
      <x:c r="G767" t="str">
        <x:v>reconciled_components</x:v>
      </x:c>
      <x:c r="H767" t="str">
        <x:v>https://bulbapedia.bulbagarden.net/wiki/BW1</x:v>
      </x:c>
      <x:c r="I767" t="str">
        <x:v>ja; unique numbered-card/checklist identities for this row scope</x:v>
      </x:c>
      <x:c r="J767" t="str">
        <x:v>Numbered total equals the reconciled printed denominator + beyond-denominator identities + separately listed subset identities.</x:v>
      </x:c>
      <x:c r="K767" t="str">
        <x:v>ja-343ee8958d6b</x:v>
      </x:c>
      <x:c r="L767" t="str">
        <x:v>numbered_total</x:v>
      </x:c>
    </x:row>
    <x:row r="768">
      <x:c r="A768" t="str">
        <x:v>NUM-2c67a376245f</x:v>
      </x:c>
      <x:c r="B768" t="str">
        <x:v>2026-09-26-numbered-totals</x:v>
      </x:c>
      <x:c r="C768" t="str">
        <x:v>ja</x:v>
      </x:c>
      <x:c r="D768" t="str">
        <x:v>Red Collection</x:v>
      </x:c>
      <x:c r="E768" t="str">
        <x:v>Numbered total</x:v>
      </x:c>
      <x:c r="F768" t="n">
        <x:v>72</x:v>
      </x:c>
      <x:c r="G768" t="str">
        <x:v>reconciled_components</x:v>
      </x:c>
      <x:c r="H768" t="str"/>
      <x:c r="I768" t="str">
        <x:v>ja; unique numbered-card/checklist identities for this row scope</x:v>
      </x:c>
      <x:c r="J768" t="str">
        <x:v>Numbered total equals the reconciled printed denominator + beyond-denominator identities + separately listed subset identities.</x:v>
      </x:c>
      <x:c r="K768" t="str">
        <x:v>ja-ecb9396be7bc</x:v>
      </x:c>
      <x:c r="L768" t="str">
        <x:v>numbered_total</x:v>
      </x:c>
    </x:row>
    <x:row r="769">
      <x:c r="A769" t="str">
        <x:v>NUM-18f2ec8f7c27</x:v>
      </x:c>
      <x:c r="B769" t="str">
        <x:v>2026-09-26-numbered-totals</x:v>
      </x:c>
      <x:c r="C769" t="str">
        <x:v>ja</x:v>
      </x:c>
      <x:c r="D769" t="str">
        <x:v>Hail Blizzard</x:v>
      </x:c>
      <x:c r="E769" t="str">
        <x:v>Numbered total</x:v>
      </x:c>
      <x:c r="F769" t="n">
        <x:v>57</x:v>
      </x:c>
      <x:c r="G769" t="str">
        <x:v>reconciled_components</x:v>
      </x:c>
      <x:c r="H769" t="str">
        <x:v>https://bulbapedia.bulbagarden.net/wiki/Next_Destinies_%28TCG%29</x:v>
      </x:c>
      <x:c r="I769" t="str">
        <x:v>ja; unique numbered-card/checklist identities for this row scope</x:v>
      </x:c>
      <x:c r="J769" t="str">
        <x:v>Numbered total equals the reconciled printed denominator + beyond-denominator identities + separately listed subset identities.</x:v>
      </x:c>
      <x:c r="K769" t="str">
        <x:v>ja-56563c34a89e</x:v>
      </x:c>
      <x:c r="L769" t="str">
        <x:v>numbered_total</x:v>
      </x:c>
    </x:row>
    <x:row r="770">
      <x:c r="A770" t="str">
        <x:v>NUM-25a4521f56c4</x:v>
      </x:c>
      <x:c r="B770" t="str">
        <x:v>2026-09-26-numbered-totals</x:v>
      </x:c>
      <x:c r="C770" t="str">
        <x:v>ja</x:v>
      </x:c>
      <x:c r="D770" t="str">
        <x:v>Psycho Drive</x:v>
      </x:c>
      <x:c r="E770" t="str">
        <x:v>Numbered total</x:v>
      </x:c>
      <x:c r="F770" t="n">
        <x:v>57</x:v>
      </x:c>
      <x:c r="G770" t="str">
        <x:v>reconciled_components</x:v>
      </x:c>
      <x:c r="H770" t="str">
        <x:v>https://bulbapedia.bulbagarden.net/wiki/Next_Destinies_%28TCG%29</x:v>
      </x:c>
      <x:c r="I770" t="str">
        <x:v>ja; unique numbered-card/checklist identities for this row scope</x:v>
      </x:c>
      <x:c r="J770" t="str">
        <x:v>Numbered total equals the reconciled printed denominator + beyond-denominator identities + separately listed subset identities.</x:v>
      </x:c>
      <x:c r="K770" t="str">
        <x:v>ja-aaca389707bd</x:v>
      </x:c>
      <x:c r="L770" t="str">
        <x:v>numbered_total</x:v>
      </x:c>
    </x:row>
    <x:row r="771">
      <x:c r="A771" t="str">
        <x:v>NUM-e2dbd5a85582</x:v>
      </x:c>
      <x:c r="B771" t="str">
        <x:v>2026-09-26-numbered-totals</x:v>
      </x:c>
      <x:c r="C771" t="str">
        <x:v>ja</x:v>
      </x:c>
      <x:c r="D771" t="str">
        <x:v>Dark Rush</x:v>
      </x:c>
      <x:c r="E771" t="str">
        <x:v>Numbered total</x:v>
      </x:c>
      <x:c r="F771" t="n">
        <x:v>76</x:v>
      </x:c>
      <x:c r="G771" t="str">
        <x:v>reconciled_components</x:v>
      </x:c>
      <x:c r="H771" t="str"/>
      <x:c r="I771" t="str">
        <x:v>ja; unique numbered-card/checklist identities for this row scope</x:v>
      </x:c>
      <x:c r="J771" t="str">
        <x:v>Numbered total equals the reconciled printed denominator + beyond-denominator identities + separately listed subset identities.</x:v>
      </x:c>
      <x:c r="K771" t="str">
        <x:v>ja-96ef806e2324</x:v>
      </x:c>
      <x:c r="L771" t="str">
        <x:v>numbered_total</x:v>
      </x:c>
    </x:row>
    <x:row r="772">
      <x:c r="A772" t="str">
        <x:v>NUM-7eca4dd57e86</x:v>
      </x:c>
      <x:c r="B772" t="str">
        <x:v>2026-09-26-numbered-totals</x:v>
      </x:c>
      <x:c r="C772" t="str">
        <x:v>ja</x:v>
      </x:c>
      <x:c r="D772" t="str">
        <x:v>Dragon Selection</x:v>
      </x:c>
      <x:c r="E772" t="str">
        <x:v>Numbered total</x:v>
      </x:c>
      <x:c r="F772" t="n">
        <x:v>20</x:v>
      </x:c>
      <x:c r="G772" t="str">
        <x:v>reconciled_components</x:v>
      </x:c>
      <x:c r="H772" t="str"/>
      <x:c r="I772" t="str">
        <x:v>ja; unique numbered-card/checklist identities for this row scope</x:v>
      </x:c>
      <x:c r="J772" t="str">
        <x:v>Numbered total equals the reconciled printed denominator + beyond-denominator identities + separately listed subset identities.</x:v>
      </x:c>
      <x:c r="K772" t="str">
        <x:v>ja-344bb24cd8c0</x:v>
      </x:c>
      <x:c r="L772" t="str">
        <x:v>numbered_total</x:v>
      </x:c>
    </x:row>
    <x:row r="773">
      <x:c r="A773" t="str">
        <x:v>NUM-088232f5b183</x:v>
      </x:c>
      <x:c r="B773" t="str">
        <x:v>2026-09-26-numbered-totals</x:v>
      </x:c>
      <x:c r="C773" t="str">
        <x:v>ja</x:v>
      </x:c>
      <x:c r="D773" t="str">
        <x:v>Dragon Blade</x:v>
      </x:c>
      <x:c r="E773" t="str">
        <x:v>Numbered total</x:v>
      </x:c>
      <x:c r="F773" t="n">
        <x:v>55</x:v>
      </x:c>
      <x:c r="G773" t="str">
        <x:v>reconciled_components</x:v>
      </x:c>
      <x:c r="H773" t="str">
        <x:v>https://bulbapedia.bulbagarden.net/wiki/Dragons_Exalted_%28TCG%29</x:v>
      </x:c>
      <x:c r="I773" t="str">
        <x:v>ja; unique numbered-card/checklist identities for this row scope</x:v>
      </x:c>
      <x:c r="J773" t="str">
        <x:v>Numbered total equals the reconciled printed denominator + beyond-denominator identities + separately listed subset identities.</x:v>
      </x:c>
      <x:c r="K773" t="str">
        <x:v>ja-38d355385584</x:v>
      </x:c>
      <x:c r="L773" t="str">
        <x:v>numbered_total</x:v>
      </x:c>
    </x:row>
    <x:row r="774">
      <x:c r="A774" t="str">
        <x:v>NUM-6c03ca1daa99</x:v>
      </x:c>
      <x:c r="B774" t="str">
        <x:v>2026-09-26-numbered-totals</x:v>
      </x:c>
      <x:c r="C774" t="str">
        <x:v>ja</x:v>
      </x:c>
      <x:c r="D774" t="str">
        <x:v>Dragon Blast</x:v>
      </x:c>
      <x:c r="E774" t="str">
        <x:v>Numbered total</x:v>
      </x:c>
      <x:c r="F774" t="n">
        <x:v>55</x:v>
      </x:c>
      <x:c r="G774" t="str">
        <x:v>reconciled_components</x:v>
      </x:c>
      <x:c r="H774" t="str">
        <x:v>https://bulbapedia.bulbagarden.net/wiki/Dragons_Exalted_%28TCG%29</x:v>
      </x:c>
      <x:c r="I774" t="str">
        <x:v>ja; unique numbered-card/checklist identities for this row scope</x:v>
      </x:c>
      <x:c r="J774" t="str">
        <x:v>Numbered total equals the reconciled printed denominator + beyond-denominator identities + separately listed subset identities.</x:v>
      </x:c>
      <x:c r="K774" t="str">
        <x:v>ja-cb452c3959d0</x:v>
      </x:c>
      <x:c r="L774" t="str">
        <x:v>numbered_total</x:v>
      </x:c>
    </x:row>
    <x:row r="775">
      <x:c r="A775" t="str">
        <x:v>NUM-c219c00cdd0b</x:v>
      </x:c>
      <x:c r="B775" t="str">
        <x:v>2026-09-26-numbered-totals</x:v>
      </x:c>
      <x:c r="C775" t="str">
        <x:v>ja</x:v>
      </x:c>
      <x:c r="D775" t="str">
        <x:v>Cold Flare</x:v>
      </x:c>
      <x:c r="E775" t="str">
        <x:v>Numbered total</x:v>
      </x:c>
      <x:c r="F775" t="n">
        <x:v>65</x:v>
      </x:c>
      <x:c r="G775" t="str">
        <x:v>reconciled_components</x:v>
      </x:c>
      <x:c r="H775" t="str">
        <x:v>https://bulbapedia.bulbagarden.net/wiki/List_of_Japanese_TCG_Expansions</x:v>
      </x:c>
      <x:c r="I775" t="str">
        <x:v>ja; unique numbered-card/checklist identities for this row scope</x:v>
      </x:c>
      <x:c r="J775" t="str">
        <x:v>Numbered total equals the reconciled printed denominator + beyond-denominator identities + separately listed subset identities.</x:v>
      </x:c>
      <x:c r="K775" t="str">
        <x:v>ja-9d708a7a2d48</x:v>
      </x:c>
      <x:c r="L775" t="str">
        <x:v>numbered_total</x:v>
      </x:c>
    </x:row>
    <x:row r="776">
      <x:c r="A776" t="str">
        <x:v>NUM-b906812b9d5f</x:v>
      </x:c>
      <x:c r="B776" t="str">
        <x:v>2026-09-26-numbered-totals</x:v>
      </x:c>
      <x:c r="C776" t="str">
        <x:v>ja</x:v>
      </x:c>
      <x:c r="D776" t="str">
        <x:v>Freeze Bolt</x:v>
      </x:c>
      <x:c r="E776" t="str">
        <x:v>Numbered total</x:v>
      </x:c>
      <x:c r="F776" t="n">
        <x:v>65</x:v>
      </x:c>
      <x:c r="G776" t="str">
        <x:v>reconciled_components</x:v>
      </x:c>
      <x:c r="H776" t="str">
        <x:v>https://bulbapedia.bulbagarden.net/wiki/List_of_Japanese_TCG_Expansions</x:v>
      </x:c>
      <x:c r="I776" t="str">
        <x:v>ja; unique numbered-card/checklist identities for this row scope</x:v>
      </x:c>
      <x:c r="J776" t="str">
        <x:v>Numbered total equals the reconciled printed denominator + beyond-denominator identities + separately listed subset identities.</x:v>
      </x:c>
      <x:c r="K776" t="str">
        <x:v>ja-cf12abfb207a</x:v>
      </x:c>
      <x:c r="L776" t="str">
        <x:v>numbered_total</x:v>
      </x:c>
    </x:row>
    <x:row r="777">
      <x:c r="A777" t="str">
        <x:v>NUM-ce9cc9551f57</x:v>
      </x:c>
      <x:c r="B777" t="str">
        <x:v>2026-09-26-numbered-totals</x:v>
      </x:c>
      <x:c r="C777" t="str">
        <x:v>ja</x:v>
      </x:c>
      <x:c r="D777" t="str">
        <x:v>Plasma Gale</x:v>
      </x:c>
      <x:c r="E777" t="str">
        <x:v>Numbered total</x:v>
      </x:c>
      <x:c r="F777" t="n">
        <x:v>79</x:v>
      </x:c>
      <x:c r="G777" t="str">
        <x:v>reconciled_components</x:v>
      </x:c>
      <x:c r="H777" t="str"/>
      <x:c r="I777" t="str">
        <x:v>ja; unique numbered-card/checklist identities for this row scope</x:v>
      </x:c>
      <x:c r="J777" t="str">
        <x:v>Numbered total equals the reconciled printed denominator + beyond-denominator identities + separately listed subset identities.</x:v>
      </x:c>
      <x:c r="K777" t="str">
        <x:v>ja-344a8d566d5b</x:v>
      </x:c>
      <x:c r="L777" t="str">
        <x:v>numbered_total</x:v>
      </x:c>
    </x:row>
    <x:row r="778">
      <x:c r="A778" t="str">
        <x:v>NUM-060695200c2d</x:v>
      </x:c>
      <x:c r="B778" t="str">
        <x:v>2026-09-26-numbered-totals</x:v>
      </x:c>
      <x:c r="C778" t="str">
        <x:v>ja</x:v>
      </x:c>
      <x:c r="D778" t="str">
        <x:v>Spiral Force</x:v>
      </x:c>
      <x:c r="E778" t="str">
        <x:v>Numbered total</x:v>
      </x:c>
      <x:c r="F778" t="n">
        <x:v>58</x:v>
      </x:c>
      <x:c r="G778" t="str">
        <x:v>reconciled_components</x:v>
      </x:c>
      <x:c r="H778" t="str">
        <x:v>https://bulbapedia.bulbagarden.net/wiki/List_of_Japanese_TCG_Expansions</x:v>
      </x:c>
      <x:c r="I778" t="str">
        <x:v>ja; unique numbered-card/checklist identities for this row scope</x:v>
      </x:c>
      <x:c r="J778" t="str">
        <x:v>Numbered total equals the reconciled printed denominator + beyond-denominator identities + separately listed subset identities.</x:v>
      </x:c>
      <x:c r="K778" t="str">
        <x:v>ja-2d2ccae25348</x:v>
      </x:c>
      <x:c r="L778" t="str">
        <x:v>numbered_total</x:v>
      </x:c>
    </x:row>
    <x:row r="779">
      <x:c r="A779" t="str">
        <x:v>NUM-093c34ad4a09</x:v>
      </x:c>
      <x:c r="B779" t="str">
        <x:v>2026-09-26-numbered-totals</x:v>
      </x:c>
      <x:c r="C779" t="str">
        <x:v>ja</x:v>
      </x:c>
      <x:c r="D779" t="str">
        <x:v>Thunder Knuckle</x:v>
      </x:c>
      <x:c r="E779" t="str">
        <x:v>Numbered total</x:v>
      </x:c>
      <x:c r="F779" t="n">
        <x:v>58</x:v>
      </x:c>
      <x:c r="G779" t="str">
        <x:v>reconciled_components</x:v>
      </x:c>
      <x:c r="H779" t="str">
        <x:v>https://bulbapedia.bulbagarden.net/wiki/List_of_Japanese_TCG_Expansions</x:v>
      </x:c>
      <x:c r="I779" t="str">
        <x:v>ja; unique numbered-card/checklist identities for this row scope</x:v>
      </x:c>
      <x:c r="J779" t="str">
        <x:v>Numbered total equals the reconciled printed denominator + beyond-denominator identities + separately listed subset identities.</x:v>
      </x:c>
      <x:c r="K779" t="str">
        <x:v>ja-ca4ba12512ac</x:v>
      </x:c>
      <x:c r="L779" t="str">
        <x:v>numbered_total</x:v>
      </x:c>
    </x:row>
    <x:row r="780">
      <x:c r="A780" t="str">
        <x:v>NUM-f0d89c69d623</x:v>
      </x:c>
      <x:c r="B780" t="str">
        <x:v>2026-09-26-numbered-totals</x:v>
      </x:c>
      <x:c r="C780" t="str">
        <x:v>ja</x:v>
      </x:c>
      <x:c r="D780" t="str">
        <x:v>Shiny Collection</x:v>
      </x:c>
      <x:c r="E780" t="str">
        <x:v>Numbered total</x:v>
      </x:c>
      <x:c r="F780" t="n">
        <x:v>25</x:v>
      </x:c>
      <x:c r="G780" t="str">
        <x:v>reconciled_components</x:v>
      </x:c>
      <x:c r="H780" t="str"/>
      <x:c r="I780" t="str">
        <x:v>ja; unique numbered-card/checklist identities for this row scope</x:v>
      </x:c>
      <x:c r="J780" t="str">
        <x:v>Numbered total equals the reconciled printed denominator + beyond-denominator identities + separately listed subset identities.</x:v>
      </x:c>
      <x:c r="K780" t="str">
        <x:v>ja-5ae629dc0d26</x:v>
      </x:c>
      <x:c r="L780" t="str">
        <x:v>numbered_total</x:v>
      </x:c>
    </x:row>
    <x:row r="781">
      <x:c r="A781" t="str">
        <x:v>NUM-e9551fab01d8</x:v>
      </x:c>
      <x:c r="B781" t="str">
        <x:v>2026-09-26-numbered-totals</x:v>
      </x:c>
      <x:c r="C781" t="str">
        <x:v>ja</x:v>
      </x:c>
      <x:c r="D781" t="str">
        <x:v>Megalo Cannon</x:v>
      </x:c>
      <x:c r="E781" t="str">
        <x:v>Numbered total</x:v>
      </x:c>
      <x:c r="F781" t="n">
        <x:v>86</x:v>
      </x:c>
      <x:c r="G781" t="str">
        <x:v>reconciled_components</x:v>
      </x:c>
      <x:c r="H781" t="str"/>
      <x:c r="I781" t="str">
        <x:v>ja; unique numbered-card/checklist identities for this row scope</x:v>
      </x:c>
      <x:c r="J781" t="str">
        <x:v>Numbered total equals the reconciled printed denominator + beyond-denominator identities + separately listed subset identities.</x:v>
      </x:c>
      <x:c r="K781" t="str">
        <x:v>ja-595faa0ef482</x:v>
      </x:c>
      <x:c r="L781" t="str">
        <x:v>numbered_total</x:v>
      </x:c>
    </x:row>
    <x:row r="782">
      <x:c r="A782" t="str">
        <x:v>NUM-7cbc848b7d97</x:v>
      </x:c>
      <x:c r="B782" t="str">
        <x:v>2026-09-26-numbered-totals</x:v>
      </x:c>
      <x:c r="C782" t="str">
        <x:v>ja</x:v>
      </x:c>
      <x:c r="D782" t="str">
        <x:v>EX Battle Boost</x:v>
      </x:c>
      <x:c r="E782" t="str">
        <x:v>Numbered total</x:v>
      </x:c>
      <x:c r="F782" t="n">
        <x:v>99</x:v>
      </x:c>
      <x:c r="G782" t="str">
        <x:v>reconciled_components</x:v>
      </x:c>
      <x:c r="H782" t="str"/>
      <x:c r="I782" t="str">
        <x:v>ja; unique numbered-card/checklist identities for this row scope</x:v>
      </x:c>
      <x:c r="J782" t="str">
        <x:v>Numbered total equals the reconciled printed denominator + beyond-denominator identities + separately listed subset identities.</x:v>
      </x:c>
      <x:c r="K782" t="str">
        <x:v>ja-c52b489f0897</x:v>
      </x:c>
      <x:c r="L782" t="str">
        <x:v>numbered_total</x:v>
      </x:c>
    </x:row>
    <x:row r="783">
      <x:c r="A783" t="str">
        <x:v>NUM-ae96773f68d9</x:v>
      </x:c>
      <x:c r="B783" t="str">
        <x:v>2026-09-26-numbered-totals</x:v>
      </x:c>
      <x:c r="C783" t="str">
        <x:v>ja</x:v>
      </x:c>
      <x:c r="D783" t="str">
        <x:v>XY-P Promotional cards</x:v>
      </x:c>
      <x:c r="E783" t="str">
        <x:v>Numbered total</x:v>
      </x:c>
      <x:c r="F783" t="n">
        <x:v>453</x:v>
      </x:c>
      <x:c r="G783" t="str">
        <x:v>reconciled_components</x:v>
      </x:c>
      <x:c r="H783" t="str">
        <x:v>https://bulbapedia.bulbagarden.net/wiki/Category%3AJapanese_promotional_cards</x:v>
      </x:c>
      <x:c r="I783" t="str">
        <x:v>ja; unique numbered-card/checklist identities for this row scope</x:v>
      </x:c>
      <x:c r="J783" t="str">
        <x:v>Numbered total equals the reconciled printed denominator + beyond-denominator identities + separately listed subset identities.</x:v>
      </x:c>
      <x:c r="K783" t="str">
        <x:v>ja-6abb84724d30</x:v>
      </x:c>
      <x:c r="L783" t="str">
        <x:v>numbered_total</x:v>
      </x:c>
    </x:row>
    <x:row r="784">
      <x:c r="A784" t="str">
        <x:v>NUM-baf39de0f572</x:v>
      </x:c>
      <x:c r="B784" t="str">
        <x:v>2026-09-26-numbered-totals</x:v>
      </x:c>
      <x:c r="C784" t="str">
        <x:v>ja</x:v>
      </x:c>
      <x:c r="D784" t="str">
        <x:v>Collection X</x:v>
      </x:c>
      <x:c r="E784" t="str">
        <x:v>Numbered total</x:v>
      </x:c>
      <x:c r="F784" t="n">
        <x:v>63</x:v>
      </x:c>
      <x:c r="G784" t="str">
        <x:v>reconciled_components</x:v>
      </x:c>
      <x:c r="H784" t="str">
        <x:v>https://bulbapedia.bulbagarden.net/wiki/List_of_Japanese_TCG_Expansions</x:v>
      </x:c>
      <x:c r="I784" t="str">
        <x:v>ja; unique numbered-card/checklist identities for this row scope</x:v>
      </x:c>
      <x:c r="J784" t="str">
        <x:v>Numbered total equals the reconciled printed denominator + beyond-denominator identities + separately listed subset identities.</x:v>
      </x:c>
      <x:c r="K784" t="str">
        <x:v>ja-89b882805fa9</x:v>
      </x:c>
      <x:c r="L784" t="str">
        <x:v>numbered_total</x:v>
      </x:c>
    </x:row>
    <x:row r="785">
      <x:c r="A785" t="str">
        <x:v>NUM-750f6db0e4ef</x:v>
      </x:c>
      <x:c r="B785" t="str">
        <x:v>2026-09-26-numbered-totals</x:v>
      </x:c>
      <x:c r="C785" t="str">
        <x:v>ja</x:v>
      </x:c>
      <x:c r="D785" t="str">
        <x:v>Collection Y</x:v>
      </x:c>
      <x:c r="E785" t="str">
        <x:v>Numbered total</x:v>
      </x:c>
      <x:c r="F785" t="n">
        <x:v>63</x:v>
      </x:c>
      <x:c r="G785" t="str">
        <x:v>reconciled_components</x:v>
      </x:c>
      <x:c r="H785" t="str">
        <x:v>https://bulbapedia.bulbagarden.net/wiki/List_of_Japanese_TCG_Expansions</x:v>
      </x:c>
      <x:c r="I785" t="str">
        <x:v>ja; unique numbered-card/checklist identities for this row scope</x:v>
      </x:c>
      <x:c r="J785" t="str">
        <x:v>Numbered total equals the reconciled printed denominator + beyond-denominator identities + separately listed subset identities.</x:v>
      </x:c>
      <x:c r="K785" t="str">
        <x:v>ja-746fc064572f</x:v>
      </x:c>
      <x:c r="L785" t="str">
        <x:v>numbered_total</x:v>
      </x:c>
    </x:row>
    <x:row r="786">
      <x:c r="A786" t="str">
        <x:v>NUM-77b610364682</x:v>
      </x:c>
      <x:c r="B786" t="str">
        <x:v>2026-09-26-numbered-totals</x:v>
      </x:c>
      <x:c r="C786" t="str">
        <x:v>ja</x:v>
      </x:c>
      <x:c r="D786" t="str">
        <x:v>Wild Blaze</x:v>
      </x:c>
      <x:c r="E786" t="str">
        <x:v>Numbered total</x:v>
      </x:c>
      <x:c r="F786" t="n">
        <x:v>90</x:v>
      </x:c>
      <x:c r="G786" t="str">
        <x:v>reconciled_components</x:v>
      </x:c>
      <x:c r="H786" t="str"/>
      <x:c r="I786" t="str">
        <x:v>ja; unique numbered-card/checklist identities for this row scope</x:v>
      </x:c>
      <x:c r="J786" t="str">
        <x:v>Numbered total equals the reconciled printed denominator + beyond-denominator identities + separately listed subset identities.</x:v>
      </x:c>
      <x:c r="K786" t="str">
        <x:v>ja-65fb81566e25</x:v>
      </x:c>
      <x:c r="L786" t="str">
        <x:v>numbered_total</x:v>
      </x:c>
    </x:row>
    <x:row r="787">
      <x:c r="A787" t="str">
        <x:v>NUM-355d73e58222</x:v>
      </x:c>
      <x:c r="B787" t="str">
        <x:v>2026-09-26-numbered-totals</x:v>
      </x:c>
      <x:c r="C787" t="str">
        <x:v>ja</x:v>
      </x:c>
      <x:c r="D787" t="str">
        <x:v>Rising Fist</x:v>
      </x:c>
      <x:c r="E787" t="str">
        <x:v>Numbered total</x:v>
      </x:c>
      <x:c r="F787" t="n">
        <x:v>105</x:v>
      </x:c>
      <x:c r="G787" t="str">
        <x:v>reconciled_components</x:v>
      </x:c>
      <x:c r="H787" t="str"/>
      <x:c r="I787" t="str">
        <x:v>ja; unique numbered-card/checklist identities for this row scope</x:v>
      </x:c>
      <x:c r="J787" t="str">
        <x:v>Numbered total equals the reconciled printed denominator + beyond-denominator identities + separately listed subset identities.</x:v>
      </x:c>
      <x:c r="K787" t="str">
        <x:v>ja-d7f21b942202</x:v>
      </x:c>
      <x:c r="L787" t="str">
        <x:v>numbered_total</x:v>
      </x:c>
    </x:row>
    <x:row r="788">
      <x:c r="A788" t="str">
        <x:v>NUM-1400199f8e3b</x:v>
      </x:c>
      <x:c r="B788" t="str">
        <x:v>2026-09-26-numbered-totals</x:v>
      </x:c>
      <x:c r="C788" t="str">
        <x:v>ja</x:v>
      </x:c>
      <x:c r="D788" t="str">
        <x:v>Phantom Gate</x:v>
      </x:c>
      <x:c r="E788" t="str">
        <x:v>Numbered total</x:v>
      </x:c>
      <x:c r="F788" t="n">
        <x:v>97</x:v>
      </x:c>
      <x:c r="G788" t="str">
        <x:v>reconciled_components</x:v>
      </x:c>
      <x:c r="H788" t="str"/>
      <x:c r="I788" t="str">
        <x:v>ja; unique numbered-card/checklist identities for this row scope</x:v>
      </x:c>
      <x:c r="J788" t="str">
        <x:v>Numbered total equals the reconciled printed denominator + beyond-denominator identities + separately listed subset identities.</x:v>
      </x:c>
      <x:c r="K788" t="str">
        <x:v>ja-c5f3e48649e7</x:v>
      </x:c>
      <x:c r="L788" t="str">
        <x:v>numbered_total</x:v>
      </x:c>
    </x:row>
    <x:row r="789">
      <x:c r="A789" t="str">
        <x:v>NUM-c4fcf9998684</x:v>
      </x:c>
      <x:c r="B789" t="str">
        <x:v>2026-09-26-numbered-totals</x:v>
      </x:c>
      <x:c r="C789" t="str">
        <x:v>ja</x:v>
      </x:c>
      <x:c r="D789" t="str">
        <x:v>Gaia Volcano</x:v>
      </x:c>
      <x:c r="E789" t="str">
        <x:v>Numbered total</x:v>
      </x:c>
      <x:c r="F789" t="n">
        <x:v>80</x:v>
      </x:c>
      <x:c r="G789" t="str">
        <x:v>reconciled_components</x:v>
      </x:c>
      <x:c r="H789" t="str">
        <x:v>https://bulbapedia.bulbagarden.net/wiki/List_of_Japanese_TCG_Expansions</x:v>
      </x:c>
      <x:c r="I789" t="str">
        <x:v>ja; unique numbered-card/checklist identities for this row scope</x:v>
      </x:c>
      <x:c r="J789" t="str">
        <x:v>Numbered total equals the reconciled printed denominator + beyond-denominator identities + separately listed subset identities.</x:v>
      </x:c>
      <x:c r="K789" t="str">
        <x:v>ja-9081f4c9a4f2</x:v>
      </x:c>
      <x:c r="L789" t="str">
        <x:v>numbered_total</x:v>
      </x:c>
    </x:row>
    <x:row r="790">
      <x:c r="A790" t="str">
        <x:v>NUM-aacb75731bbc</x:v>
      </x:c>
      <x:c r="B790" t="str">
        <x:v>2026-09-26-numbered-totals</x:v>
      </x:c>
      <x:c r="C790" t="str">
        <x:v>ja</x:v>
      </x:c>
      <x:c r="D790" t="str">
        <x:v>Tidal Storm</x:v>
      </x:c>
      <x:c r="E790" t="str">
        <x:v>Numbered total</x:v>
      </x:c>
      <x:c r="F790" t="n">
        <x:v>80</x:v>
      </x:c>
      <x:c r="G790" t="str">
        <x:v>reconciled_components</x:v>
      </x:c>
      <x:c r="H790" t="str">
        <x:v>https://bulbapedia.bulbagarden.net/wiki/List_of_Japanese_TCG_Expansions</x:v>
      </x:c>
      <x:c r="I790" t="str">
        <x:v>ja; unique numbered-card/checklist identities for this row scope</x:v>
      </x:c>
      <x:c r="J790" t="str">
        <x:v>Numbered total equals the reconciled printed denominator + beyond-denominator identities + separately listed subset identities.</x:v>
      </x:c>
      <x:c r="K790" t="str">
        <x:v>ja-f78ca0230f1d</x:v>
      </x:c>
      <x:c r="L790" t="str">
        <x:v>numbered_total</x:v>
      </x:c>
    </x:row>
    <x:row r="791">
      <x:c r="A791" t="str">
        <x:v>NUM-b8b0bec279cc</x:v>
      </x:c>
      <x:c r="B791" t="str">
        <x:v>2026-09-26-numbered-totals</x:v>
      </x:c>
      <x:c r="C791" t="str">
        <x:v>ja</x:v>
      </x:c>
      <x:c r="D791" t="str">
        <x:v>Magma Gang VS Aqua Gang: Double Crisis</x:v>
      </x:c>
      <x:c r="E791" t="str">
        <x:v>Numbered total</x:v>
      </x:c>
      <x:c r="F791" t="n">
        <x:v>34</x:v>
      </x:c>
      <x:c r="G791" t="str">
        <x:v>reconciled_components</x:v>
      </x:c>
      <x:c r="H791" t="str"/>
      <x:c r="I791" t="str">
        <x:v>ja; unique numbered-card/checklist identities for this row scope</x:v>
      </x:c>
      <x:c r="J791" t="str">
        <x:v>Numbered total equals the reconciled printed denominator + beyond-denominator identities + separately listed subset identities.</x:v>
      </x:c>
      <x:c r="K791" t="str">
        <x:v>ja-3e831f8ff73d</x:v>
      </x:c>
      <x:c r="L791" t="str">
        <x:v>numbered_total</x:v>
      </x:c>
    </x:row>
    <x:row r="792">
      <x:c r="A792" t="str">
        <x:v>NUM-3c4e71e160fb</x:v>
      </x:c>
      <x:c r="B792" t="str">
        <x:v>2026-09-26-numbered-totals</x:v>
      </x:c>
      <x:c r="C792" t="str">
        <x:v>ja</x:v>
      </x:c>
      <x:c r="D792" t="str">
        <x:v>Emerald Break</x:v>
      </x:c>
      <x:c r="E792" t="str">
        <x:v>Numbered total</x:v>
      </x:c>
      <x:c r="F792" t="n">
        <x:v>91</x:v>
      </x:c>
      <x:c r="G792" t="str">
        <x:v>reconciled_components</x:v>
      </x:c>
      <x:c r="H792" t="str"/>
      <x:c r="I792" t="str">
        <x:v>ja; unique numbered-card/checklist identities for this row scope</x:v>
      </x:c>
      <x:c r="J792" t="str">
        <x:v>Numbered total equals the reconciled printed denominator + beyond-denominator identities + separately listed subset identities.</x:v>
      </x:c>
      <x:c r="K792" t="str">
        <x:v>ja-ed3ad6afcabe</x:v>
      </x:c>
      <x:c r="L792" t="str">
        <x:v>numbered_total</x:v>
      </x:c>
    </x:row>
    <x:row r="793">
      <x:c r="A793" t="str">
        <x:v>NUM-a8012dc465fe</x:v>
      </x:c>
      <x:c r="B793" t="str">
        <x:v>2026-09-26-numbered-totals</x:v>
      </x:c>
      <x:c r="C793" t="str">
        <x:v>ja</x:v>
      </x:c>
      <x:c r="D793" t="str">
        <x:v>Bandit Ring</x:v>
      </x:c>
      <x:c r="E793" t="str">
        <x:v>Numbered total</x:v>
      </x:c>
      <x:c r="F793" t="n">
        <x:v>97</x:v>
      </x:c>
      <x:c r="G793" t="str">
        <x:v>reconciled_components</x:v>
      </x:c>
      <x:c r="H793" t="str"/>
      <x:c r="I793" t="str">
        <x:v>ja; unique numbered-card/checklist identities for this row scope</x:v>
      </x:c>
      <x:c r="J793" t="str">
        <x:v>Numbered total equals the reconciled printed denominator + beyond-denominator identities + separately listed subset identities.</x:v>
      </x:c>
      <x:c r="K793" t="str">
        <x:v>ja-cb2aed7a9cd5</x:v>
      </x:c>
      <x:c r="L793" t="str">
        <x:v>numbered_total</x:v>
      </x:c>
    </x:row>
    <x:row r="794">
      <x:c r="A794" t="str">
        <x:v>NUM-ac2b46a09816</x:v>
      </x:c>
      <x:c r="B794" t="str">
        <x:v>2026-09-26-numbered-totals</x:v>
      </x:c>
      <x:c r="C794" t="str">
        <x:v>ja</x:v>
      </x:c>
      <x:c r="D794" t="str">
        <x:v>Legendary Shine Collection</x:v>
      </x:c>
      <x:c r="E794" t="str">
        <x:v>Numbered total</x:v>
      </x:c>
      <x:c r="F794" t="n">
        <x:v>27</x:v>
      </x:c>
      <x:c r="G794" t="str">
        <x:v>reconciled_components</x:v>
      </x:c>
      <x:c r="H794" t="str"/>
      <x:c r="I794" t="str">
        <x:v>ja; unique numbered-card/checklist identities for this row scope</x:v>
      </x:c>
      <x:c r="J794" t="str">
        <x:v>Numbered total equals the reconciled printed denominator + beyond-denominator identities + separately listed subset identities.</x:v>
      </x:c>
      <x:c r="K794" t="str">
        <x:v>ja-48a193b47fdc</x:v>
      </x:c>
      <x:c r="L794" t="str">
        <x:v>numbered_total</x:v>
      </x:c>
    </x:row>
    <x:row r="795">
      <x:c r="A795" t="str">
        <x:v>NUM-ec191dd592f7</x:v>
      </x:c>
      <x:c r="B795" t="str">
        <x:v>2026-09-26-numbered-totals</x:v>
      </x:c>
      <x:c r="C795" t="str">
        <x:v>ja</x:v>
      </x:c>
      <x:c r="D795" t="str">
        <x:v>Blue Shock</x:v>
      </x:c>
      <x:c r="E795" t="str">
        <x:v>Numbered total</x:v>
      </x:c>
      <x:c r="F795" t="n">
        <x:v>65</x:v>
      </x:c>
      <x:c r="G795" t="str">
        <x:v>reconciled_components</x:v>
      </x:c>
      <x:c r="H795" t="str">
        <x:v>https://bulbapedia.bulbagarden.net/wiki/XY8</x:v>
      </x:c>
      <x:c r="I795" t="str">
        <x:v>ja; unique numbered-card/checklist identities for this row scope</x:v>
      </x:c>
      <x:c r="J795" t="str">
        <x:v>Numbered total equals the reconciled printed denominator + beyond-denominator identities + separately listed subset identities.</x:v>
      </x:c>
      <x:c r="K795" t="str">
        <x:v>ja-a9d8ad9a0436</x:v>
      </x:c>
      <x:c r="L795" t="str">
        <x:v>numbered_total</x:v>
      </x:c>
    </x:row>
    <x:row r="796">
      <x:c r="A796" t="str">
        <x:v>NUM-00c3c38ac2c0</x:v>
      </x:c>
      <x:c r="B796" t="str">
        <x:v>2026-09-26-numbered-totals</x:v>
      </x:c>
      <x:c r="C796" t="str">
        <x:v>ja</x:v>
      </x:c>
      <x:c r="D796" t="str">
        <x:v>Red Flash</x:v>
      </x:c>
      <x:c r="E796" t="str">
        <x:v>Numbered total</x:v>
      </x:c>
      <x:c r="F796" t="n">
        <x:v>65</x:v>
      </x:c>
      <x:c r="G796" t="str">
        <x:v>reconciled_components</x:v>
      </x:c>
      <x:c r="H796" t="str">
        <x:v>https://bulbapedia.bulbagarden.net/wiki/XY8</x:v>
      </x:c>
      <x:c r="I796" t="str">
        <x:v>ja; unique numbered-card/checklist identities for this row scope</x:v>
      </x:c>
      <x:c r="J796" t="str">
        <x:v>Numbered total equals the reconciled printed denominator + beyond-denominator identities + separately listed subset identities.</x:v>
      </x:c>
      <x:c r="K796" t="str">
        <x:v>ja-cd5a3e4dd99f</x:v>
      </x:c>
      <x:c r="L796" t="str">
        <x:v>numbered_total</x:v>
      </x:c>
    </x:row>
    <x:row r="797">
      <x:c r="A797" t="str">
        <x:v>NUM-daa4fcf92245</x:v>
      </x:c>
      <x:c r="B797" t="str">
        <x:v>2026-09-26-numbered-totals</x:v>
      </x:c>
      <x:c r="C797" t="str">
        <x:v>ja</x:v>
      </x:c>
      <x:c r="D797" t="str">
        <x:v>Rage of the Broken Heavens</x:v>
      </x:c>
      <x:c r="E797" t="str">
        <x:v>Numbered total</x:v>
      </x:c>
      <x:c r="F797" t="n">
        <x:v>89</x:v>
      </x:c>
      <x:c r="G797" t="str">
        <x:v>reconciled_components</x:v>
      </x:c>
      <x:c r="H797" t="str"/>
      <x:c r="I797" t="str">
        <x:v>ja; unique numbered-card/checklist identities for this row scope</x:v>
      </x:c>
      <x:c r="J797" t="str">
        <x:v>Numbered total equals the reconciled printed denominator + beyond-denominator identities + separately listed subset identities.</x:v>
      </x:c>
      <x:c r="K797" t="str">
        <x:v>ja-53c995f90d44</x:v>
      </x:c>
      <x:c r="L797" t="str">
        <x:v>numbered_total</x:v>
      </x:c>
    </x:row>
    <x:row r="798">
      <x:c r="A798" t="str">
        <x:v>NUM-6429f88a2cc6</x:v>
      </x:c>
      <x:c r="B798" t="str">
        <x:v>2026-09-26-numbered-totals</x:v>
      </x:c>
      <x:c r="C798" t="str">
        <x:v>ja</x:v>
      </x:c>
      <x:c r="D798" t="str">
        <x:v>PokéKyun Collection</x:v>
      </x:c>
      <x:c r="E798" t="str">
        <x:v>Numbered total</x:v>
      </x:c>
      <x:c r="F798" t="n">
        <x:v>32</x:v>
      </x:c>
      <x:c r="G798" t="str">
        <x:v>reconciled_components</x:v>
      </x:c>
      <x:c r="H798" t="str"/>
      <x:c r="I798" t="str">
        <x:v>ja; unique numbered-card/checklist identities for this row scope</x:v>
      </x:c>
      <x:c r="J798" t="str">
        <x:v>Numbered total equals the reconciled printed denominator + beyond-denominator identities + separately listed subset identities.</x:v>
      </x:c>
      <x:c r="K798" t="str">
        <x:v>ja-c41fc30a9d3b</x:v>
      </x:c>
      <x:c r="L798" t="str">
        <x:v>numbered_total</x:v>
      </x:c>
    </x:row>
    <x:row r="799">
      <x:c r="A799" t="str">
        <x:v>NUM-e25440991ad2</x:v>
      </x:c>
      <x:c r="B799" t="str">
        <x:v>2026-09-26-numbered-totals</x:v>
      </x:c>
      <x:c r="C799" t="str">
        <x:v>ja</x:v>
      </x:c>
      <x:c r="D799" t="str">
        <x:v>Awakening Psychic King</x:v>
      </x:c>
      <x:c r="E799" t="str">
        <x:v>Numbered total</x:v>
      </x:c>
      <x:c r="F799" t="n">
        <x:v>88</x:v>
      </x:c>
      <x:c r="G799" t="str">
        <x:v>reconciled_components</x:v>
      </x:c>
      <x:c r="H799" t="str"/>
      <x:c r="I799" t="str">
        <x:v>ja; unique numbered-card/checklist identities for this row scope</x:v>
      </x:c>
      <x:c r="J799" t="str">
        <x:v>Numbered total equals the reconciled printed denominator + beyond-denominator identities + separately listed subset identities.</x:v>
      </x:c>
      <x:c r="K799" t="str">
        <x:v>ja-42c1eb351264</x:v>
      </x:c>
      <x:c r="L799" t="str">
        <x:v>numbered_total</x:v>
      </x:c>
    </x:row>
    <x:row r="800">
      <x:c r="A800" t="str">
        <x:v>NUM-579501e0b371</x:v>
      </x:c>
      <x:c r="B800" t="str">
        <x:v>2026-09-26-numbered-totals</x:v>
      </x:c>
      <x:c r="C800" t="str">
        <x:v>ja</x:v>
      </x:c>
      <x:c r="D800" t="str">
        <x:v>Premium Champion Pack EX×M×BREAK</x:v>
      </x:c>
      <x:c r="E800" t="str">
        <x:v>Numbered total</x:v>
      </x:c>
      <x:c r="F800" t="n">
        <x:v>131</x:v>
      </x:c>
      <x:c r="G800" t="str">
        <x:v>reconciled_components</x:v>
      </x:c>
      <x:c r="H800" t="str"/>
      <x:c r="I800" t="str">
        <x:v>ja; unique numbered-card/checklist identities for this row scope</x:v>
      </x:c>
      <x:c r="J800" t="str">
        <x:v>Numbered total equals the reconciled printed denominator + beyond-denominator identities + separately listed subset identities.</x:v>
      </x:c>
      <x:c r="K800" t="str">
        <x:v>ja-425135e40e84</x:v>
      </x:c>
      <x:c r="L800" t="str">
        <x:v>numbered_total</x:v>
      </x:c>
    </x:row>
    <x:row r="801">
      <x:c r="A801" t="str">
        <x:v>NUM-1e9321753c2d</x:v>
      </x:c>
      <x:c r="B801" t="str">
        <x:v>2026-09-26-numbered-totals</x:v>
      </x:c>
      <x:c r="C801" t="str">
        <x:v>ja</x:v>
      </x:c>
      <x:c r="D801" t="str">
        <x:v>Cruel Traitor</x:v>
      </x:c>
      <x:c r="E801" t="str">
        <x:v>Numbered total</x:v>
      </x:c>
      <x:c r="F801" t="n">
        <x:v>59</x:v>
      </x:c>
      <x:c r="G801" t="str">
        <x:v>reconciled_components</x:v>
      </x:c>
      <x:c r="H801" t="str">
        <x:v>https://bulbapedia.bulbagarden.net/wiki/List_of_Japanese_TCG_Expansions</x:v>
      </x:c>
      <x:c r="I801" t="str">
        <x:v>ja; unique numbered-card/checklist identities for this row scope</x:v>
      </x:c>
      <x:c r="J801" t="str">
        <x:v>Numbered total equals the reconciled printed denominator + beyond-denominator identities + separately listed subset identities.</x:v>
      </x:c>
      <x:c r="K801" t="str">
        <x:v>ja-3f66b633b386</x:v>
      </x:c>
      <x:c r="L801" t="str">
        <x:v>numbered_total</x:v>
      </x:c>
    </x:row>
    <x:row r="802">
      <x:c r="A802" t="str">
        <x:v>NUM-5b72131913fb</x:v>
      </x:c>
      <x:c r="B802" t="str">
        <x:v>2026-09-26-numbered-totals</x:v>
      </x:c>
      <x:c r="C802" t="str">
        <x:v>ja</x:v>
      </x:c>
      <x:c r="D802" t="str">
        <x:v>Fever-Burst Fighter</x:v>
      </x:c>
      <x:c r="E802" t="str">
        <x:v>Numbered total</x:v>
      </x:c>
      <x:c r="F802" t="n">
        <x:v>59</x:v>
      </x:c>
      <x:c r="G802" t="str">
        <x:v>reconciled_components</x:v>
      </x:c>
      <x:c r="H802" t="str">
        <x:v>https://bulbapedia.bulbagarden.net/wiki/List_of_Japanese_TCG_Expansions</x:v>
      </x:c>
      <x:c r="I802" t="str">
        <x:v>ja; unique numbered-card/checklist identities for this row scope</x:v>
      </x:c>
      <x:c r="J802" t="str">
        <x:v>Numbered total equals the reconciled printed denominator + beyond-denominator identities + separately listed subset identities.</x:v>
      </x:c>
      <x:c r="K802" t="str">
        <x:v>ja-d22d64184649</x:v>
      </x:c>
      <x:c r="L802" t="str">
        <x:v>numbered_total</x:v>
      </x:c>
    </x:row>
    <x:row r="803">
      <x:c r="A803" t="str">
        <x:v>NUM-83ead410ddb1</x:v>
      </x:c>
      <x:c r="B803" t="str">
        <x:v>2026-09-26-numbered-totals</x:v>
      </x:c>
      <x:c r="C803" t="str">
        <x:v>ja</x:v>
      </x:c>
      <x:c r="D803" t="str">
        <x:v>Mythical &amp; Legendary Dream Shine Collection</x:v>
      </x:c>
      <x:c r="E803" t="str">
        <x:v>Numbered total</x:v>
      </x:c>
      <x:c r="F803" t="n">
        <x:v>38</x:v>
      </x:c>
      <x:c r="G803" t="str">
        <x:v>reconciled_components</x:v>
      </x:c>
      <x:c r="H803" t="str"/>
      <x:c r="I803" t="str">
        <x:v>ja; unique numbered-card/checklist identities for this row scope</x:v>
      </x:c>
      <x:c r="J803" t="str">
        <x:v>Numbered total equals the reconciled printed denominator + beyond-denominator identities + separately listed subset identities.</x:v>
      </x:c>
      <x:c r="K803" t="str">
        <x:v>ja-5bb7d768e695</x:v>
      </x:c>
      <x:c r="L803" t="str">
        <x:v>numbered_total</x:v>
      </x:c>
    </x:row>
    <x:row r="804">
      <x:c r="A804" t="str">
        <x:v>NUM-231406ddb9e8</x:v>
      </x:c>
      <x:c r="B804" t="str">
        <x:v>2026-09-26-numbered-totals</x:v>
      </x:c>
      <x:c r="C804" t="str">
        <x:v>ja</x:v>
      </x:c>
      <x:c r="D804" t="str">
        <x:v>Expansion Pack 20th Anniversary</x:v>
      </x:c>
      <x:c r="E804" t="str">
        <x:v>Numbered total</x:v>
      </x:c>
      <x:c r="F804" t="n">
        <x:v>103</x:v>
      </x:c>
      <x:c r="G804" t="str">
        <x:v>reconciled_components</x:v>
      </x:c>
      <x:c r="H804" t="str"/>
      <x:c r="I804" t="str">
        <x:v>ja; unique numbered-card/checklist identities for this row scope</x:v>
      </x:c>
      <x:c r="J804" t="str">
        <x:v>Numbered total equals the reconciled printed denominator + beyond-denominator identities + separately listed subset identities.</x:v>
      </x:c>
      <x:c r="K804" t="str">
        <x:v>ja-dceb8793c7f2</x:v>
      </x:c>
      <x:c r="L804" t="str">
        <x:v>numbered_total</x:v>
      </x:c>
    </x:row>
    <x:row r="805">
      <x:c r="A805" t="str">
        <x:v>NUM-bfb048fe1f2a</x:v>
      </x:c>
      <x:c r="B805" t="str">
        <x:v>2026-09-26-numbered-totals</x:v>
      </x:c>
      <x:c r="C805" t="str">
        <x:v>ja</x:v>
      </x:c>
      <x:c r="D805" t="str">
        <x:v>SM-P Promotional cards</x:v>
      </x:c>
      <x:c r="E805" t="str">
        <x:v>Numbered total</x:v>
      </x:c>
      <x:c r="F805" t="n">
        <x:v>437</x:v>
      </x:c>
      <x:c r="G805" t="str">
        <x:v>reconciled_components</x:v>
      </x:c>
      <x:c r="H805" t="str">
        <x:v>https://bulbapedia.bulbagarden.net/wiki/SM-P</x:v>
      </x:c>
      <x:c r="I805" t="str">
        <x:v>ja; unique numbered-card/checklist identities for this row scope</x:v>
      </x:c>
      <x:c r="J805" t="str">
        <x:v>Numbered total equals the reconciled printed denominator + beyond-denominator identities + separately listed subset identities.</x:v>
      </x:c>
      <x:c r="K805" t="str">
        <x:v>ja-83fbd2dead73</x:v>
      </x:c>
      <x:c r="L805" t="str">
        <x:v>numbered_total</x:v>
      </x:c>
    </x:row>
    <x:row r="806">
      <x:c r="A806" t="str">
        <x:v>NUM-96e5ff9091de</x:v>
      </x:c>
      <x:c r="B806" t="str">
        <x:v>2026-09-26-numbered-totals</x:v>
      </x:c>
      <x:c r="C806" t="str">
        <x:v>ja</x:v>
      </x:c>
      <x:c r="D806" t="str">
        <x:v>Pikachu's New Friends</x:v>
      </x:c>
      <x:c r="E806" t="str">
        <x:v>Numbered total</x:v>
      </x:c>
      <x:c r="F806" t="n">
        <x:v>4</x:v>
      </x:c>
      <x:c r="G806" t="str">
        <x:v>reconciled_components</x:v>
      </x:c>
      <x:c r="H806" t="str"/>
      <x:c r="I806" t="str">
        <x:v>ja; unique numbered-card/checklist identities for this row scope</x:v>
      </x:c>
      <x:c r="J806" t="str">
        <x:v>Numbered total equals the reconciled printed denominator + beyond-denominator identities + separately listed subset identities.</x:v>
      </x:c>
      <x:c r="K806" t="str">
        <x:v>ja-cb8792f6d286</x:v>
      </x:c>
      <x:c r="L806" t="str">
        <x:v>numbered_total</x:v>
      </x:c>
    </x:row>
    <x:row r="807">
      <x:c r="A807" t="str">
        <x:v>NUM-39e03e491773</x:v>
      </x:c>
      <x:c r="B807" t="str">
        <x:v>2026-09-26-numbered-totals</x:v>
      </x:c>
      <x:c r="C807" t="str">
        <x:v>ja</x:v>
      </x:c>
      <x:c r="D807" t="str">
        <x:v>Collection Moon</x:v>
      </x:c>
      <x:c r="E807" t="str">
        <x:v>Numbered total</x:v>
      </x:c>
      <x:c r="F807" t="n">
        <x:v>73</x:v>
      </x:c>
      <x:c r="G807" t="str">
        <x:v>reconciled_components</x:v>
      </x:c>
      <x:c r="H807" t="str"/>
      <x:c r="I807" t="str">
        <x:v>ja; unique numbered-card/checklist identities for this row scope</x:v>
      </x:c>
      <x:c r="J807" t="str">
        <x:v>Numbered total equals the reconciled printed denominator + beyond-denominator identities + separately listed subset identities.</x:v>
      </x:c>
      <x:c r="K807" t="str">
        <x:v>ja-bc403e9d48e8</x:v>
      </x:c>
      <x:c r="L807" t="str">
        <x:v>numbered_total</x:v>
      </x:c>
    </x:row>
    <x:row r="808">
      <x:c r="A808" t="str">
        <x:v>NUM-8d2b8592576b</x:v>
      </x:c>
      <x:c r="B808" t="str">
        <x:v>2026-09-26-numbered-totals</x:v>
      </x:c>
      <x:c r="C808" t="str">
        <x:v>ja</x:v>
      </x:c>
      <x:c r="D808" t="str">
        <x:v>Collection Sun</x:v>
      </x:c>
      <x:c r="E808" t="str">
        <x:v>Numbered total</x:v>
      </x:c>
      <x:c r="F808" t="n">
        <x:v>73</x:v>
      </x:c>
      <x:c r="G808" t="str">
        <x:v>reconciled_components</x:v>
      </x:c>
      <x:c r="H808" t="str"/>
      <x:c r="I808" t="str">
        <x:v>ja; unique numbered-card/checklist identities for this row scope</x:v>
      </x:c>
      <x:c r="J808" t="str">
        <x:v>Numbered total equals the reconciled printed denominator + beyond-denominator identities + separately listed subset identities.</x:v>
      </x:c>
      <x:c r="K808" t="str">
        <x:v>ja-ca73b1e67c2d</x:v>
      </x:c>
      <x:c r="L808" t="str">
        <x:v>numbered_total</x:v>
      </x:c>
    </x:row>
    <x:row r="809">
      <x:c r="A809" t="str">
        <x:v>NUM-08d03630933f</x:v>
      </x:c>
      <x:c r="B809" t="str">
        <x:v>2026-09-26-numbered-totals</x:v>
      </x:c>
      <x:c r="C809" t="str">
        <x:v>ja</x:v>
      </x:c>
      <x:c r="D809" t="str">
        <x:v>Sun &amp; Moon</x:v>
      </x:c>
      <x:c r="E809" t="str">
        <x:v>Numbered total</x:v>
      </x:c>
      <x:c r="F809" t="n">
        <x:v>68</x:v>
      </x:c>
      <x:c r="G809" t="str">
        <x:v>reconciled_components</x:v>
      </x:c>
      <x:c r="H809" t="str"/>
      <x:c r="I809" t="str">
        <x:v>ja; unique numbered-card/checklist identities for this row scope</x:v>
      </x:c>
      <x:c r="J809" t="str">
        <x:v>Numbered total equals the reconciled printed denominator + beyond-denominator identities + separately listed subset identities.</x:v>
      </x:c>
      <x:c r="K809" t="str">
        <x:v>ja-8df82023a344</x:v>
      </x:c>
      <x:c r="L809" t="str">
        <x:v>numbered_total</x:v>
      </x:c>
    </x:row>
    <x:row r="810">
      <x:c r="A810" t="str">
        <x:v>NUM-ba43ac2a68d2</x:v>
      </x:c>
      <x:c r="B810" t="str">
        <x:v>2026-09-26-numbered-totals</x:v>
      </x:c>
      <x:c r="C810" t="str">
        <x:v>ja</x:v>
      </x:c>
      <x:c r="D810" t="str">
        <x:v>Alolan Moonlight</x:v>
      </x:c>
      <x:c r="E810" t="str">
        <x:v>Numbered total</x:v>
      </x:c>
      <x:c r="F810" t="n">
        <x:v>62</x:v>
      </x:c>
      <x:c r="G810" t="str">
        <x:v>reconciled_components</x:v>
      </x:c>
      <x:c r="H810" t="str"/>
      <x:c r="I810" t="str">
        <x:v>ja; unique numbered-card/checklist identities for this row scope</x:v>
      </x:c>
      <x:c r="J810" t="str">
        <x:v>Numbered total equals the reconciled printed denominator + beyond-denominator identities + separately listed subset identities.</x:v>
      </x:c>
      <x:c r="K810" t="str">
        <x:v>ja-55e6d097e410</x:v>
      </x:c>
      <x:c r="L810" t="str">
        <x:v>numbered_total</x:v>
      </x:c>
    </x:row>
    <x:row r="811">
      <x:c r="A811" t="str">
        <x:v>NUM-55ea65bf9090</x:v>
      </x:c>
      <x:c r="B811" t="str">
        <x:v>2026-09-26-numbered-totals</x:v>
      </x:c>
      <x:c r="C811" t="str">
        <x:v>ja</x:v>
      </x:c>
      <x:c r="D811" t="str">
        <x:v>Islands Await You</x:v>
      </x:c>
      <x:c r="E811" t="str">
        <x:v>Numbered total</x:v>
      </x:c>
      <x:c r="F811" t="n">
        <x:v>62</x:v>
      </x:c>
      <x:c r="G811" t="str">
        <x:v>reconciled_components</x:v>
      </x:c>
      <x:c r="H811" t="str"/>
      <x:c r="I811" t="str">
        <x:v>ja; unique numbered-card/checklist identities for this row scope</x:v>
      </x:c>
      <x:c r="J811" t="str">
        <x:v>Numbered total equals the reconciled printed denominator + beyond-denominator identities + separately listed subset identities.</x:v>
      </x:c>
      <x:c r="K811" t="str">
        <x:v>ja-971cdfb65f2d</x:v>
      </x:c>
      <x:c r="L811" t="str">
        <x:v>numbered_total</x:v>
      </x:c>
    </x:row>
    <x:row r="812">
      <x:c r="A812" t="str">
        <x:v>NUM-590a62eef2a7</x:v>
      </x:c>
      <x:c r="B812" t="str">
        <x:v>2026-09-26-numbered-totals</x:v>
      </x:c>
      <x:c r="C812" t="str">
        <x:v>ja</x:v>
      </x:c>
      <x:c r="D812" t="str">
        <x:v>Facing a New Trial</x:v>
      </x:c>
      <x:c r="E812" t="str">
        <x:v>Numbered total</x:v>
      </x:c>
      <x:c r="F812" t="n">
        <x:v>66</x:v>
      </x:c>
      <x:c r="G812" t="str">
        <x:v>reconciled_components</x:v>
      </x:c>
      <x:c r="H812" t="str"/>
      <x:c r="I812" t="str">
        <x:v>ja; unique numbered-card/checklist identities for this row scope</x:v>
      </x:c>
      <x:c r="J812" t="str">
        <x:v>Numbered total equals the reconciled printed denominator + beyond-denominator identities + separately listed subset identities.</x:v>
      </x:c>
      <x:c r="K812" t="str">
        <x:v>ja-b6756f39f2c9</x:v>
      </x:c>
      <x:c r="L812" t="str">
        <x:v>numbered_total</x:v>
      </x:c>
    </x:row>
    <x:row r="813">
      <x:c r="A813" t="str">
        <x:v>NUM-1048110ed12a</x:v>
      </x:c>
      <x:c r="B813" t="str">
        <x:v>2026-09-26-numbered-totals</x:v>
      </x:c>
      <x:c r="C813" t="str">
        <x:v>ja</x:v>
      </x:c>
      <x:c r="D813" t="str">
        <x:v>THE BEST OF XY</x:v>
      </x:c>
      <x:c r="E813" t="str">
        <x:v>Numbered total</x:v>
      </x:c>
      <x:c r="F813" t="n">
        <x:v>188</x:v>
      </x:c>
      <x:c r="G813" t="str">
        <x:v>reconciled_components</x:v>
      </x:c>
      <x:c r="H813" t="str"/>
      <x:c r="I813" t="str">
        <x:v>ja; unique numbered-card/checklist identities for this row scope</x:v>
      </x:c>
      <x:c r="J813" t="str">
        <x:v>Numbered total equals the reconciled printed denominator + beyond-denominator identities + separately listed subset identities.</x:v>
      </x:c>
      <x:c r="K813" t="str">
        <x:v>ja-cde9902fee50</x:v>
      </x:c>
      <x:c r="L813" t="str">
        <x:v>numbered_total</x:v>
      </x:c>
    </x:row>
    <x:row r="814">
      <x:c r="A814" t="str">
        <x:v>NUM-07a90b5e30d5</x:v>
      </x:c>
      <x:c r="B814" t="str">
        <x:v>2026-09-26-numbered-totals</x:v>
      </x:c>
      <x:c r="C814" t="str">
        <x:v>ja</x:v>
      </x:c>
      <x:c r="D814" t="str">
        <x:v>Darkness that Consumes Light</x:v>
      </x:c>
      <x:c r="E814" t="str">
        <x:v>Numbered total</x:v>
      </x:c>
      <x:c r="F814" t="n">
        <x:v>64</x:v>
      </x:c>
      <x:c r="G814" t="str">
        <x:v>reconciled_components</x:v>
      </x:c>
      <x:c r="H814" t="str"/>
      <x:c r="I814" t="str">
        <x:v>ja; unique numbered-card/checklist identities for this row scope</x:v>
      </x:c>
      <x:c r="J814" t="str">
        <x:v>Numbered total equals the reconciled printed denominator + beyond-denominator identities + separately listed subset identities.</x:v>
      </x:c>
      <x:c r="K814" t="str">
        <x:v>ja-67b1962747e8</x:v>
      </x:c>
      <x:c r="L814" t="str">
        <x:v>numbered_total</x:v>
      </x:c>
    </x:row>
    <x:row r="815">
      <x:c r="A815" t="str">
        <x:v>NUM-03508c9e0c72</x:v>
      </x:c>
      <x:c r="B815" t="str">
        <x:v>2026-09-26-numbered-totals</x:v>
      </x:c>
      <x:c r="C815" t="str">
        <x:v>ja</x:v>
      </x:c>
      <x:c r="D815" t="str">
        <x:v>To Have Seen the Battle Rainbow</x:v>
      </x:c>
      <x:c r="E815" t="str">
        <x:v>Numbered total</x:v>
      </x:c>
      <x:c r="F815" t="n">
        <x:v>64</x:v>
      </x:c>
      <x:c r="G815" t="str">
        <x:v>reconciled_components</x:v>
      </x:c>
      <x:c r="H815" t="str"/>
      <x:c r="I815" t="str">
        <x:v>ja; unique numbered-card/checklist identities for this row scope</x:v>
      </x:c>
      <x:c r="J815" t="str">
        <x:v>Numbered total equals the reconciled printed denominator + beyond-denominator identities + separately listed subset identities.</x:v>
      </x:c>
      <x:c r="K815" t="str">
        <x:v>ja-666ab116cab0</x:v>
      </x:c>
      <x:c r="L815" t="str">
        <x:v>numbered_total</x:v>
      </x:c>
    </x:row>
    <x:row r="816">
      <x:c r="A816" t="str">
        <x:v>NUM-6b8a1e882690</x:v>
      </x:c>
      <x:c r="B816" t="str">
        <x:v>2026-09-26-numbered-totals</x:v>
      </x:c>
      <x:c r="C816" t="str">
        <x:v>ja</x:v>
      </x:c>
      <x:c r="D816" t="str">
        <x:v>Shining Legends</x:v>
      </x:c>
      <x:c r="E816" t="str">
        <x:v>Numbered total</x:v>
      </x:c>
      <x:c r="F816" t="n">
        <x:v>82</x:v>
      </x:c>
      <x:c r="G816" t="str">
        <x:v>reconciled_components</x:v>
      </x:c>
      <x:c r="H816" t="str"/>
      <x:c r="I816" t="str">
        <x:v>ja; unique numbered-card/checklist identities for this row scope</x:v>
      </x:c>
      <x:c r="J816" t="str">
        <x:v>Numbered total equals the reconciled printed denominator + beyond-denominator identities + separately listed subset identities.</x:v>
      </x:c>
      <x:c r="K816" t="str">
        <x:v>ja-a4a29f2d81f7</x:v>
      </x:c>
      <x:c r="L816" t="str">
        <x:v>numbered_total</x:v>
      </x:c>
    </x:row>
    <x:row r="817">
      <x:c r="A817" t="str">
        <x:v>NUM-1dc1cb45c33f</x:v>
      </x:c>
      <x:c r="B817" t="str">
        <x:v>2026-09-26-numbered-totals</x:v>
      </x:c>
      <x:c r="C817" t="str">
        <x:v>ja</x:v>
      </x:c>
      <x:c r="D817" t="str">
        <x:v>Awakened Heroes</x:v>
      </x:c>
      <x:c r="E817" t="str">
        <x:v>Numbered total</x:v>
      </x:c>
      <x:c r="F817" t="n">
        <x:v>62</x:v>
      </x:c>
      <x:c r="G817" t="str">
        <x:v>reconciled_components</x:v>
      </x:c>
      <x:c r="H817" t="str"/>
      <x:c r="I817" t="str">
        <x:v>ja; unique numbered-card/checklist identities for this row scope</x:v>
      </x:c>
      <x:c r="J817" t="str">
        <x:v>Numbered total equals the reconciled printed denominator + beyond-denominator identities + separately listed subset identities.</x:v>
      </x:c>
      <x:c r="K817" t="str">
        <x:v>ja-eada6233c89e</x:v>
      </x:c>
      <x:c r="L817" t="str">
        <x:v>numbered_total</x:v>
      </x:c>
    </x:row>
    <x:row r="818">
      <x:c r="A818" t="str">
        <x:v>NUM-cab643388499</x:v>
      </x:c>
      <x:c r="B818" t="str">
        <x:v>2026-09-26-numbered-totals</x:v>
      </x:c>
      <x:c r="C818" t="str">
        <x:v>ja</x:v>
      </x:c>
      <x:c r="D818" t="str">
        <x:v>Ultradimensional Beasts</x:v>
      </x:c>
      <x:c r="E818" t="str">
        <x:v>Numbered total</x:v>
      </x:c>
      <x:c r="F818" t="n">
        <x:v>62</x:v>
      </x:c>
      <x:c r="G818" t="str">
        <x:v>reconciled_components</x:v>
      </x:c>
      <x:c r="H818" t="str"/>
      <x:c r="I818" t="str">
        <x:v>ja; unique numbered-card/checklist identities for this row scope</x:v>
      </x:c>
      <x:c r="J818" t="str">
        <x:v>Numbered total equals the reconciled printed denominator + beyond-denominator identities + separately listed subset identities.</x:v>
      </x:c>
      <x:c r="K818" t="str">
        <x:v>ja-a60336de3244</x:v>
      </x:c>
      <x:c r="L818" t="str">
        <x:v>numbered_total</x:v>
      </x:c>
    </x:row>
    <x:row r="819">
      <x:c r="A819" t="str">
        <x:v>NUM-3226f461b5c2</x:v>
      </x:c>
      <x:c r="B819" t="str">
        <x:v>2026-09-26-numbered-totals</x:v>
      </x:c>
      <x:c r="C819" t="str">
        <x:v>ja</x:v>
      </x:c>
      <x:c r="D819" t="str">
        <x:v>GX Battle Boost</x:v>
      </x:c>
      <x:c r="E819" t="str">
        <x:v>Numbered total</x:v>
      </x:c>
      <x:c r="F819" t="n">
        <x:v>125</x:v>
      </x:c>
      <x:c r="G819" t="str">
        <x:v>reconciled_components</x:v>
      </x:c>
      <x:c r="H819" t="str"/>
      <x:c r="I819" t="str">
        <x:v>ja; unique numbered-card/checklist identities for this row scope</x:v>
      </x:c>
      <x:c r="J819" t="str">
        <x:v>Numbered total equals the reconciled printed denominator + beyond-denominator identities + separately listed subset identities.</x:v>
      </x:c>
      <x:c r="K819" t="str">
        <x:v>ja-d804e36e664f</x:v>
      </x:c>
      <x:c r="L819" t="str">
        <x:v>numbered_total</x:v>
      </x:c>
    </x:row>
    <x:row r="820">
      <x:c r="A820" t="str">
        <x:v>NUM-4dd0e289c856</x:v>
      </x:c>
      <x:c r="B820" t="str">
        <x:v>2026-09-26-numbered-totals</x:v>
      </x:c>
      <x:c r="C820" t="str">
        <x:v>ja</x:v>
      </x:c>
      <x:c r="D820" t="str">
        <x:v>Ultra Moon</x:v>
      </x:c>
      <x:c r="E820" t="str">
        <x:v>Numbered total</x:v>
      </x:c>
      <x:c r="F820" t="n">
        <x:v>78</x:v>
      </x:c>
      <x:c r="G820" t="str">
        <x:v>reconciled_components</x:v>
      </x:c>
      <x:c r="H820" t="str"/>
      <x:c r="I820" t="str">
        <x:v>ja; unique numbered-card/checklist identities for this row scope</x:v>
      </x:c>
      <x:c r="J820" t="str">
        <x:v>Numbered total equals the reconciled printed denominator + beyond-denominator identities + separately listed subset identities.</x:v>
      </x:c>
      <x:c r="K820" t="str">
        <x:v>ja-ef1513ab4f6e</x:v>
      </x:c>
      <x:c r="L820" t="str">
        <x:v>numbered_total</x:v>
      </x:c>
    </x:row>
    <x:row r="821">
      <x:c r="A821" t="str">
        <x:v>NUM-5f6acb359a56</x:v>
      </x:c>
      <x:c r="B821" t="str">
        <x:v>2026-09-26-numbered-totals</x:v>
      </x:c>
      <x:c r="C821" t="str">
        <x:v>ja</x:v>
      </x:c>
      <x:c r="D821" t="str">
        <x:v>Ultra Sun</x:v>
      </x:c>
      <x:c r="E821" t="str">
        <x:v>Numbered total</x:v>
      </x:c>
      <x:c r="F821" t="n">
        <x:v>78</x:v>
      </x:c>
      <x:c r="G821" t="str">
        <x:v>reconciled_components</x:v>
      </x:c>
      <x:c r="H821" t="str"/>
      <x:c r="I821" t="str">
        <x:v>ja; unique numbered-card/checklist identities for this row scope</x:v>
      </x:c>
      <x:c r="J821" t="str">
        <x:v>Numbered total equals the reconciled printed denominator + beyond-denominator identities + separately listed subset identities.</x:v>
      </x:c>
      <x:c r="K821" t="str">
        <x:v>ja-584b5e55b1bd</x:v>
      </x:c>
      <x:c r="L821" t="str">
        <x:v>numbered_total</x:v>
      </x:c>
    </x:row>
    <x:row r="822">
      <x:c r="A822" t="str">
        <x:v>NUM-a44029508889</x:v>
      </x:c>
      <x:c r="B822" t="str">
        <x:v>2026-09-26-numbered-totals</x:v>
      </x:c>
      <x:c r="C822" t="str">
        <x:v>ja</x:v>
      </x:c>
      <x:c r="D822" t="str">
        <x:v>Ultra Force</x:v>
      </x:c>
      <x:c r="E822" t="str">
        <x:v>Numbered total</x:v>
      </x:c>
      <x:c r="F822" t="n">
        <x:v>63</x:v>
      </x:c>
      <x:c r="G822" t="str">
        <x:v>reconciled_components</x:v>
      </x:c>
      <x:c r="H822" t="str"/>
      <x:c r="I822" t="str">
        <x:v>ja; unique numbered-card/checklist identities for this row scope</x:v>
      </x:c>
      <x:c r="J822" t="str">
        <x:v>Numbered total equals the reconciled printed denominator + beyond-denominator identities + separately listed subset identities.</x:v>
      </x:c>
      <x:c r="K822" t="str">
        <x:v>ja-83edef567ded</x:v>
      </x:c>
      <x:c r="L822" t="str">
        <x:v>numbered_total</x:v>
      </x:c>
    </x:row>
    <x:row r="823">
      <x:c r="A823" t="str">
        <x:v>NUM-d17e167909b9</x:v>
      </x:c>
      <x:c r="B823" t="str">
        <x:v>2026-09-26-numbered-totals</x:v>
      </x:c>
      <x:c r="C823" t="str">
        <x:v>ja</x:v>
      </x:c>
      <x:c r="D823" t="str">
        <x:v>Forbidden Light</x:v>
      </x:c>
      <x:c r="E823" t="str">
        <x:v>Numbered total</x:v>
      </x:c>
      <x:c r="F823" t="n">
        <x:v>110</x:v>
      </x:c>
      <x:c r="G823" t="str">
        <x:v>reconciled_components</x:v>
      </x:c>
      <x:c r="H823" t="str"/>
      <x:c r="I823" t="str">
        <x:v>ja; unique numbered-card/checklist identities for this row scope</x:v>
      </x:c>
      <x:c r="J823" t="str">
        <x:v>Numbered total equals the reconciled printed denominator + beyond-denominator identities + separately listed subset identities.</x:v>
      </x:c>
      <x:c r="K823" t="str">
        <x:v>ja-6a519d00febd</x:v>
      </x:c>
      <x:c r="L823" t="str">
        <x:v>numbered_total</x:v>
      </x:c>
    </x:row>
    <x:row r="824">
      <x:c r="A824" t="str">
        <x:v>NUM-9b87fb62b380</x:v>
      </x:c>
      <x:c r="B824" t="str">
        <x:v>2026-09-26-numbered-totals</x:v>
      </x:c>
      <x:c r="C824" t="str">
        <x:v>ja</x:v>
      </x:c>
      <x:c r="D824" t="str">
        <x:v>Dragon Storm</x:v>
      </x:c>
      <x:c r="E824" t="str">
        <x:v>Numbered total</x:v>
      </x:c>
      <x:c r="F824" t="n">
        <x:v>66</x:v>
      </x:c>
      <x:c r="G824" t="str">
        <x:v>reconciled_components</x:v>
      </x:c>
      <x:c r="H824" t="str"/>
      <x:c r="I824" t="str">
        <x:v>ja; unique numbered-card/checklist identities for this row scope</x:v>
      </x:c>
      <x:c r="J824" t="str">
        <x:v>Numbered total equals the reconciled printed denominator + beyond-denominator identities + separately listed subset identities.</x:v>
      </x:c>
      <x:c r="K824" t="str">
        <x:v>ja-c0cc49fe109e</x:v>
      </x:c>
      <x:c r="L824" t="str">
        <x:v>numbered_total</x:v>
      </x:c>
    </x:row>
    <x:row r="825">
      <x:c r="A825" t="str">
        <x:v>NUM-b4b0548b109f</x:v>
      </x:c>
      <x:c r="B825" t="str">
        <x:v>2026-09-26-numbered-totals</x:v>
      </x:c>
      <x:c r="C825" t="str">
        <x:v>ja</x:v>
      </x:c>
      <x:c r="D825" t="str">
        <x:v>Champion Road</x:v>
      </x:c>
      <x:c r="E825" t="str">
        <x:v>Numbered total</x:v>
      </x:c>
      <x:c r="F825" t="n">
        <x:v>86</x:v>
      </x:c>
      <x:c r="G825" t="str">
        <x:v>reconciled_components</x:v>
      </x:c>
      <x:c r="H825" t="str"/>
      <x:c r="I825" t="str">
        <x:v>ja; unique numbered-card/checklist identities for this row scope</x:v>
      </x:c>
      <x:c r="J825" t="str">
        <x:v>Numbered total equals the reconciled printed denominator + beyond-denominator identities + separately listed subset identities.</x:v>
      </x:c>
      <x:c r="K825" t="str">
        <x:v>ja-5bae8fb35c26</x:v>
      </x:c>
      <x:c r="L825" t="str">
        <x:v>numbered_total</x:v>
      </x:c>
    </x:row>
    <x:row r="826">
      <x:c r="A826" t="str">
        <x:v>NUM-87066b017dd1</x:v>
      </x:c>
      <x:c r="B826" t="str">
        <x:v>2026-09-26-numbered-totals</x:v>
      </x:c>
      <x:c r="C826" t="str">
        <x:v>ja</x:v>
      </x:c>
      <x:c r="D826" t="str">
        <x:v>Sky-Splitting Charisma</x:v>
      </x:c>
      <x:c r="E826" t="str">
        <x:v>Numbered total</x:v>
      </x:c>
      <x:c r="F826" t="n">
        <x:v>112</x:v>
      </x:c>
      <x:c r="G826" t="str">
        <x:v>reconciled_components</x:v>
      </x:c>
      <x:c r="H826" t="str"/>
      <x:c r="I826" t="str">
        <x:v>ja; unique numbered-card/checklist identities for this row scope</x:v>
      </x:c>
      <x:c r="J826" t="str">
        <x:v>Numbered total equals the reconciled printed denominator + beyond-denominator identities + separately listed subset identities.</x:v>
      </x:c>
      <x:c r="K826" t="str">
        <x:v>ja-fd2cafa865f0</x:v>
      </x:c>
      <x:c r="L826" t="str">
        <x:v>numbered_total</x:v>
      </x:c>
    </x:row>
    <x:row r="827">
      <x:c r="A827" t="str">
        <x:v>NUM-a0bdfa92136e</x:v>
      </x:c>
      <x:c r="B827" t="str">
        <x:v>2026-09-26-numbered-totals</x:v>
      </x:c>
      <x:c r="C827" t="str">
        <x:v>ja</x:v>
      </x:c>
      <x:c r="D827" t="str">
        <x:v>Thunderclap Spark</x:v>
      </x:c>
      <x:c r="E827" t="str">
        <x:v>Numbered total</x:v>
      </x:c>
      <x:c r="F827" t="n">
        <x:v>73</x:v>
      </x:c>
      <x:c r="G827" t="str">
        <x:v>reconciled_components</x:v>
      </x:c>
      <x:c r="H827" t="str"/>
      <x:c r="I827" t="str">
        <x:v>ja; unique numbered-card/checklist identities for this row scope</x:v>
      </x:c>
      <x:c r="J827" t="str">
        <x:v>Numbered total equals the reconciled printed denominator + beyond-denominator identities + separately listed subset identities.</x:v>
      </x:c>
      <x:c r="K827" t="str">
        <x:v>ja-571ae5dabd50</x:v>
      </x:c>
      <x:c r="L827" t="str">
        <x:v>numbered_total</x:v>
      </x:c>
    </x:row>
    <x:row r="828">
      <x:c r="A828" t="str">
        <x:v>NUM-2e34495ca87a</x:v>
      </x:c>
      <x:c r="B828" t="str">
        <x:v>2026-09-26-numbered-totals</x:v>
      </x:c>
      <x:c r="C828" t="str">
        <x:v>ja</x:v>
      </x:c>
      <x:c r="D828" t="str">
        <x:v>Fairy Rise</x:v>
      </x:c>
      <x:c r="E828" t="str">
        <x:v>Numbered total</x:v>
      </x:c>
      <x:c r="F828" t="n">
        <x:v>63</x:v>
      </x:c>
      <x:c r="G828" t="str">
        <x:v>reconciled_components</x:v>
      </x:c>
      <x:c r="H828" t="str"/>
      <x:c r="I828" t="str">
        <x:v>ja; unique numbered-card/checklist identities for this row scope</x:v>
      </x:c>
      <x:c r="J828" t="str">
        <x:v>Numbered total equals the reconciled printed denominator + beyond-denominator identities + separately listed subset identities.</x:v>
      </x:c>
      <x:c r="K828" t="str">
        <x:v>ja-4f05943164ce</x:v>
      </x:c>
      <x:c r="L828" t="str">
        <x:v>numbered_total</x:v>
      </x:c>
    </x:row>
    <x:row r="829">
      <x:c r="A829" t="str">
        <x:v>NUM-cd578c5843aa</x:v>
      </x:c>
      <x:c r="B829" t="str">
        <x:v>2026-09-26-numbered-totals</x:v>
      </x:c>
      <x:c r="C829" t="str">
        <x:v>ja</x:v>
      </x:c>
      <x:c r="D829" t="str">
        <x:v>Super-Burst Impact</x:v>
      </x:c>
      <x:c r="E829" t="str">
        <x:v>Numbered total</x:v>
      </x:c>
      <x:c r="F829" t="n">
        <x:v>111</x:v>
      </x:c>
      <x:c r="G829" t="str">
        <x:v>reconciled_components</x:v>
      </x:c>
      <x:c r="H829" t="str"/>
      <x:c r="I829" t="str">
        <x:v>ja; unique numbered-card/checklist identities for this row scope</x:v>
      </x:c>
      <x:c r="J829" t="str">
        <x:v>Numbered total equals the reconciled printed denominator + beyond-denominator identities + separately listed subset identities.</x:v>
      </x:c>
      <x:c r="K829" t="str">
        <x:v>ja-cdebc1c8262e</x:v>
      </x:c>
      <x:c r="L829" t="str">
        <x:v>numbered_total</x:v>
      </x:c>
    </x:row>
    <x:row r="830">
      <x:c r="A830" t="str">
        <x:v>NUM-e5248309a0cd</x:v>
      </x:c>
      <x:c r="B830" t="str">
        <x:v>2026-09-26-numbered-totals</x:v>
      </x:c>
      <x:c r="C830" t="str">
        <x:v>ja</x:v>
      </x:c>
      <x:c r="D830" t="str">
        <x:v>Dark Order</x:v>
      </x:c>
      <x:c r="E830" t="str">
        <x:v>Numbered total</x:v>
      </x:c>
      <x:c r="F830" t="n">
        <x:v>65</x:v>
      </x:c>
      <x:c r="G830" t="str">
        <x:v>reconciled_components</x:v>
      </x:c>
      <x:c r="H830" t="str"/>
      <x:c r="I830" t="str">
        <x:v>ja; unique numbered-card/checklist identities for this row scope</x:v>
      </x:c>
      <x:c r="J830" t="str">
        <x:v>Numbered total equals the reconciled printed denominator + beyond-denominator identities + separately listed subset identities.</x:v>
      </x:c>
      <x:c r="K830" t="str">
        <x:v>ja-3eb2e555b4ff</x:v>
      </x:c>
      <x:c r="L830" t="str">
        <x:v>numbered_total</x:v>
      </x:c>
    </x:row>
    <x:row r="831">
      <x:c r="A831" t="str">
        <x:v>NUM-eddabe3200af</x:v>
      </x:c>
      <x:c r="B831" t="str">
        <x:v>2026-09-26-numbered-totals</x:v>
      </x:c>
      <x:c r="C831" t="str">
        <x:v>ja</x:v>
      </x:c>
      <x:c r="D831" t="str">
        <x:v>GX Ultra Shiny</x:v>
      </x:c>
      <x:c r="E831" t="str">
        <x:v>Numbered total</x:v>
      </x:c>
      <x:c r="F831" t="n">
        <x:v>250</x:v>
      </x:c>
      <x:c r="G831" t="str">
        <x:v>reconciled_components</x:v>
      </x:c>
      <x:c r="H831" t="str"/>
      <x:c r="I831" t="str">
        <x:v>ja; unique numbered-card/checklist identities for this row scope</x:v>
      </x:c>
      <x:c r="J831" t="str">
        <x:v>Numbered total equals the reconciled printed denominator + beyond-denominator identities + separately listed subset identities.</x:v>
      </x:c>
      <x:c r="K831" t="str">
        <x:v>ja-14c79248f8f3</x:v>
      </x:c>
      <x:c r="L831" t="str">
        <x:v>numbered_total</x:v>
      </x:c>
    </x:row>
    <x:row r="832">
      <x:c r="A832" t="str">
        <x:v>NUM-885c6e8b54cb</x:v>
      </x:c>
      <x:c r="B832" t="str">
        <x:v>2026-09-26-numbered-totals</x:v>
      </x:c>
      <x:c r="C832" t="str">
        <x:v>ja</x:v>
      </x:c>
      <x:c r="D832" t="str">
        <x:v>Tag Bolt</x:v>
      </x:c>
      <x:c r="E832" t="str">
        <x:v>Numbered total</x:v>
      </x:c>
      <x:c r="F832" t="n">
        <x:v>118</x:v>
      </x:c>
      <x:c r="G832" t="str">
        <x:v>reconciled_components</x:v>
      </x:c>
      <x:c r="H832" t="str"/>
      <x:c r="I832" t="str">
        <x:v>ja; unique numbered-card/checklist identities for this row scope</x:v>
      </x:c>
      <x:c r="J832" t="str">
        <x:v>Numbered total equals the reconciled printed denominator + beyond-denominator identities + separately listed subset identities.</x:v>
      </x:c>
      <x:c r="K832" t="str">
        <x:v>ja-44e48422e5bf</x:v>
      </x:c>
      <x:c r="L832" t="str">
        <x:v>numbered_total</x:v>
      </x:c>
    </x:row>
    <x:row r="833">
      <x:c r="A833" t="str">
        <x:v>NUM-9a3a86d5f63f</x:v>
      </x:c>
      <x:c r="B833" t="str">
        <x:v>2026-09-26-numbered-totals</x:v>
      </x:c>
      <x:c r="C833" t="str">
        <x:v>ja</x:v>
      </x:c>
      <x:c r="D833" t="str">
        <x:v>Night Unison</x:v>
      </x:c>
      <x:c r="E833" t="str">
        <x:v>Numbered total</x:v>
      </x:c>
      <x:c r="F833" t="n">
        <x:v>70</x:v>
      </x:c>
      <x:c r="G833" t="str">
        <x:v>reconciled_components</x:v>
      </x:c>
      <x:c r="H833" t="str"/>
      <x:c r="I833" t="str">
        <x:v>ja; unique numbered-card/checklist identities for this row scope</x:v>
      </x:c>
      <x:c r="J833" t="str">
        <x:v>Numbered total equals the reconciled printed denominator + beyond-denominator identities + separately listed subset identities.</x:v>
      </x:c>
      <x:c r="K833" t="str">
        <x:v>ja-1492e357d239</x:v>
      </x:c>
      <x:c r="L833" t="str">
        <x:v>numbered_total</x:v>
      </x:c>
    </x:row>
    <x:row r="834">
      <x:c r="A834" t="str">
        <x:v>NUM-db89ac485f5d</x:v>
      </x:c>
      <x:c r="B834" t="str">
        <x:v>2026-09-26-numbered-totals</x:v>
      </x:c>
      <x:c r="C834" t="str">
        <x:v>ja</x:v>
      </x:c>
      <x:c r="D834" t="str">
        <x:v>Full Metal Wall</x:v>
      </x:c>
      <x:c r="E834" t="str">
        <x:v>Numbered total</x:v>
      </x:c>
      <x:c r="F834" t="n">
        <x:v>69</x:v>
      </x:c>
      <x:c r="G834" t="str">
        <x:v>reconciled_components</x:v>
      </x:c>
      <x:c r="H834" t="str"/>
      <x:c r="I834" t="str">
        <x:v>ja; unique numbered-card/checklist identities for this row scope</x:v>
      </x:c>
      <x:c r="J834" t="str">
        <x:v>Numbered total equals the reconciled printed denominator + beyond-denominator identities + separately listed subset identities.</x:v>
      </x:c>
      <x:c r="K834" t="str">
        <x:v>ja-1d013958f902</x:v>
      </x:c>
      <x:c r="L834" t="str">
        <x:v>numbered_total</x:v>
      </x:c>
    </x:row>
    <x:row r="835">
      <x:c r="A835" t="str">
        <x:v>NUM-b2af40dc7204</x:v>
      </x:c>
      <x:c r="B835" t="str">
        <x:v>2026-09-26-numbered-totals</x:v>
      </x:c>
      <x:c r="C835" t="str">
        <x:v>ja</x:v>
      </x:c>
      <x:c r="D835" t="str">
        <x:v>Double Blaze</x:v>
      </x:c>
      <x:c r="E835" t="str">
        <x:v>Numbered total</x:v>
      </x:c>
      <x:c r="F835" t="n">
        <x:v>116</x:v>
      </x:c>
      <x:c r="G835" t="str">
        <x:v>reconciled_components</x:v>
      </x:c>
      <x:c r="H835" t="str"/>
      <x:c r="I835" t="str">
        <x:v>ja; unique numbered-card/checklist identities for this row scope</x:v>
      </x:c>
      <x:c r="J835" t="str">
        <x:v>Numbered total equals the reconciled printed denominator + beyond-denominator identities + separately listed subset identities.</x:v>
      </x:c>
      <x:c r="K835" t="str">
        <x:v>ja-8a5c47e5fb6a</x:v>
      </x:c>
      <x:c r="L835" t="str">
        <x:v>numbered_total</x:v>
      </x:c>
    </x:row>
    <x:row r="836">
      <x:c r="A836" t="str">
        <x:v>NUM-67a2523e3f96</x:v>
      </x:c>
      <x:c r="B836" t="str">
        <x:v>2026-09-26-numbered-totals</x:v>
      </x:c>
      <x:c r="C836" t="str">
        <x:v>ja</x:v>
      </x:c>
      <x:c r="D836" t="str">
        <x:v>GG End</x:v>
      </x:c>
      <x:c r="E836" t="str">
        <x:v>Numbered total</x:v>
      </x:c>
      <x:c r="F836" t="n">
        <x:v>69</x:v>
      </x:c>
      <x:c r="G836" t="str">
        <x:v>reconciled_components</x:v>
      </x:c>
      <x:c r="H836" t="str"/>
      <x:c r="I836" t="str">
        <x:v>ja; unique numbered-card/checklist identities for this row scope</x:v>
      </x:c>
      <x:c r="J836" t="str">
        <x:v>Numbered total equals the reconciled printed denominator + beyond-denominator identities + separately listed subset identities.</x:v>
      </x:c>
      <x:c r="K836" t="str">
        <x:v>ja-c4a139835b63</x:v>
      </x:c>
      <x:c r="L836" t="str">
        <x:v>numbered_total</x:v>
      </x:c>
    </x:row>
    <x:row r="837">
      <x:c r="A837" t="str">
        <x:v>NUM-d734b62523a6</x:v>
      </x:c>
      <x:c r="B837" t="str">
        <x:v>2026-09-26-numbered-totals</x:v>
      </x:c>
      <x:c r="C837" t="str">
        <x:v>ja</x:v>
      </x:c>
      <x:c r="D837" t="str">
        <x:v>Movie Special Pack Great Detective Pikachu</x:v>
      </x:c>
      <x:c r="E837" t="str">
        <x:v>Numbered total</x:v>
      </x:c>
      <x:c r="F837" t="n">
        <x:v>25</x:v>
      </x:c>
      <x:c r="G837" t="str">
        <x:v>reconciled_components</x:v>
      </x:c>
      <x:c r="H837" t="str"/>
      <x:c r="I837" t="str">
        <x:v>ja; unique numbered-card/checklist identities for this row scope</x:v>
      </x:c>
      <x:c r="J837" t="str">
        <x:v>Numbered total equals the reconciled printed denominator + beyond-denominator identities + separately listed subset identities.</x:v>
      </x:c>
      <x:c r="K837" t="str">
        <x:v>ja-30e4f6411a6b</x:v>
      </x:c>
      <x:c r="L837" t="str">
        <x:v>numbered_total</x:v>
      </x:c>
    </x:row>
    <x:row r="838">
      <x:c r="A838" t="str">
        <x:v>NUM-2b505765e3ae</x:v>
      </x:c>
      <x:c r="B838" t="str">
        <x:v>2026-09-26-numbered-totals</x:v>
      </x:c>
      <x:c r="C838" t="str">
        <x:v>ja</x:v>
      </x:c>
      <x:c r="D838" t="str">
        <x:v>Sky Legend</x:v>
      </x:c>
      <x:c r="E838" t="str">
        <x:v>Numbered total</x:v>
      </x:c>
      <x:c r="F838" t="n">
        <x:v>69</x:v>
      </x:c>
      <x:c r="G838" t="str">
        <x:v>reconciled_components</x:v>
      </x:c>
      <x:c r="H838" t="str"/>
      <x:c r="I838" t="str">
        <x:v>ja; unique numbered-card/checklist identities for this row scope</x:v>
      </x:c>
      <x:c r="J838" t="str">
        <x:v>Numbered total equals the reconciled printed denominator + beyond-denominator identities + separately listed subset identities.</x:v>
      </x:c>
      <x:c r="K838" t="str">
        <x:v>ja-817e33c42235</x:v>
      </x:c>
      <x:c r="L838" t="str">
        <x:v>numbered_total</x:v>
      </x:c>
    </x:row>
    <x:row r="839">
      <x:c r="A839" t="str">
        <x:v>NUM-cc68d7146150</x:v>
      </x:c>
      <x:c r="B839" t="str">
        <x:v>2026-09-26-numbered-totals</x:v>
      </x:c>
      <x:c r="C839" t="str">
        <x:v>ja</x:v>
      </x:c>
      <x:c r="D839" t="str">
        <x:v>Miracle Twin</x:v>
      </x:c>
      <x:c r="E839" t="str">
        <x:v>Numbered total</x:v>
      </x:c>
      <x:c r="F839" t="n">
        <x:v>115</x:v>
      </x:c>
      <x:c r="G839" t="str">
        <x:v>reconciled_components</x:v>
      </x:c>
      <x:c r="H839" t="str"/>
      <x:c r="I839" t="str">
        <x:v>ja; unique numbered-card/checklist identities for this row scope</x:v>
      </x:c>
      <x:c r="J839" t="str">
        <x:v>Numbered total equals the reconciled printed denominator + beyond-denominator identities + separately listed subset identities.</x:v>
      </x:c>
      <x:c r="K839" t="str">
        <x:v>ja-6c05c1b394e2</x:v>
      </x:c>
      <x:c r="L839" t="str">
        <x:v>numbered_total</x:v>
      </x:c>
    </x:row>
    <x:row r="840">
      <x:c r="A840" t="str">
        <x:v>NUM-56dea21875d6</x:v>
      </x:c>
      <x:c r="B840" t="str">
        <x:v>2026-09-26-numbered-totals</x:v>
      </x:c>
      <x:c r="C840" t="str">
        <x:v>ja</x:v>
      </x:c>
      <x:c r="D840" t="str">
        <x:v>Remix Bout</x:v>
      </x:c>
      <x:c r="E840" t="str">
        <x:v>Numbered total</x:v>
      </x:c>
      <x:c r="F840" t="n">
        <x:v>80</x:v>
      </x:c>
      <x:c r="G840" t="str">
        <x:v>reconciled_components</x:v>
      </x:c>
      <x:c r="H840" t="str"/>
      <x:c r="I840" t="str">
        <x:v>ja; unique numbered-card/checklist identities for this row scope</x:v>
      </x:c>
      <x:c r="J840" t="str">
        <x:v>Numbered total equals the reconciled printed denominator + beyond-denominator identities + separately listed subset identities.</x:v>
      </x:c>
      <x:c r="K840" t="str">
        <x:v>ja-4567e4111ab9</x:v>
      </x:c>
      <x:c r="L840" t="str">
        <x:v>numbered_total</x:v>
      </x:c>
    </x:row>
    <x:row r="841">
      <x:c r="A841" t="str">
        <x:v>NUM-89805244360b</x:v>
      </x:c>
      <x:c r="B841" t="str">
        <x:v>2026-09-26-numbered-totals</x:v>
      </x:c>
      <x:c r="C841" t="str">
        <x:v>ja</x:v>
      </x:c>
      <x:c r="D841" t="str">
        <x:v>Dream League</x:v>
      </x:c>
      <x:c r="E841" t="str">
        <x:v>Numbered total</x:v>
      </x:c>
      <x:c r="F841" t="n">
        <x:v>75</x:v>
      </x:c>
      <x:c r="G841" t="str">
        <x:v>reconciled_components</x:v>
      </x:c>
      <x:c r="H841" t="str"/>
      <x:c r="I841" t="str">
        <x:v>ja; unique numbered-card/checklist identities for this row scope</x:v>
      </x:c>
      <x:c r="J841" t="str">
        <x:v>Numbered total equals the reconciled printed denominator + beyond-denominator identities + separately listed subset identities.</x:v>
      </x:c>
      <x:c r="K841" t="str">
        <x:v>ja-b362201ebfc8</x:v>
      </x:c>
      <x:c r="L841" t="str">
        <x:v>numbered_total</x:v>
      </x:c>
    </x:row>
    <x:row r="842">
      <x:c r="A842" t="str">
        <x:v>NUM-a8b8d1881f86</x:v>
      </x:c>
      <x:c r="B842" t="str">
        <x:v>2026-09-26-numbered-totals</x:v>
      </x:c>
      <x:c r="C842" t="str">
        <x:v>ja</x:v>
      </x:c>
      <x:c r="D842" t="str">
        <x:v>Alter Genesis</x:v>
      </x:c>
      <x:c r="E842" t="str">
        <x:v>Numbered total</x:v>
      </x:c>
      <x:c r="F842" t="n">
        <x:v>117</x:v>
      </x:c>
      <x:c r="G842" t="str">
        <x:v>reconciled_components</x:v>
      </x:c>
      <x:c r="H842" t="str"/>
      <x:c r="I842" t="str">
        <x:v>ja; unique numbered-card/checklist identities for this row scope</x:v>
      </x:c>
      <x:c r="J842" t="str">
        <x:v>Numbered total equals the reconciled printed denominator + beyond-denominator identities + separately listed subset identities.</x:v>
      </x:c>
      <x:c r="K842" t="str">
        <x:v>ja-360585a4f68e</x:v>
      </x:c>
      <x:c r="L842" t="str">
        <x:v>numbered_total</x:v>
      </x:c>
    </x:row>
    <x:row r="843">
      <x:c r="A843" t="str">
        <x:v>NUM-6968eec6aba0</x:v>
      </x:c>
      <x:c r="B843" t="str">
        <x:v>2026-09-26-numbered-totals</x:v>
      </x:c>
      <x:c r="C843" t="str">
        <x:v>ja</x:v>
      </x:c>
      <x:c r="D843" t="str">
        <x:v>TAG TEAM GX: Tag All Stars</x:v>
      </x:c>
      <x:c r="E843" t="str">
        <x:v>Numbered total</x:v>
      </x:c>
      <x:c r="F843" t="n">
        <x:v>226</x:v>
      </x:c>
      <x:c r="G843" t="str">
        <x:v>reconciled_components</x:v>
      </x:c>
      <x:c r="H843" t="str"/>
      <x:c r="I843" t="str">
        <x:v>ja; unique numbered-card/checklist identities for this row scope</x:v>
      </x:c>
      <x:c r="J843" t="str">
        <x:v>Numbered total equals the reconciled printed denominator + beyond-denominator identities + separately listed subset identities.</x:v>
      </x:c>
      <x:c r="K843" t="str">
        <x:v>ja-3470002c85af</x:v>
      </x:c>
      <x:c r="L843" t="str">
        <x:v>numbered_total</x:v>
      </x:c>
    </x:row>
    <x:row r="844">
      <x:c r="A844" t="str">
        <x:v>NUM-7eff9a40fe90</x:v>
      </x:c>
      <x:c r="B844" t="str">
        <x:v>2026-09-26-numbered-totals</x:v>
      </x:c>
      <x:c r="C844" t="str">
        <x:v>ja</x:v>
      </x:c>
      <x:c r="D844" t="str">
        <x:v>S-P Promotional cards</x:v>
      </x:c>
      <x:c r="E844" t="str">
        <x:v>Numbered total</x:v>
      </x:c>
      <x:c r="F844" t="n">
        <x:v>374</x:v>
      </x:c>
      <x:c r="G844" t="str">
        <x:v>reconciled_components</x:v>
      </x:c>
      <x:c r="H844" t="str">
        <x:v>https://bulbapedia.bulbagarden.net/wiki/S-P</x:v>
      </x:c>
      <x:c r="I844" t="str">
        <x:v>ja; unique numbered-card/checklist identities for this row scope</x:v>
      </x:c>
      <x:c r="J844" t="str">
        <x:v>Numbered total equals the reconciled printed denominator + beyond-denominator identities + separately listed subset identities.</x:v>
      </x:c>
      <x:c r="K844" t="str">
        <x:v>ja-68e24f4b9e33</x:v>
      </x:c>
      <x:c r="L844" t="str">
        <x:v>numbered_total</x:v>
      </x:c>
    </x:row>
    <x:row r="845">
      <x:c r="A845" t="str">
        <x:v>NUM-1b2d0c760568</x:v>
      </x:c>
      <x:c r="B845" t="str">
        <x:v>2026-09-26-numbered-totals</x:v>
      </x:c>
      <x:c r="C845" t="str">
        <x:v>ja</x:v>
      </x:c>
      <x:c r="D845" t="str">
        <x:v>Shield</x:v>
      </x:c>
      <x:c r="E845" t="str">
        <x:v>Numbered total</x:v>
      </x:c>
      <x:c r="F845" t="n">
        <x:v>75</x:v>
      </x:c>
      <x:c r="G845" t="str">
        <x:v>reconciled_components</x:v>
      </x:c>
      <x:c r="H845" t="str"/>
      <x:c r="I845" t="str">
        <x:v>ja; unique numbered-card/checklist identities for this row scope</x:v>
      </x:c>
      <x:c r="J845" t="str">
        <x:v>Numbered total equals the reconciled printed denominator + beyond-denominator identities + separately listed subset identities.</x:v>
      </x:c>
      <x:c r="K845" t="str">
        <x:v>ja-9a9a258e145f</x:v>
      </x:c>
      <x:c r="L845" t="str">
        <x:v>numbered_total</x:v>
      </x:c>
    </x:row>
    <x:row r="846">
      <x:c r="A846" t="str">
        <x:v>NUM-4b7d5f4129d4</x:v>
      </x:c>
      <x:c r="B846" t="str">
        <x:v>2026-09-26-numbered-totals</x:v>
      </x:c>
      <x:c r="C846" t="str">
        <x:v>ja</x:v>
      </x:c>
      <x:c r="D846" t="str">
        <x:v>Sword</x:v>
      </x:c>
      <x:c r="E846" t="str">
        <x:v>Numbered total</x:v>
      </x:c>
      <x:c r="F846" t="n">
        <x:v>75</x:v>
      </x:c>
      <x:c r="G846" t="str">
        <x:v>reconciled_components</x:v>
      </x:c>
      <x:c r="H846" t="str"/>
      <x:c r="I846" t="str">
        <x:v>ja; unique numbered-card/checklist identities for this row scope</x:v>
      </x:c>
      <x:c r="J846" t="str">
        <x:v>Numbered total equals the reconciled printed denominator + beyond-denominator identities + separately listed subset identities.</x:v>
      </x:c>
      <x:c r="K846" t="str">
        <x:v>ja-6ca3924b3841</x:v>
      </x:c>
      <x:c r="L846" t="str">
        <x:v>numbered_total</x:v>
      </x:c>
    </x:row>
    <x:row r="847">
      <x:c r="A847" t="str">
        <x:v>NUM-fe5d734b07e5</x:v>
      </x:c>
      <x:c r="B847" t="str">
        <x:v>2026-09-26-numbered-totals</x:v>
      </x:c>
      <x:c r="C847" t="str">
        <x:v>ja</x:v>
      </x:c>
      <x:c r="D847" t="str">
        <x:v>VMAX Rising</x:v>
      </x:c>
      <x:c r="E847" t="str">
        <x:v>Numbered total</x:v>
      </x:c>
      <x:c r="F847" t="n">
        <x:v>86</x:v>
      </x:c>
      <x:c r="G847" t="str">
        <x:v>reconciled_components</x:v>
      </x:c>
      <x:c r="H847" t="str"/>
      <x:c r="I847" t="str">
        <x:v>ja; unique numbered-card/checklist identities for this row scope</x:v>
      </x:c>
      <x:c r="J847" t="str">
        <x:v>Numbered total equals the reconciled printed denominator + beyond-denominator identities + separately listed subset identities.</x:v>
      </x:c>
      <x:c r="K847" t="str">
        <x:v>ja-41bc1f260fcc</x:v>
      </x:c>
      <x:c r="L847" t="str">
        <x:v>numbered_total</x:v>
      </x:c>
    </x:row>
    <x:row r="848">
      <x:c r="A848" t="str">
        <x:v>NUM-3accfbb94495</x:v>
      </x:c>
      <x:c r="B848" t="str">
        <x:v>2026-09-26-numbered-totals</x:v>
      </x:c>
      <x:c r="C848" t="str">
        <x:v>ja</x:v>
      </x:c>
      <x:c r="D848" t="str">
        <x:v>Rebellion Crash</x:v>
      </x:c>
      <x:c r="E848" t="str">
        <x:v>Numbered total</x:v>
      </x:c>
      <x:c r="F848" t="n">
        <x:v>115</x:v>
      </x:c>
      <x:c r="G848" t="str">
        <x:v>reconciled_components</x:v>
      </x:c>
      <x:c r="H848" t="str"/>
      <x:c r="I848" t="str">
        <x:v>ja; unique numbered-card/checklist identities for this row scope</x:v>
      </x:c>
      <x:c r="J848" t="str">
        <x:v>Numbered total equals the reconciled printed denominator + beyond-denominator identities + separately listed subset identities.</x:v>
      </x:c>
      <x:c r="K848" t="str">
        <x:v>ja-4b1b5f2dbf56</x:v>
      </x:c>
      <x:c r="L848" t="str">
        <x:v>numbered_total</x:v>
      </x:c>
    </x:row>
    <x:row r="849">
      <x:c r="A849" t="str">
        <x:v>NUM-a34c54183e68</x:v>
      </x:c>
      <x:c r="B849" t="str">
        <x:v>2026-09-26-numbered-totals</x:v>
      </x:c>
      <x:c r="C849" t="str">
        <x:v>ja</x:v>
      </x:c>
      <x:c r="D849" t="str">
        <x:v>Explosive Walker</x:v>
      </x:c>
      <x:c r="E849" t="str">
        <x:v>Numbered total</x:v>
      </x:c>
      <x:c r="F849" t="n">
        <x:v>86</x:v>
      </x:c>
      <x:c r="G849" t="str">
        <x:v>reconciled_components</x:v>
      </x:c>
      <x:c r="H849" t="str"/>
      <x:c r="I849" t="str">
        <x:v>ja; unique numbered-card/checklist identities for this row scope</x:v>
      </x:c>
      <x:c r="J849" t="str">
        <x:v>Numbered total equals the reconciled printed denominator + beyond-denominator identities + separately listed subset identities.</x:v>
      </x:c>
      <x:c r="K849" t="str">
        <x:v>ja-bc61668ecd97</x:v>
      </x:c>
      <x:c r="L849" t="str">
        <x:v>numbered_total</x:v>
      </x:c>
    </x:row>
    <x:row r="850">
      <x:c r="A850" t="str">
        <x:v>NUM-e1a7c58fb4a3</x:v>
      </x:c>
      <x:c r="B850" t="str">
        <x:v>2026-09-26-numbered-totals</x:v>
      </x:c>
      <x:c r="C850" t="str">
        <x:v>ja</x:v>
      </x:c>
      <x:c r="D850" t="str">
        <x:v>Infinity Zone</x:v>
      </x:c>
      <x:c r="E850" t="str">
        <x:v>Numbered total</x:v>
      </x:c>
      <x:c r="F850" t="n">
        <x:v>119</x:v>
      </x:c>
      <x:c r="G850" t="str">
        <x:v>reconciled_components</x:v>
      </x:c>
      <x:c r="H850" t="str"/>
      <x:c r="I850" t="str">
        <x:v>ja; unique numbered-card/checklist identities for this row scope</x:v>
      </x:c>
      <x:c r="J850" t="str">
        <x:v>Numbered total equals the reconciled printed denominator + beyond-denominator identities + separately listed subset identities.</x:v>
      </x:c>
      <x:c r="K850" t="str">
        <x:v>ja-fe67deb06caa</x:v>
      </x:c>
      <x:c r="L850" t="str">
        <x:v>numbered_total</x:v>
      </x:c>
    </x:row>
    <x:row r="851">
      <x:c r="A851" t="str">
        <x:v>NUM-951761fa1947</x:v>
      </x:c>
      <x:c r="B851" t="str">
        <x:v>2026-09-26-numbered-totals</x:v>
      </x:c>
      <x:c r="C851" t="str">
        <x:v>ja</x:v>
      </x:c>
      <x:c r="D851" t="str">
        <x:v>Legendary Heartbeat</x:v>
      </x:c>
      <x:c r="E851" t="str">
        <x:v>Numbered total</x:v>
      </x:c>
      <x:c r="F851" t="n">
        <x:v>94</x:v>
      </x:c>
      <x:c r="G851" t="str">
        <x:v>reconciled_components</x:v>
      </x:c>
      <x:c r="H851" t="str"/>
      <x:c r="I851" t="str">
        <x:v>ja; unique numbered-card/checklist identities for this row scope</x:v>
      </x:c>
      <x:c r="J851" t="str">
        <x:v>Numbered total equals the reconciled printed denominator + beyond-denominator identities + separately listed subset identities.</x:v>
      </x:c>
      <x:c r="K851" t="str">
        <x:v>ja-5dec0101b162</x:v>
      </x:c>
      <x:c r="L851" t="str">
        <x:v>numbered_total</x:v>
      </x:c>
    </x:row>
    <x:row r="852">
      <x:c r="A852" t="str">
        <x:v>NUM-f611a47a6859</x:v>
      </x:c>
      <x:c r="B852" t="str">
        <x:v>2026-09-26-numbered-totals</x:v>
      </x:c>
      <x:c r="C852" t="str">
        <x:v>ja</x:v>
      </x:c>
      <x:c r="D852" t="str">
        <x:v>Amazing Volt Tackle</x:v>
      </x:c>
      <x:c r="E852" t="str">
        <x:v>Numbered total</x:v>
      </x:c>
      <x:c r="F852" t="n">
        <x:v>121</x:v>
      </x:c>
      <x:c r="G852" t="str">
        <x:v>reconciled_components</x:v>
      </x:c>
      <x:c r="H852" t="str"/>
      <x:c r="I852" t="str">
        <x:v>ja; unique numbered-card/checklist identities for this row scope</x:v>
      </x:c>
      <x:c r="J852" t="str">
        <x:v>Numbered total equals the reconciled printed denominator + beyond-denominator identities + separately listed subset identities.</x:v>
      </x:c>
      <x:c r="K852" t="str">
        <x:v>ja-d6983c9293ae</x:v>
      </x:c>
      <x:c r="L852" t="str">
        <x:v>numbered_total</x:v>
      </x:c>
    </x:row>
    <x:row r="853">
      <x:c r="A853" t="str">
        <x:v>NUM-24f0d98fb82a</x:v>
      </x:c>
      <x:c r="B853" t="str">
        <x:v>2026-09-26-numbered-totals</x:v>
      </x:c>
      <x:c r="C853" t="str">
        <x:v>ja</x:v>
      </x:c>
      <x:c r="D853" t="str">
        <x:v>Shiny Star V</x:v>
      </x:c>
      <x:c r="E853" t="str">
        <x:v>Numbered total</x:v>
      </x:c>
      <x:c r="F853" t="n">
        <x:v>330</x:v>
      </x:c>
      <x:c r="G853" t="str">
        <x:v>reconciled_components</x:v>
      </x:c>
      <x:c r="H853" t="str"/>
      <x:c r="I853" t="str">
        <x:v>ja; unique numbered-card/checklist identities for this row scope</x:v>
      </x:c>
      <x:c r="J853" t="str">
        <x:v>Numbered total equals the reconciled printed denominator + beyond-denominator identities + separately listed subset identities.</x:v>
      </x:c>
      <x:c r="K853" t="str">
        <x:v>ja-5c76d8bbd31d</x:v>
      </x:c>
      <x:c r="L853" t="str">
        <x:v>numbered_total</x:v>
      </x:c>
    </x:row>
    <x:row r="854">
      <x:c r="A854" t="str">
        <x:v>NUM-c92adeedfc41</x:v>
      </x:c>
      <x:c r="B854" t="str">
        <x:v>2026-09-26-numbered-totals</x:v>
      </x:c>
      <x:c r="C854" t="str">
        <x:v>ja</x:v>
      </x:c>
      <x:c r="D854" t="str">
        <x:v>Rapid Strike Master</x:v>
      </x:c>
      <x:c r="E854" t="str">
        <x:v>Numbered total</x:v>
      </x:c>
      <x:c r="F854" t="n">
        <x:v>91</x:v>
      </x:c>
      <x:c r="G854" t="str">
        <x:v>reconciled_components</x:v>
      </x:c>
      <x:c r="H854" t="str"/>
      <x:c r="I854" t="str">
        <x:v>ja; unique numbered-card/checklist identities for this row scope</x:v>
      </x:c>
      <x:c r="J854" t="str">
        <x:v>Numbered total equals the reconciled printed denominator + beyond-denominator identities + separately listed subset identities.</x:v>
      </x:c>
      <x:c r="K854" t="str">
        <x:v>ja-ad7c897babc2</x:v>
      </x:c>
      <x:c r="L854" t="str">
        <x:v>numbered_total</x:v>
      </x:c>
    </x:row>
    <x:row r="855">
      <x:c r="A855" t="str">
        <x:v>NUM-1baa34828c6b</x:v>
      </x:c>
      <x:c r="B855" t="str">
        <x:v>2026-09-26-numbered-totals</x:v>
      </x:c>
      <x:c r="C855" t="str">
        <x:v>ja</x:v>
      </x:c>
      <x:c r="D855" t="str">
        <x:v>Single Strike Master</x:v>
      </x:c>
      <x:c r="E855" t="str">
        <x:v>Numbered total</x:v>
      </x:c>
      <x:c r="F855" t="n">
        <x:v>91</x:v>
      </x:c>
      <x:c r="G855" t="str">
        <x:v>reconciled_components</x:v>
      </x:c>
      <x:c r="H855" t="str"/>
      <x:c r="I855" t="str">
        <x:v>ja; unique numbered-card/checklist identities for this row scope</x:v>
      </x:c>
      <x:c r="J855" t="str">
        <x:v>Numbered total equals the reconciled printed denominator + beyond-denominator identities + separately listed subset identities.</x:v>
      </x:c>
      <x:c r="K855" t="str">
        <x:v>ja-2b362d2b173a</x:v>
      </x:c>
      <x:c r="L855" t="str">
        <x:v>numbered_total</x:v>
      </x:c>
    </x:row>
    <x:row r="856">
      <x:c r="A856" t="str">
        <x:v>NUM-585b1eee7a67</x:v>
      </x:c>
      <x:c r="B856" t="str">
        <x:v>2026-09-26-numbered-totals</x:v>
      </x:c>
      <x:c r="C856" t="str">
        <x:v>ja</x:v>
      </x:c>
      <x:c r="D856" t="str">
        <x:v>Jet-Black Spirit</x:v>
      </x:c>
      <x:c r="E856" t="str">
        <x:v>Numbered total</x:v>
      </x:c>
      <x:c r="F856" t="n">
        <x:v>95</x:v>
      </x:c>
      <x:c r="G856" t="str">
        <x:v>reconciled_components</x:v>
      </x:c>
      <x:c r="H856" t="str"/>
      <x:c r="I856" t="str">
        <x:v>ja; unique numbered-card/checklist identities for this row scope</x:v>
      </x:c>
      <x:c r="J856" t="str">
        <x:v>Numbered total equals the reconciled printed denominator + beyond-denominator identities + separately listed subset identities.</x:v>
      </x:c>
      <x:c r="K856" t="str">
        <x:v>ja-1dc54d0d52c9</x:v>
      </x:c>
      <x:c r="L856" t="str">
        <x:v>numbered_total</x:v>
      </x:c>
    </x:row>
    <x:row r="857">
      <x:c r="A857" t="str">
        <x:v>NUM-1fdeb1afdf94</x:v>
      </x:c>
      <x:c r="B857" t="str">
        <x:v>2026-09-26-numbered-totals</x:v>
      </x:c>
      <x:c r="C857" t="str">
        <x:v>ja</x:v>
      </x:c>
      <x:c r="D857" t="str">
        <x:v>Silver Lance</x:v>
      </x:c>
      <x:c r="E857" t="str">
        <x:v>Numbered total</x:v>
      </x:c>
      <x:c r="F857" t="n">
        <x:v>95</x:v>
      </x:c>
      <x:c r="G857" t="str">
        <x:v>reconciled_components</x:v>
      </x:c>
      <x:c r="H857" t="str"/>
      <x:c r="I857" t="str">
        <x:v>ja; unique numbered-card/checklist identities for this row scope</x:v>
      </x:c>
      <x:c r="J857" t="str">
        <x:v>Numbered total equals the reconciled printed denominator + beyond-denominator identities + separately listed subset identities.</x:v>
      </x:c>
      <x:c r="K857" t="str">
        <x:v>ja-c54e31e73b73</x:v>
      </x:c>
      <x:c r="L857" t="str">
        <x:v>numbered_total</x:v>
      </x:c>
    </x:row>
    <x:row r="858">
      <x:c r="A858" t="str">
        <x:v>NUM-45e485cf6e85</x:v>
      </x:c>
      <x:c r="B858" t="str">
        <x:v>2026-09-26-numbered-totals</x:v>
      </x:c>
      <x:c r="C858" t="str">
        <x:v>ja</x:v>
      </x:c>
      <x:c r="D858" t="str">
        <x:v>Eevee Heroes</x:v>
      </x:c>
      <x:c r="E858" t="str">
        <x:v>Numbered total</x:v>
      </x:c>
      <x:c r="F858" t="n">
        <x:v>101</x:v>
      </x:c>
      <x:c r="G858" t="str">
        <x:v>reconciled_components</x:v>
      </x:c>
      <x:c r="H858" t="str"/>
      <x:c r="I858" t="str">
        <x:v>ja; unique numbered-card/checklist identities for this row scope</x:v>
      </x:c>
      <x:c r="J858" t="str">
        <x:v>Numbered total equals the reconciled printed denominator + beyond-denominator identities + separately listed subset identities.</x:v>
      </x:c>
      <x:c r="K858" t="str">
        <x:v>ja-9ff3481acdf9</x:v>
      </x:c>
      <x:c r="L858" t="str">
        <x:v>numbered_total</x:v>
      </x:c>
    </x:row>
    <x:row r="859">
      <x:c r="A859" t="str">
        <x:v>NUM-6dd2600dfb44</x:v>
      </x:c>
      <x:c r="B859" t="str">
        <x:v>2026-09-26-numbered-totals</x:v>
      </x:c>
      <x:c r="C859" t="str">
        <x:v>ja</x:v>
      </x:c>
      <x:c r="D859" t="str">
        <x:v>Blue Sky Stream</x:v>
      </x:c>
      <x:c r="E859" t="str">
        <x:v>Numbered total</x:v>
      </x:c>
      <x:c r="F859" t="n">
        <x:v>90</x:v>
      </x:c>
      <x:c r="G859" t="str">
        <x:v>reconciled_components</x:v>
      </x:c>
      <x:c r="H859" t="str"/>
      <x:c r="I859" t="str">
        <x:v>ja; unique numbered-card/checklist identities for this row scope</x:v>
      </x:c>
      <x:c r="J859" t="str">
        <x:v>Numbered total equals the reconciled printed denominator + beyond-denominator identities + separately listed subset identities.</x:v>
      </x:c>
      <x:c r="K859" t="str">
        <x:v>ja-2a45df0b3090</x:v>
      </x:c>
      <x:c r="L859" t="str">
        <x:v>numbered_total</x:v>
      </x:c>
    </x:row>
    <x:row r="860">
      <x:c r="A860" t="str">
        <x:v>NUM-90cbaad691fb</x:v>
      </x:c>
      <x:c r="B860" t="str">
        <x:v>2026-09-26-numbered-totals</x:v>
      </x:c>
      <x:c r="C860" t="str">
        <x:v>ja</x:v>
      </x:c>
      <x:c r="D860" t="str">
        <x:v>Skyscraping Perfection</x:v>
      </x:c>
      <x:c r="E860" t="str">
        <x:v>Numbered total</x:v>
      </x:c>
      <x:c r="F860" t="n">
        <x:v>90</x:v>
      </x:c>
      <x:c r="G860" t="str">
        <x:v>reconciled_components</x:v>
      </x:c>
      <x:c r="H860" t="str"/>
      <x:c r="I860" t="str">
        <x:v>ja; unique numbered-card/checklist identities for this row scope</x:v>
      </x:c>
      <x:c r="J860" t="str">
        <x:v>Numbered total equals the reconciled printed denominator + beyond-denominator identities + separately listed subset identities.</x:v>
      </x:c>
      <x:c r="K860" t="str">
        <x:v>ja-419a40449874</x:v>
      </x:c>
      <x:c r="L860" t="str">
        <x:v>numbered_total</x:v>
      </x:c>
    </x:row>
    <x:row r="861">
      <x:c r="A861" t="str">
        <x:v>NUM-ab8d8e3bacd6</x:v>
      </x:c>
      <x:c r="B861" t="str">
        <x:v>2026-09-26-numbered-totals</x:v>
      </x:c>
      <x:c r="C861" t="str">
        <x:v>ja</x:v>
      </x:c>
      <x:c r="D861" t="str">
        <x:v>Fusion Arts</x:v>
      </x:c>
      <x:c r="E861" t="str">
        <x:v>Numbered total</x:v>
      </x:c>
      <x:c r="F861" t="n">
        <x:v>129</x:v>
      </x:c>
      <x:c r="G861" t="str">
        <x:v>reconciled_components</x:v>
      </x:c>
      <x:c r="H861" t="str"/>
      <x:c r="I861" t="str">
        <x:v>ja; unique numbered-card/checklist identities for this row scope</x:v>
      </x:c>
      <x:c r="J861" t="str">
        <x:v>Numbered total equals the reconciled printed denominator + beyond-denominator identities + separately listed subset identities.</x:v>
      </x:c>
      <x:c r="K861" t="str">
        <x:v>ja-d02fca79b23e</x:v>
      </x:c>
      <x:c r="L861" t="str">
        <x:v>numbered_total</x:v>
      </x:c>
    </x:row>
    <x:row r="862">
      <x:c r="A862" t="str">
        <x:v>NUM-ba1ea9d55d5f</x:v>
      </x:c>
      <x:c r="B862" t="str">
        <x:v>2026-09-26-numbered-totals</x:v>
      </x:c>
      <x:c r="C862" t="str">
        <x:v>ja</x:v>
      </x:c>
      <x:c r="D862" t="str">
        <x:v>25th Anniversary Collection</x:v>
      </x:c>
      <x:c r="E862" t="str">
        <x:v>Numbered total</x:v>
      </x:c>
      <x:c r="F862" t="n">
        <x:v>30</x:v>
      </x:c>
      <x:c r="G862" t="str">
        <x:v>reconciled_components</x:v>
      </x:c>
      <x:c r="H862" t="str"/>
      <x:c r="I862" t="str">
        <x:v>ja; unique numbered-card/checklist identities for this row scope</x:v>
      </x:c>
      <x:c r="J862" t="str">
        <x:v>Numbered total equals the reconciled printed denominator + beyond-denominator identities + separately listed subset identities.</x:v>
      </x:c>
      <x:c r="K862" t="str">
        <x:v>ja-190989f70989</x:v>
      </x:c>
      <x:c r="L862" t="str">
        <x:v>numbered_total</x:v>
      </x:c>
    </x:row>
    <x:row r="863">
      <x:c r="A863" t="str">
        <x:v>NUM-5033826b7360</x:v>
      </x:c>
      <x:c r="B863" t="str">
        <x:v>2026-09-26-numbered-totals</x:v>
      </x:c>
      <x:c r="C863" t="str">
        <x:v>ja</x:v>
      </x:c>
      <x:c r="D863" t="str">
        <x:v>Promo Card Pack 25th Anniversary Edition</x:v>
      </x:c>
      <x:c r="E863" t="str">
        <x:v>Numbered total</x:v>
      </x:c>
      <x:c r="F863" t="n">
        <x:v>25</x:v>
      </x:c>
      <x:c r="G863" t="str">
        <x:v>reconciled_components</x:v>
      </x:c>
      <x:c r="H863" t="str">
        <x:v>https://bulbapedia.bulbagarden.net/wiki/S8aP</x:v>
      </x:c>
      <x:c r="I863" t="str">
        <x:v>ja; unique numbered-card/checklist identities for this row scope</x:v>
      </x:c>
      <x:c r="J863" t="str">
        <x:v>Numbered total equals the reconciled printed denominator + beyond-denominator identities + separately listed subset identities.</x:v>
      </x:c>
      <x:c r="K863" t="str">
        <x:v>ja-bfa6e28a825b</x:v>
      </x:c>
      <x:c r="L863" t="str">
        <x:v>numbered_total</x:v>
      </x:c>
    </x:row>
    <x:row r="864">
      <x:c r="A864" t="str">
        <x:v>NUM-0f973bdd3786</x:v>
      </x:c>
      <x:c r="B864" t="str">
        <x:v>2026-09-26-numbered-totals</x:v>
      </x:c>
      <x:c r="C864" t="str">
        <x:v>ja</x:v>
      </x:c>
      <x:c r="D864" t="str">
        <x:v>VMAX Climax</x:v>
      </x:c>
      <x:c r="E864" t="str">
        <x:v>Numbered total</x:v>
      </x:c>
      <x:c r="F864" t="n">
        <x:v>285</x:v>
      </x:c>
      <x:c r="G864" t="str">
        <x:v>reconciled_components</x:v>
      </x:c>
      <x:c r="H864" t="str"/>
      <x:c r="I864" t="str">
        <x:v>ja; unique numbered-card/checklist identities for this row scope</x:v>
      </x:c>
      <x:c r="J864" t="str">
        <x:v>Numbered total equals the reconciled printed denominator + beyond-denominator identities + separately listed subset identities.</x:v>
      </x:c>
      <x:c r="K864" t="str">
        <x:v>ja-5df7e14f52c6</x:v>
      </x:c>
      <x:c r="L864" t="str">
        <x:v>numbered_total</x:v>
      </x:c>
    </x:row>
    <x:row r="865">
      <x:c r="A865" t="str">
        <x:v>NUM-f1c6a72ff5d6</x:v>
      </x:c>
      <x:c r="B865" t="str">
        <x:v>2026-09-26-numbered-totals</x:v>
      </x:c>
      <x:c r="C865" t="str">
        <x:v>ja</x:v>
      </x:c>
      <x:c r="D865" t="str">
        <x:v>Star Birth</x:v>
      </x:c>
      <x:c r="E865" t="str">
        <x:v>Numbered total</x:v>
      </x:c>
      <x:c r="F865" t="n">
        <x:v>127</x:v>
      </x:c>
      <x:c r="G865" t="str">
        <x:v>reconciled_components</x:v>
      </x:c>
      <x:c r="H865" t="str"/>
      <x:c r="I865" t="str">
        <x:v>ja; unique numbered-card/checklist identities for this row scope</x:v>
      </x:c>
      <x:c r="J865" t="str">
        <x:v>Numbered total equals the reconciled printed denominator + beyond-denominator identities + separately listed subset identities.</x:v>
      </x:c>
      <x:c r="K865" t="str">
        <x:v>ja-96e92be4b754</x:v>
      </x:c>
      <x:c r="L865" t="str">
        <x:v>numbered_total</x:v>
      </x:c>
    </x:row>
    <x:row r="866">
      <x:c r="A866" t="str">
        <x:v>NUM-80780d07f5e2</x:v>
      </x:c>
      <x:c r="B866" t="str">
        <x:v>2026-09-26-numbered-totals</x:v>
      </x:c>
      <x:c r="C866" t="str">
        <x:v>ja</x:v>
      </x:c>
      <x:c r="D866" t="str">
        <x:v>Battle Region</x:v>
      </x:c>
      <x:c r="E866" t="str">
        <x:v>Numbered total</x:v>
      </x:c>
      <x:c r="F866" t="n">
        <x:v>93</x:v>
      </x:c>
      <x:c r="G866" t="str">
        <x:v>reconciled_components</x:v>
      </x:c>
      <x:c r="H866" t="str"/>
      <x:c r="I866" t="str">
        <x:v>ja; unique numbered-card/checklist identities for this row scope</x:v>
      </x:c>
      <x:c r="J866" t="str">
        <x:v>Numbered total equals the reconciled printed denominator + beyond-denominator identities + separately listed subset identities.</x:v>
      </x:c>
      <x:c r="K866" t="str">
        <x:v>ja-49441998dfc5</x:v>
      </x:c>
      <x:c r="L866" t="str">
        <x:v>numbered_total</x:v>
      </x:c>
    </x:row>
    <x:row r="867">
      <x:c r="A867" t="str">
        <x:v>NUM-d18d14c01b9a</x:v>
      </x:c>
      <x:c r="B867" t="str">
        <x:v>2026-09-26-numbered-totals</x:v>
      </x:c>
      <x:c r="C867" t="str">
        <x:v>ja</x:v>
      </x:c>
      <x:c r="D867" t="str">
        <x:v>Space Juggler</x:v>
      </x:c>
      <x:c r="E867" t="str">
        <x:v>Numbered total</x:v>
      </x:c>
      <x:c r="F867" t="n">
        <x:v>88</x:v>
      </x:c>
      <x:c r="G867" t="str">
        <x:v>reconciled_components</x:v>
      </x:c>
      <x:c r="H867" t="str"/>
      <x:c r="I867" t="str">
        <x:v>ja; unique numbered-card/checklist identities for this row scope</x:v>
      </x:c>
      <x:c r="J867" t="str">
        <x:v>Numbered total equals the reconciled printed denominator + beyond-denominator identities + separately listed subset identities.</x:v>
      </x:c>
      <x:c r="K867" t="str">
        <x:v>ja-930d500eb1d9</x:v>
      </x:c>
      <x:c r="L867" t="str">
        <x:v>numbered_total</x:v>
      </x:c>
    </x:row>
    <x:row r="868">
      <x:c r="A868" t="str">
        <x:v>NUM-9f513361c2cf</x:v>
      </x:c>
      <x:c r="B868" t="str">
        <x:v>2026-09-26-numbered-totals</x:v>
      </x:c>
      <x:c r="C868" t="str">
        <x:v>ja</x:v>
      </x:c>
      <x:c r="D868" t="str">
        <x:v>Time Gazer</x:v>
      </x:c>
      <x:c r="E868" t="str">
        <x:v>Numbered total</x:v>
      </x:c>
      <x:c r="F868" t="n">
        <x:v>88</x:v>
      </x:c>
      <x:c r="G868" t="str">
        <x:v>reconciled_components</x:v>
      </x:c>
      <x:c r="H868" t="str"/>
      <x:c r="I868" t="str">
        <x:v>ja; unique numbered-card/checklist identities for this row scope</x:v>
      </x:c>
      <x:c r="J868" t="str">
        <x:v>Numbered total equals the reconciled printed denominator + beyond-denominator identities + separately listed subset identities.</x:v>
      </x:c>
      <x:c r="K868" t="str">
        <x:v>ja-ca6a213c93b9</x:v>
      </x:c>
      <x:c r="L868" t="str">
        <x:v>numbered_total</x:v>
      </x:c>
    </x:row>
    <x:row r="869">
      <x:c r="A869" t="str">
        <x:v>NUM-5963ef4ff309</x:v>
      </x:c>
      <x:c r="B869" t="str">
        <x:v>2026-09-26-numbered-totals</x:v>
      </x:c>
      <x:c r="C869" t="str">
        <x:v>ja</x:v>
      </x:c>
      <x:c r="D869" t="str">
        <x:v>Dark Phantasma</x:v>
      </x:c>
      <x:c r="E869" t="str">
        <x:v>Numbered total</x:v>
      </x:c>
      <x:c r="F869" t="n">
        <x:v>99</x:v>
      </x:c>
      <x:c r="G869" t="str">
        <x:v>reconciled_components</x:v>
      </x:c>
      <x:c r="H869" t="str"/>
      <x:c r="I869" t="str">
        <x:v>ja; unique numbered-card/checklist identities for this row scope</x:v>
      </x:c>
      <x:c r="J869" t="str">
        <x:v>Numbered total equals the reconciled printed denominator + beyond-denominator identities + separately listed subset identities.</x:v>
      </x:c>
      <x:c r="K869" t="str">
        <x:v>ja-c83a71b0ee77</x:v>
      </x:c>
      <x:c r="L869" t="str">
        <x:v>numbered_total</x:v>
      </x:c>
    </x:row>
    <x:row r="870">
      <x:c r="A870" t="str">
        <x:v>NUM-77350ce85b00</x:v>
      </x:c>
      <x:c r="B870" t="str">
        <x:v>2026-09-26-numbered-totals</x:v>
      </x:c>
      <x:c r="C870" t="str">
        <x:v>ja</x:v>
      </x:c>
      <x:c r="D870" t="str">
        <x:v>Pokémon GO</x:v>
      </x:c>
      <x:c r="E870" t="str">
        <x:v>Numbered total</x:v>
      </x:c>
      <x:c r="F870" t="n">
        <x:v>93</x:v>
      </x:c>
      <x:c r="G870" t="str">
        <x:v>reconciled_components</x:v>
      </x:c>
      <x:c r="H870" t="str"/>
      <x:c r="I870" t="str">
        <x:v>ja; unique numbered-card/checklist identities for this row scope</x:v>
      </x:c>
      <x:c r="J870" t="str">
        <x:v>Numbered total equals the reconciled printed denominator + beyond-denominator identities + separately listed subset identities.</x:v>
      </x:c>
      <x:c r="K870" t="str">
        <x:v>ja-ff2e38d6fae3</x:v>
      </x:c>
      <x:c r="L870" t="str">
        <x:v>numbered_total</x:v>
      </x:c>
    </x:row>
    <x:row r="871">
      <x:c r="A871" t="str">
        <x:v>NUM-e3857512dc4d</x:v>
      </x:c>
      <x:c r="B871" t="str">
        <x:v>2026-09-26-numbered-totals</x:v>
      </x:c>
      <x:c r="C871" t="str">
        <x:v>ja</x:v>
      </x:c>
      <x:c r="D871" t="str">
        <x:v>Lost Abyss</x:v>
      </x:c>
      <x:c r="E871" t="str">
        <x:v>Numbered total</x:v>
      </x:c>
      <x:c r="F871" t="n">
        <x:v>127</x:v>
      </x:c>
      <x:c r="G871" t="str">
        <x:v>reconciled_components</x:v>
      </x:c>
      <x:c r="H871" t="str"/>
      <x:c r="I871" t="str">
        <x:v>ja; unique numbered-card/checklist identities for this row scope</x:v>
      </x:c>
      <x:c r="J871" t="str">
        <x:v>Numbered total equals the reconciled printed denominator + beyond-denominator identities + separately listed subset identities.</x:v>
      </x:c>
      <x:c r="K871" t="str">
        <x:v>ja-7f2bbdd801e4</x:v>
      </x:c>
      <x:c r="L871" t="str">
        <x:v>numbered_total</x:v>
      </x:c>
    </x:row>
    <x:row r="872">
      <x:c r="A872" t="str">
        <x:v>NUM-7ac37eaa2da0</x:v>
      </x:c>
      <x:c r="B872" t="str">
        <x:v>2026-09-26-numbered-totals</x:v>
      </x:c>
      <x:c r="C872" t="str">
        <x:v>ja</x:v>
      </x:c>
      <x:c r="D872" t="str">
        <x:v>Incandescent Arcana</x:v>
      </x:c>
      <x:c r="E872" t="str">
        <x:v>Numbered total</x:v>
      </x:c>
      <x:c r="F872" t="n">
        <x:v>94</x:v>
      </x:c>
      <x:c r="G872" t="str">
        <x:v>reconciled_components</x:v>
      </x:c>
      <x:c r="H872" t="str"/>
      <x:c r="I872" t="str">
        <x:v>ja; unique numbered-card/checklist identities for this row scope</x:v>
      </x:c>
      <x:c r="J872" t="str">
        <x:v>Numbered total equals the reconciled printed denominator + beyond-denominator identities + separately listed subset identities.</x:v>
      </x:c>
      <x:c r="K872" t="str">
        <x:v>ja-e7a3195eec67</x:v>
      </x:c>
      <x:c r="L872" t="str">
        <x:v>numbered_total</x:v>
      </x:c>
    </x:row>
    <x:row r="873">
      <x:c r="A873" t="str">
        <x:v>NUM-f8b5e8537433</x:v>
      </x:c>
      <x:c r="B873" t="str">
        <x:v>2026-09-26-numbered-totals</x:v>
      </x:c>
      <x:c r="C873" t="str">
        <x:v>ja</x:v>
      </x:c>
      <x:c r="D873" t="str">
        <x:v>Paradigm Trigger</x:v>
      </x:c>
      <x:c r="E873" t="str">
        <x:v>Numbered total</x:v>
      </x:c>
      <x:c r="F873" t="n">
        <x:v>125</x:v>
      </x:c>
      <x:c r="G873" t="str">
        <x:v>reconciled_components</x:v>
      </x:c>
      <x:c r="H873" t="str"/>
      <x:c r="I873" t="str">
        <x:v>ja; unique numbered-card/checklist identities for this row scope</x:v>
      </x:c>
      <x:c r="J873" t="str">
        <x:v>Numbered total equals the reconciled printed denominator + beyond-denominator identities + separately listed subset identities.</x:v>
      </x:c>
      <x:c r="K873" t="str">
        <x:v>ja-e770f86aba36</x:v>
      </x:c>
      <x:c r="L873" t="str">
        <x:v>numbered_total</x:v>
      </x:c>
    </x:row>
    <x:row r="874">
      <x:c r="A874" t="str">
        <x:v>NUM-1e6bc8491b48</x:v>
      </x:c>
      <x:c r="B874" t="str">
        <x:v>2026-09-26-numbered-totals</x:v>
      </x:c>
      <x:c r="C874" t="str">
        <x:v>ja</x:v>
      </x:c>
      <x:c r="D874" t="str">
        <x:v>SV-P Promotional cards</x:v>
      </x:c>
      <x:c r="E874" t="str">
        <x:v>Numbered total</x:v>
      </x:c>
      <x:c r="F874" t="n">
        <x:v>303</x:v>
      </x:c>
      <x:c r="G874" t="str">
        <x:v>reconciled_components</x:v>
      </x:c>
      <x:c r="H874" t="str">
        <x:v>https://bulbapedia.bulbagarden.net/wiki/SV-P</x:v>
      </x:c>
      <x:c r="I874" t="str">
        <x:v>ja; unique numbered-card/checklist identities for this row scope</x:v>
      </x:c>
      <x:c r="J874" t="str">
        <x:v>Numbered total equals the reconciled printed denominator + beyond-denominator identities + separately listed subset identities.</x:v>
      </x:c>
      <x:c r="K874" t="str">
        <x:v>ja-eeac9c4c185b</x:v>
      </x:c>
      <x:c r="L874" t="str">
        <x:v>numbered_total</x:v>
      </x:c>
    </x:row>
    <x:row r="875">
      <x:c r="A875" t="str">
        <x:v>NUM-2948db3fefcc</x:v>
      </x:c>
      <x:c r="B875" t="str">
        <x:v>2026-09-26-numbered-totals</x:v>
      </x:c>
      <x:c r="C875" t="str">
        <x:v>ja</x:v>
      </x:c>
      <x:c r="D875" t="str">
        <x:v>VSTAR Universe</x:v>
      </x:c>
      <x:c r="E875" t="str">
        <x:v>Numbered total</x:v>
      </x:c>
      <x:c r="F875" t="n">
        <x:v>262</x:v>
      </x:c>
      <x:c r="G875" t="str">
        <x:v>reconciled_components</x:v>
      </x:c>
      <x:c r="H875" t="str"/>
      <x:c r="I875" t="str">
        <x:v>ja; unique numbered-card/checklist identities for this row scope</x:v>
      </x:c>
      <x:c r="J875" t="str">
        <x:v>Numbered total equals the reconciled printed denominator + beyond-denominator identities + separately listed subset identities.</x:v>
      </x:c>
      <x:c r="K875" t="str">
        <x:v>ja-3ae335269b5c</x:v>
      </x:c>
      <x:c r="L875" t="str">
        <x:v>numbered_total</x:v>
      </x:c>
    </x:row>
    <x:row r="876">
      <x:c r="A876" t="str">
        <x:v>NUM-2dc0f92a944a</x:v>
      </x:c>
      <x:c r="B876" t="str">
        <x:v>2026-09-26-numbered-totals</x:v>
      </x:c>
      <x:c r="C876" t="str">
        <x:v>ja</x:v>
      </x:c>
      <x:c r="D876" t="str">
        <x:v>Scarlet ex</x:v>
      </x:c>
      <x:c r="E876" t="str">
        <x:v>Numbered total</x:v>
      </x:c>
      <x:c r="F876" t="n">
        <x:v>108</x:v>
      </x:c>
      <x:c r="G876" t="str">
        <x:v>reconciled_components</x:v>
      </x:c>
      <x:c r="H876" t="str"/>
      <x:c r="I876" t="str">
        <x:v>ja; unique numbered-card/checklist identities for this row scope</x:v>
      </x:c>
      <x:c r="J876" t="str">
        <x:v>Numbered total equals the reconciled printed denominator + beyond-denominator identities + separately listed subset identities.</x:v>
      </x:c>
      <x:c r="K876" t="str">
        <x:v>ja-9dba419ea2be</x:v>
      </x:c>
      <x:c r="L876" t="str">
        <x:v>numbered_total</x:v>
      </x:c>
    </x:row>
    <x:row r="877">
      <x:c r="A877" t="str">
        <x:v>NUM-88da5a69201c</x:v>
      </x:c>
      <x:c r="B877" t="str">
        <x:v>2026-09-26-numbered-totals</x:v>
      </x:c>
      <x:c r="C877" t="str">
        <x:v>ja</x:v>
      </x:c>
      <x:c r="D877" t="str">
        <x:v>Violet ex</x:v>
      </x:c>
      <x:c r="E877" t="str">
        <x:v>Numbered total</x:v>
      </x:c>
      <x:c r="F877" t="n">
        <x:v>108</x:v>
      </x:c>
      <x:c r="G877" t="str">
        <x:v>reconciled_components</x:v>
      </x:c>
      <x:c r="H877" t="str"/>
      <x:c r="I877" t="str">
        <x:v>ja; unique numbered-card/checklist identities for this row scope</x:v>
      </x:c>
      <x:c r="J877" t="str">
        <x:v>Numbered total equals the reconciled printed denominator + beyond-denominator identities + separately listed subset identities.</x:v>
      </x:c>
      <x:c r="K877" t="str">
        <x:v>ja-b1fc33531199</x:v>
      </x:c>
      <x:c r="L877" t="str">
        <x:v>numbered_total</x:v>
      </x:c>
    </x:row>
    <x:row r="878">
      <x:c r="A878" t="str">
        <x:v>NUM-21e14da7cac7</x:v>
      </x:c>
      <x:c r="B878" t="str">
        <x:v>2026-09-26-numbered-totals</x:v>
      </x:c>
      <x:c r="C878" t="str">
        <x:v>ja</x:v>
      </x:c>
      <x:c r="D878" t="str">
        <x:v>Triplet Beat</x:v>
      </x:c>
      <x:c r="E878" t="str">
        <x:v>Numbered total</x:v>
      </x:c>
      <x:c r="F878" t="n">
        <x:v>103</x:v>
      </x:c>
      <x:c r="G878" t="str">
        <x:v>reconciled_components</x:v>
      </x:c>
      <x:c r="H878" t="str"/>
      <x:c r="I878" t="str">
        <x:v>ja; unique numbered-card/checklist identities for this row scope</x:v>
      </x:c>
      <x:c r="J878" t="str">
        <x:v>Numbered total equals the reconciled printed denominator + beyond-denominator identities + separately listed subset identities.</x:v>
      </x:c>
      <x:c r="K878" t="str">
        <x:v>ja-2169700da313</x:v>
      </x:c>
      <x:c r="L878" t="str">
        <x:v>numbered_total</x:v>
      </x:c>
    </x:row>
    <x:row r="879">
      <x:c r="A879" t="str">
        <x:v>NUM-7b0b3c89524f</x:v>
      </x:c>
      <x:c r="B879" t="str">
        <x:v>2026-09-26-numbered-totals</x:v>
      </x:c>
      <x:c r="C879" t="str">
        <x:v>ja</x:v>
      </x:c>
      <x:c r="D879" t="str">
        <x:v>Clay Burst</x:v>
      </x:c>
      <x:c r="E879" t="str">
        <x:v>Numbered total</x:v>
      </x:c>
      <x:c r="F879" t="n">
        <x:v>99</x:v>
      </x:c>
      <x:c r="G879" t="str">
        <x:v>reconciled_components</x:v>
      </x:c>
      <x:c r="H879" t="str"/>
      <x:c r="I879" t="str">
        <x:v>ja; unique numbered-card/checklist identities for this row scope</x:v>
      </x:c>
      <x:c r="J879" t="str">
        <x:v>Numbered total equals the reconciled printed denominator + beyond-denominator identities + separately listed subset identities.</x:v>
      </x:c>
      <x:c r="K879" t="str">
        <x:v>ja-0a61f0dd4a65</x:v>
      </x:c>
      <x:c r="L879" t="str">
        <x:v>numbered_total</x:v>
      </x:c>
    </x:row>
    <x:row r="880">
      <x:c r="A880" t="str">
        <x:v>NUM-f164656b8a6c</x:v>
      </x:c>
      <x:c r="B880" t="str">
        <x:v>2026-09-26-numbered-totals</x:v>
      </x:c>
      <x:c r="C880" t="str">
        <x:v>ja</x:v>
      </x:c>
      <x:c r="D880" t="str">
        <x:v>Snow Hazard</x:v>
      </x:c>
      <x:c r="E880" t="str">
        <x:v>Numbered total</x:v>
      </x:c>
      <x:c r="F880" t="n">
        <x:v>99</x:v>
      </x:c>
      <x:c r="G880" t="str">
        <x:v>reconciled_components</x:v>
      </x:c>
      <x:c r="H880" t="str"/>
      <x:c r="I880" t="str">
        <x:v>ja; unique numbered-card/checklist identities for this row scope</x:v>
      </x:c>
      <x:c r="J880" t="str">
        <x:v>Numbered total equals the reconciled printed denominator + beyond-denominator identities + separately listed subset identities.</x:v>
      </x:c>
      <x:c r="K880" t="str">
        <x:v>ja-ac6fcae41357</x:v>
      </x:c>
      <x:c r="L880" t="str">
        <x:v>numbered_total</x:v>
      </x:c>
    </x:row>
    <x:row r="881">
      <x:c r="A881" t="str">
        <x:v>NUM-53daf5ae1cd6</x:v>
      </x:c>
      <x:c r="B881" t="str">
        <x:v>2026-09-26-numbered-totals</x:v>
      </x:c>
      <x:c r="C881" t="str">
        <x:v>ja</x:v>
      </x:c>
      <x:c r="D881" t="str">
        <x:v>Pokémon Card 151</x:v>
      </x:c>
      <x:c r="E881" t="str">
        <x:v>Numbered total</x:v>
      </x:c>
      <x:c r="F881" t="n">
        <x:v>210</x:v>
      </x:c>
      <x:c r="G881" t="str">
        <x:v>reconciled_components</x:v>
      </x:c>
      <x:c r="H881" t="str"/>
      <x:c r="I881" t="str">
        <x:v>ja; unique numbered-card/checklist identities for this row scope</x:v>
      </x:c>
      <x:c r="J881" t="str">
        <x:v>Numbered total equals the reconciled printed denominator + beyond-denominator identities + separately listed subset identities.</x:v>
      </x:c>
      <x:c r="K881" t="str">
        <x:v>ja-d0f14d808a91</x:v>
      </x:c>
      <x:c r="L881" t="str">
        <x:v>numbered_total</x:v>
      </x:c>
    </x:row>
    <x:row r="882">
      <x:c r="A882" t="str">
        <x:v>NUM-334776ba1b96</x:v>
      </x:c>
      <x:c r="B882" t="str">
        <x:v>2026-09-26-numbered-totals</x:v>
      </x:c>
      <x:c r="C882" t="str">
        <x:v>ja</x:v>
      </x:c>
      <x:c r="D882" t="str">
        <x:v>Ruler of the Black Flame</x:v>
      </x:c>
      <x:c r="E882" t="str">
        <x:v>Numbered total</x:v>
      </x:c>
      <x:c r="F882" t="n">
        <x:v>141</x:v>
      </x:c>
      <x:c r="G882" t="str">
        <x:v>reconciled_components</x:v>
      </x:c>
      <x:c r="H882" t="str"/>
      <x:c r="I882" t="str">
        <x:v>ja; unique numbered-card/checklist identities for this row scope</x:v>
      </x:c>
      <x:c r="J882" t="str">
        <x:v>Numbered total equals the reconciled printed denominator + beyond-denominator identities + separately listed subset identities.</x:v>
      </x:c>
      <x:c r="K882" t="str">
        <x:v>ja-b5d3a493d7fc</x:v>
      </x:c>
      <x:c r="L882" t="str">
        <x:v>numbered_total</x:v>
      </x:c>
    </x:row>
    <x:row r="883">
      <x:c r="A883" t="str">
        <x:v>NUM-34ffabbf39b6</x:v>
      </x:c>
      <x:c r="B883" t="str">
        <x:v>2026-09-26-numbered-totals</x:v>
      </x:c>
      <x:c r="C883" t="str">
        <x:v>ja</x:v>
      </x:c>
      <x:c r="D883" t="str">
        <x:v>Raging Surf</x:v>
      </x:c>
      <x:c r="E883" t="str">
        <x:v>Numbered total</x:v>
      </x:c>
      <x:c r="F883" t="n">
        <x:v>92</x:v>
      </x:c>
      <x:c r="G883" t="str">
        <x:v>reconciled_components</x:v>
      </x:c>
      <x:c r="H883" t="str"/>
      <x:c r="I883" t="str">
        <x:v>ja; unique numbered-card/checklist identities for this row scope</x:v>
      </x:c>
      <x:c r="J883" t="str">
        <x:v>Numbered total equals the reconciled printed denominator + beyond-denominator identities + separately listed subset identities.</x:v>
      </x:c>
      <x:c r="K883" t="str">
        <x:v>ja-826c95e68c4c</x:v>
      </x:c>
      <x:c r="L883" t="str">
        <x:v>numbered_total</x:v>
      </x:c>
    </x:row>
    <x:row r="884">
      <x:c r="A884" t="str">
        <x:v>NUM-41b999d8c591</x:v>
      </x:c>
      <x:c r="B884" t="str">
        <x:v>2026-09-26-numbered-totals</x:v>
      </x:c>
      <x:c r="C884" t="str">
        <x:v>ja</x:v>
      </x:c>
      <x:c r="D884" t="str">
        <x:v>Ancient Roar</x:v>
      </x:c>
      <x:c r="E884" t="str">
        <x:v>Numbered total</x:v>
      </x:c>
      <x:c r="F884" t="n">
        <x:v>95</x:v>
      </x:c>
      <x:c r="G884" t="str">
        <x:v>reconciled_components</x:v>
      </x:c>
      <x:c r="H884" t="str"/>
      <x:c r="I884" t="str">
        <x:v>ja; unique numbered-card/checklist identities for this row scope</x:v>
      </x:c>
      <x:c r="J884" t="str">
        <x:v>Numbered total equals the reconciled printed denominator + beyond-denominator identities + separately listed subset identities.</x:v>
      </x:c>
      <x:c r="K884" t="str">
        <x:v>ja-19e415254ef6</x:v>
      </x:c>
      <x:c r="L884" t="str">
        <x:v>numbered_total</x:v>
      </x:c>
    </x:row>
    <x:row r="885">
      <x:c r="A885" t="str">
        <x:v>NUM-c3bf410b0de4</x:v>
      </x:c>
      <x:c r="B885" t="str">
        <x:v>2026-09-26-numbered-totals</x:v>
      </x:c>
      <x:c r="C885" t="str">
        <x:v>ja</x:v>
      </x:c>
      <x:c r="D885" t="str">
        <x:v>Future Flash</x:v>
      </x:c>
      <x:c r="E885" t="str">
        <x:v>Numbered total</x:v>
      </x:c>
      <x:c r="F885" t="n">
        <x:v>95</x:v>
      </x:c>
      <x:c r="G885" t="str">
        <x:v>reconciled_components</x:v>
      </x:c>
      <x:c r="H885" t="str"/>
      <x:c r="I885" t="str">
        <x:v>ja; unique numbered-card/checklist identities for this row scope</x:v>
      </x:c>
      <x:c r="J885" t="str">
        <x:v>Numbered total equals the reconciled printed denominator + beyond-denominator identities + separately listed subset identities.</x:v>
      </x:c>
      <x:c r="K885" t="str">
        <x:v>ja-a38ca556c129</x:v>
      </x:c>
      <x:c r="L885" t="str">
        <x:v>numbered_total</x:v>
      </x:c>
    </x:row>
    <x:row r="886">
      <x:c r="A886" t="str">
        <x:v>NUM-826807705be0</x:v>
      </x:c>
      <x:c r="B886" t="str">
        <x:v>2026-09-26-numbered-totals</x:v>
      </x:c>
      <x:c r="C886" t="str">
        <x:v>ja</x:v>
      </x:c>
      <x:c r="D886" t="str">
        <x:v>Shiny Treasure ex</x:v>
      </x:c>
      <x:c r="E886" t="str">
        <x:v>Numbered total</x:v>
      </x:c>
      <x:c r="F886" t="n">
        <x:v>360</x:v>
      </x:c>
      <x:c r="G886" t="str">
        <x:v>reconciled_components</x:v>
      </x:c>
      <x:c r="H886" t="str"/>
      <x:c r="I886" t="str">
        <x:v>ja; unique numbered-card/checklist identities for this row scope</x:v>
      </x:c>
      <x:c r="J886" t="str">
        <x:v>Numbered total equals the reconciled printed denominator + beyond-denominator identities + separately listed subset identities.</x:v>
      </x:c>
      <x:c r="K886" t="str">
        <x:v>ja-f3d64cdaf563</x:v>
      </x:c>
      <x:c r="L886" t="str">
        <x:v>numbered_total</x:v>
      </x:c>
    </x:row>
    <x:row r="887">
      <x:c r="A887" t="str">
        <x:v>NUM-8e857d8238a2</x:v>
      </x:c>
      <x:c r="B887" t="str">
        <x:v>2026-09-26-numbered-totals</x:v>
      </x:c>
      <x:c r="C887" t="str">
        <x:v>ja</x:v>
      </x:c>
      <x:c r="D887" t="str">
        <x:v>Cyber Judge</x:v>
      </x:c>
      <x:c r="E887" t="str">
        <x:v>Numbered total</x:v>
      </x:c>
      <x:c r="F887" t="n">
        <x:v>100</x:v>
      </x:c>
      <x:c r="G887" t="str">
        <x:v>reconciled_components</x:v>
      </x:c>
      <x:c r="H887" t="str"/>
      <x:c r="I887" t="str">
        <x:v>ja; unique numbered-card/checklist identities for this row scope</x:v>
      </x:c>
      <x:c r="J887" t="str">
        <x:v>Numbered total equals the reconciled printed denominator + beyond-denominator identities + separately listed subset identities.</x:v>
      </x:c>
      <x:c r="K887" t="str">
        <x:v>ja-a9d3c3b46ca8</x:v>
      </x:c>
      <x:c r="L887" t="str">
        <x:v>numbered_total</x:v>
      </x:c>
    </x:row>
    <x:row r="888">
      <x:c r="A888" t="str">
        <x:v>NUM-1a8eec3e2fc5</x:v>
      </x:c>
      <x:c r="B888" t="str">
        <x:v>2026-09-26-numbered-totals</x:v>
      </x:c>
      <x:c r="C888" t="str">
        <x:v>ja</x:v>
      </x:c>
      <x:c r="D888" t="str">
        <x:v>Wild Force</x:v>
      </x:c>
      <x:c r="E888" t="str">
        <x:v>Numbered total</x:v>
      </x:c>
      <x:c r="F888" t="n">
        <x:v>100</x:v>
      </x:c>
      <x:c r="G888" t="str">
        <x:v>reconciled_components</x:v>
      </x:c>
      <x:c r="H888" t="str"/>
      <x:c r="I888" t="str">
        <x:v>ja; unique numbered-card/checklist identities for this row scope</x:v>
      </x:c>
      <x:c r="J888" t="str">
        <x:v>Numbered total equals the reconciled printed denominator + beyond-denominator identities + separately listed subset identities.</x:v>
      </x:c>
      <x:c r="K888" t="str">
        <x:v>ja-f0a550785a60</x:v>
      </x:c>
      <x:c r="L888" t="str">
        <x:v>numbered_total</x:v>
      </x:c>
    </x:row>
    <x:row r="889">
      <x:c r="A889" t="str">
        <x:v>NUM-f29c06ab826c</x:v>
      </x:c>
      <x:c r="B889" t="str">
        <x:v>2026-09-26-numbered-totals</x:v>
      </x:c>
      <x:c r="C889" t="str">
        <x:v>ja</x:v>
      </x:c>
      <x:c r="D889" t="str">
        <x:v>Crimson Haze</x:v>
      </x:c>
      <x:c r="E889" t="str">
        <x:v>Numbered total</x:v>
      </x:c>
      <x:c r="F889" t="n">
        <x:v>96</x:v>
      </x:c>
      <x:c r="G889" t="str">
        <x:v>reconciled_components</x:v>
      </x:c>
      <x:c r="H889" t="str"/>
      <x:c r="I889" t="str">
        <x:v>ja; unique numbered-card/checklist identities for this row scope</x:v>
      </x:c>
      <x:c r="J889" t="str">
        <x:v>Numbered total equals the reconciled printed denominator + beyond-denominator identities + separately listed subset identities.</x:v>
      </x:c>
      <x:c r="K889" t="str">
        <x:v>ja-d25e1390fd8d</x:v>
      </x:c>
      <x:c r="L889" t="str">
        <x:v>numbered_total</x:v>
      </x:c>
    </x:row>
    <x:row r="890">
      <x:c r="A890" t="str">
        <x:v>NUM-745a78278af9</x:v>
      </x:c>
      <x:c r="B890" t="str">
        <x:v>2026-09-26-numbered-totals</x:v>
      </x:c>
      <x:c r="C890" t="str">
        <x:v>ja</x:v>
      </x:c>
      <x:c r="D890" t="str">
        <x:v>Transformation Mask</x:v>
      </x:c>
      <x:c r="E890" t="str">
        <x:v>Numbered total</x:v>
      </x:c>
      <x:c r="F890" t="n">
        <x:v>133</x:v>
      </x:c>
      <x:c r="G890" t="str">
        <x:v>reconciled_components</x:v>
      </x:c>
      <x:c r="H890" t="str"/>
      <x:c r="I890" t="str">
        <x:v>ja; unique numbered-card/checklist identities for this row scope</x:v>
      </x:c>
      <x:c r="J890" t="str">
        <x:v>Numbered total equals the reconciled printed denominator + beyond-denominator identities + separately listed subset identities.</x:v>
      </x:c>
      <x:c r="K890" t="str">
        <x:v>ja-6f8cea791535</x:v>
      </x:c>
      <x:c r="L890" t="str">
        <x:v>numbered_total</x:v>
      </x:c>
    </x:row>
    <x:row r="891">
      <x:c r="A891" t="str">
        <x:v>NUM-40e41fabdbf9</x:v>
      </x:c>
      <x:c r="B891" t="str">
        <x:v>2026-09-26-numbered-totals</x:v>
      </x:c>
      <x:c r="C891" t="str">
        <x:v>ja</x:v>
      </x:c>
      <x:c r="D891" t="str">
        <x:v>Night Wanderer</x:v>
      </x:c>
      <x:c r="E891" t="str">
        <x:v>Numbered total</x:v>
      </x:c>
      <x:c r="F891" t="n">
        <x:v>94</x:v>
      </x:c>
      <x:c r="G891" t="str">
        <x:v>reconciled_components</x:v>
      </x:c>
      <x:c r="H891" t="str"/>
      <x:c r="I891" t="str">
        <x:v>ja; unique numbered-card/checklist identities for this row scope</x:v>
      </x:c>
      <x:c r="J891" t="str">
        <x:v>Numbered total equals the reconciled printed denominator + beyond-denominator identities + separately listed subset identities.</x:v>
      </x:c>
      <x:c r="K891" t="str">
        <x:v>ja-2bfd313d693f</x:v>
      </x:c>
      <x:c r="L891" t="str">
        <x:v>numbered_total</x:v>
      </x:c>
    </x:row>
    <x:row r="892">
      <x:c r="A892" t="str">
        <x:v>NUM-4657e7416585</x:v>
      </x:c>
      <x:c r="B892" t="str">
        <x:v>2026-09-26-numbered-totals</x:v>
      </x:c>
      <x:c r="C892" t="str">
        <x:v>ja</x:v>
      </x:c>
      <x:c r="D892" t="str">
        <x:v>Stellar Miracle</x:v>
      </x:c>
      <x:c r="E892" t="str">
        <x:v>Numbered total</x:v>
      </x:c>
      <x:c r="F892" t="n">
        <x:v>135</x:v>
      </x:c>
      <x:c r="G892" t="str">
        <x:v>reconciled_components</x:v>
      </x:c>
      <x:c r="H892" t="str"/>
      <x:c r="I892" t="str">
        <x:v>ja; unique numbered-card/checklist identities for this row scope</x:v>
      </x:c>
      <x:c r="J892" t="str">
        <x:v>Numbered total equals the reconciled printed denominator + beyond-denominator identities + separately listed subset identities.</x:v>
      </x:c>
      <x:c r="K892" t="str">
        <x:v>ja-ad526e9fc3de</x:v>
      </x:c>
      <x:c r="L892" t="str">
        <x:v>numbered_total</x:v>
      </x:c>
    </x:row>
    <x:row r="893">
      <x:c r="A893" t="str">
        <x:v>NUM-1f8d08e10978</x:v>
      </x:c>
      <x:c r="B893" t="str">
        <x:v>2026-09-26-numbered-totals</x:v>
      </x:c>
      <x:c r="C893" t="str">
        <x:v>ja</x:v>
      </x:c>
      <x:c r="D893" t="str">
        <x:v>Paradise Dragona</x:v>
      </x:c>
      <x:c r="E893" t="str">
        <x:v>Numbered total</x:v>
      </x:c>
      <x:c r="F893" t="n">
        <x:v>94</x:v>
      </x:c>
      <x:c r="G893" t="str">
        <x:v>reconciled_components</x:v>
      </x:c>
      <x:c r="H893" t="str"/>
      <x:c r="I893" t="str">
        <x:v>ja; unique numbered-card/checklist identities for this row scope</x:v>
      </x:c>
      <x:c r="J893" t="str">
        <x:v>Numbered total equals the reconciled printed denominator + beyond-denominator identities + separately listed subset identities.</x:v>
      </x:c>
      <x:c r="K893" t="str">
        <x:v>ja-0cd79b1e89bd</x:v>
      </x:c>
      <x:c r="L893" t="str">
        <x:v>numbered_total</x:v>
      </x:c>
    </x:row>
    <x:row r="894">
      <x:c r="A894" t="str">
        <x:v>NUM-1c04bad29531</x:v>
      </x:c>
      <x:c r="B894" t="str">
        <x:v>2026-09-26-numbered-totals</x:v>
      </x:c>
      <x:c r="C894" t="str">
        <x:v>ja</x:v>
      </x:c>
      <x:c r="D894" t="str">
        <x:v>Super Electric Breaker</x:v>
      </x:c>
      <x:c r="E894" t="str">
        <x:v>Numbered total</x:v>
      </x:c>
      <x:c r="F894" t="n">
        <x:v>138</x:v>
      </x:c>
      <x:c r="G894" t="str">
        <x:v>reconciled_components</x:v>
      </x:c>
      <x:c r="H894" t="str"/>
      <x:c r="I894" t="str">
        <x:v>ja; unique numbered-card/checklist identities for this row scope</x:v>
      </x:c>
      <x:c r="J894" t="str">
        <x:v>Numbered total equals the reconciled printed denominator + beyond-denominator identities + separately listed subset identities.</x:v>
      </x:c>
      <x:c r="K894" t="str">
        <x:v>ja-887597e51882</x:v>
      </x:c>
      <x:c r="L894" t="str">
        <x:v>numbered_total</x:v>
      </x:c>
    </x:row>
    <x:row r="895">
      <x:c r="A895" t="str">
        <x:v>NUM-2d27596887ec</x:v>
      </x:c>
      <x:c r="B895" t="str">
        <x:v>2026-09-26-numbered-totals</x:v>
      </x:c>
      <x:c r="C895" t="str">
        <x:v>ja</x:v>
      </x:c>
      <x:c r="D895" t="str">
        <x:v>Terastal Fest ex</x:v>
      </x:c>
      <x:c r="E895" t="str">
        <x:v>Numbered total</x:v>
      </x:c>
      <x:c r="F895" t="n">
        <x:v>237</x:v>
      </x:c>
      <x:c r="G895" t="str">
        <x:v>reconciled_components</x:v>
      </x:c>
      <x:c r="H895" t="str"/>
      <x:c r="I895" t="str">
        <x:v>ja; unique numbered-card/checklist identities for this row scope</x:v>
      </x:c>
      <x:c r="J895" t="str">
        <x:v>Numbered total equals the reconciled printed denominator + beyond-denominator identities + separately listed subset identities.</x:v>
      </x:c>
      <x:c r="K895" t="str">
        <x:v>ja-401830040344</x:v>
      </x:c>
      <x:c r="L895" t="str">
        <x:v>numbered_total</x:v>
      </x:c>
    </x:row>
    <x:row r="896">
      <x:c r="A896" t="str">
        <x:v>NUM-0a8ad951999c</x:v>
      </x:c>
      <x:c r="B896" t="str">
        <x:v>2026-09-26-numbered-totals</x:v>
      </x:c>
      <x:c r="C896" t="str">
        <x:v>ja</x:v>
      </x:c>
      <x:c r="D896" t="str">
        <x:v>Battle Partners</x:v>
      </x:c>
      <x:c r="E896" t="str">
        <x:v>Numbered total</x:v>
      </x:c>
      <x:c r="F896" t="n">
        <x:v>132</x:v>
      </x:c>
      <x:c r="G896" t="str">
        <x:v>reconciled_components</x:v>
      </x:c>
      <x:c r="H896" t="str"/>
      <x:c r="I896" t="str">
        <x:v>ja; unique numbered-card/checklist identities for this row scope</x:v>
      </x:c>
      <x:c r="J896" t="str">
        <x:v>Numbered total equals the reconciled printed denominator + beyond-denominator identities + separately listed subset identities.</x:v>
      </x:c>
      <x:c r="K896" t="str">
        <x:v>ja-c66f053aaf61</x:v>
      </x:c>
      <x:c r="L896" t="str">
        <x:v>numbered_total</x:v>
      </x:c>
    </x:row>
    <x:row r="897">
      <x:c r="A897" t="str">
        <x:v>NUM-af0bc614b919</x:v>
      </x:c>
      <x:c r="B897" t="str">
        <x:v>2026-09-26-numbered-totals</x:v>
      </x:c>
      <x:c r="C897" t="str">
        <x:v>ja</x:v>
      </x:c>
      <x:c r="D897" t="str">
        <x:v>Hot Wind Arena</x:v>
      </x:c>
      <x:c r="E897" t="str">
        <x:v>Numbered total</x:v>
      </x:c>
      <x:c r="F897" t="n">
        <x:v>92</x:v>
      </x:c>
      <x:c r="G897" t="str">
        <x:v>reconciled_components</x:v>
      </x:c>
      <x:c r="H897" t="str"/>
      <x:c r="I897" t="str">
        <x:v>ja; unique numbered-card/checklist identities for this row scope</x:v>
      </x:c>
      <x:c r="J897" t="str">
        <x:v>Numbered total equals the reconciled printed denominator + beyond-denominator identities + separately listed subset identities.</x:v>
      </x:c>
      <x:c r="K897" t="str">
        <x:v>ja-46088b1e25d5</x:v>
      </x:c>
      <x:c r="L897" t="str">
        <x:v>numbered_total</x:v>
      </x:c>
    </x:row>
    <x:row r="898">
      <x:c r="A898" t="str">
        <x:v>NUM-298fe4030a59</x:v>
      </x:c>
      <x:c r="B898" t="str">
        <x:v>2026-09-26-numbered-totals</x:v>
      </x:c>
      <x:c r="C898" t="str">
        <x:v>ja</x:v>
      </x:c>
      <x:c r="D898" t="str">
        <x:v>Glory of the Rocket Gang</x:v>
      </x:c>
      <x:c r="E898" t="str">
        <x:v>Numbered total</x:v>
      </x:c>
      <x:c r="F898" t="n">
        <x:v>132</x:v>
      </x:c>
      <x:c r="G898" t="str">
        <x:v>reconciled_components</x:v>
      </x:c>
      <x:c r="H898" t="str"/>
      <x:c r="I898" t="str">
        <x:v>ja; unique numbered-card/checklist identities for this row scope</x:v>
      </x:c>
      <x:c r="J898" t="str">
        <x:v>Numbered total equals the reconciled printed denominator + beyond-denominator identities + separately listed subset identities.</x:v>
      </x:c>
      <x:c r="K898" t="str">
        <x:v>ja-6cc224cf3b12</x:v>
      </x:c>
      <x:c r="L898" t="str">
        <x:v>numbered_total</x:v>
      </x:c>
    </x:row>
    <x:row r="899">
      <x:c r="A899" t="str">
        <x:v>NUM-bc2de0cfee0d</x:v>
      </x:c>
      <x:c r="B899" t="str">
        <x:v>2026-09-26-numbered-totals</x:v>
      </x:c>
      <x:c r="C899" t="str">
        <x:v>ja</x:v>
      </x:c>
      <x:c r="D899" t="str">
        <x:v>Black Bolt</x:v>
      </x:c>
      <x:c r="E899" t="str">
        <x:v>Numbered total</x:v>
      </x:c>
      <x:c r="F899" t="n">
        <x:v>174</x:v>
      </x:c>
      <x:c r="G899" t="str">
        <x:v>reconciled_components</x:v>
      </x:c>
      <x:c r="H899" t="str"/>
      <x:c r="I899" t="str">
        <x:v>ja; unique numbered-card/checklist identities for this row scope</x:v>
      </x:c>
      <x:c r="J899" t="str">
        <x:v>Numbered total equals the reconciled printed denominator + beyond-denominator identities + separately listed subset identities.</x:v>
      </x:c>
      <x:c r="K899" t="str">
        <x:v>ja-f2b4be41f5a8</x:v>
      </x:c>
      <x:c r="L899" t="str">
        <x:v>numbered_total</x:v>
      </x:c>
    </x:row>
    <x:row r="900">
      <x:c r="A900" t="str">
        <x:v>NUM-0d1efa478614</x:v>
      </x:c>
      <x:c r="B900" t="str">
        <x:v>2026-09-26-numbered-totals</x:v>
      </x:c>
      <x:c r="C900" t="str">
        <x:v>ja</x:v>
      </x:c>
      <x:c r="D900" t="str">
        <x:v>White Flare</x:v>
      </x:c>
      <x:c r="E900" t="str">
        <x:v>Numbered total</x:v>
      </x:c>
      <x:c r="F900" t="n">
        <x:v>174</x:v>
      </x:c>
      <x:c r="G900" t="str">
        <x:v>reconciled_components</x:v>
      </x:c>
      <x:c r="H900" t="str"/>
      <x:c r="I900" t="str">
        <x:v>ja; unique numbered-card/checklist identities for this row scope</x:v>
      </x:c>
      <x:c r="J900" t="str">
        <x:v>Numbered total equals the reconciled printed denominator + beyond-denominator identities + separately listed subset identities.</x:v>
      </x:c>
      <x:c r="K900" t="str">
        <x:v>ja-cabe28faa7c7</x:v>
      </x:c>
      <x:c r="L900" t="str">
        <x:v>numbered_total</x:v>
      </x:c>
    </x:row>
    <x:row r="901">
      <x:c r="A901" t="str">
        <x:v>NUM-87f407ea7344</x:v>
      </x:c>
      <x:c r="B901" t="str">
        <x:v>2026-09-26-numbered-totals</x:v>
      </x:c>
      <x:c r="C901" t="str">
        <x:v>ja</x:v>
      </x:c>
      <x:c r="D901" t="str">
        <x:v>M-P Promotional cards</x:v>
      </x:c>
      <x:c r="E901" t="str">
        <x:v>Numbered total</x:v>
      </x:c>
      <x:c r="F901" t="n">
        <x:v>145</x:v>
      </x:c>
      <x:c r="G901" t="str">
        <x:v>reference_bridge_promo_numbering_extent</x:v>
      </x:c>
      <x:c r="H901" t="str">
        <x:v>https://bulbapedia.bulbagarden.net/wiki/M-P_Promotional_cards_(TCG)</x:v>
      </x:c>
      <x:c r="I901" t="str">
        <x:v>ja; unique numbered-card/checklist identities for this row scope</x:v>
      </x:c>
      <x:c r="J901" t="str">
        <x:v>Numbered total bridged from the sourced reference-count checklist for this exact row scope. Current M-P promotional catalogue numbering extent in the source snapshot; ongoing promo series.</x:v>
      </x:c>
      <x:c r="K901" t="str">
        <x:v>ja-201f35403317</x:v>
      </x:c>
      <x:c r="L901" t="str">
        <x:v>numbered_total</x:v>
      </x:c>
    </x:row>
    <x:row r="902">
      <x:c r="A902" t="str">
        <x:v>NUM-bf3be226f9a0</x:v>
      </x:c>
      <x:c r="B902" t="str">
        <x:v>2026-09-26-numbered-totals</x:v>
      </x:c>
      <x:c r="C902" t="str">
        <x:v>ja</x:v>
      </x:c>
      <x:c r="D902" t="str">
        <x:v>Mega Brave</x:v>
      </x:c>
      <x:c r="E902" t="str">
        <x:v>Numbered total</x:v>
      </x:c>
      <x:c r="F902" t="n">
        <x:v>92</x:v>
      </x:c>
      <x:c r="G902" t="str">
        <x:v>reconciled_components</x:v>
      </x:c>
      <x:c r="H902" t="str"/>
      <x:c r="I902" t="str">
        <x:v>ja; unique numbered-card/checklist identities for this row scope</x:v>
      </x:c>
      <x:c r="J902" t="str">
        <x:v>Numbered total equals the reconciled printed denominator + beyond-denominator identities + separately listed subset identities.</x:v>
      </x:c>
      <x:c r="K902" t="str">
        <x:v>ja-75c63791ecae</x:v>
      </x:c>
      <x:c r="L902" t="str">
        <x:v>numbered_total</x:v>
      </x:c>
    </x:row>
    <x:row r="903">
      <x:c r="A903" t="str">
        <x:v>NUM-083b2a842861</x:v>
      </x:c>
      <x:c r="B903" t="str">
        <x:v>2026-09-26-numbered-totals</x:v>
      </x:c>
      <x:c r="C903" t="str">
        <x:v>ja</x:v>
      </x:c>
      <x:c r="D903" t="str">
        <x:v>Mega Symphonia</x:v>
      </x:c>
      <x:c r="E903" t="str">
        <x:v>Numbered total</x:v>
      </x:c>
      <x:c r="F903" t="n">
        <x:v>92</x:v>
      </x:c>
      <x:c r="G903" t="str">
        <x:v>reconciled_components</x:v>
      </x:c>
      <x:c r="H903" t="str"/>
      <x:c r="I903" t="str">
        <x:v>ja; unique numbered-card/checklist identities for this row scope</x:v>
      </x:c>
      <x:c r="J903" t="str">
        <x:v>Numbered total equals the reconciled printed denominator + beyond-denominator identities + separately listed subset identities.</x:v>
      </x:c>
      <x:c r="K903" t="str">
        <x:v>ja-736839987504</x:v>
      </x:c>
      <x:c r="L903" t="str">
        <x:v>numbered_total</x:v>
      </x:c>
    </x:row>
    <x:row r="904">
      <x:c r="A904" t="str">
        <x:v>NUM-b17aa188806d</x:v>
      </x:c>
      <x:c r="B904" t="str">
        <x:v>2026-09-26-numbered-totals</x:v>
      </x:c>
      <x:c r="C904" t="str">
        <x:v>ja</x:v>
      </x:c>
      <x:c r="D904" t="str">
        <x:v>Inferno X</x:v>
      </x:c>
      <x:c r="E904" t="str">
        <x:v>Numbered total</x:v>
      </x:c>
      <x:c r="F904" t="n">
        <x:v>116</x:v>
      </x:c>
      <x:c r="G904" t="str">
        <x:v>reconciled_components</x:v>
      </x:c>
      <x:c r="H904" t="str"/>
      <x:c r="I904" t="str">
        <x:v>ja; unique numbered-card/checklist identities for this row scope</x:v>
      </x:c>
      <x:c r="J904" t="str">
        <x:v>Numbered total equals the reconciled printed denominator + beyond-denominator identities + separately listed subset identities.</x:v>
      </x:c>
      <x:c r="K904" t="str">
        <x:v>ja-f44e493607aa</x:v>
      </x:c>
      <x:c r="L904" t="str">
        <x:v>numbered_total</x:v>
      </x:c>
    </x:row>
    <x:row r="905">
      <x:c r="A905" t="str">
        <x:v>NUM-ea9e557c31cc</x:v>
      </x:c>
      <x:c r="B905" t="str">
        <x:v>2026-09-26-numbered-totals</x:v>
      </x:c>
      <x:c r="C905" t="str">
        <x:v>ja</x:v>
      </x:c>
      <x:c r="D905" t="str">
        <x:v>MEGA Dream ex</x:v>
      </x:c>
      <x:c r="E905" t="str">
        <x:v>Numbered total</x:v>
      </x:c>
      <x:c r="F905" t="n">
        <x:v>250</x:v>
      </x:c>
      <x:c r="G905" t="str">
        <x:v>reconciled_components</x:v>
      </x:c>
      <x:c r="H905" t="str"/>
      <x:c r="I905" t="str">
        <x:v>ja; unique numbered-card/checklist identities for this row scope</x:v>
      </x:c>
      <x:c r="J905" t="str">
        <x:v>Numbered total equals the reconciled printed denominator + beyond-denominator identities + separately listed subset identities.</x:v>
      </x:c>
      <x:c r="K905" t="str">
        <x:v>ja-f8999c534ee8</x:v>
      </x:c>
      <x:c r="L905" t="str">
        <x:v>numbered_total</x:v>
      </x:c>
    </x:row>
    <x:row r="906">
      <x:c r="A906" t="str">
        <x:v>NUM-393305dd444c</x:v>
      </x:c>
      <x:c r="B906" t="str">
        <x:v>2026-09-26-numbered-totals</x:v>
      </x:c>
      <x:c r="C906" t="str">
        <x:v>ja</x:v>
      </x:c>
      <x:c r="D906" t="str">
        <x:v>Nihil Zero</x:v>
      </x:c>
      <x:c r="E906" t="str">
        <x:v>Numbered total</x:v>
      </x:c>
      <x:c r="F906" t="n">
        <x:v>117</x:v>
      </x:c>
      <x:c r="G906" t="str">
        <x:v>reconciled_components</x:v>
      </x:c>
      <x:c r="H906" t="str"/>
      <x:c r="I906" t="str">
        <x:v>ja; unique numbered-card/checklist identities for this row scope</x:v>
      </x:c>
      <x:c r="J906" t="str">
        <x:v>Numbered total equals the reconciled printed denominator + beyond-denominator identities + separately listed subset identities.</x:v>
      </x:c>
      <x:c r="K906" t="str">
        <x:v>ja-ed06c96f7471</x:v>
      </x:c>
      <x:c r="L906" t="str">
        <x:v>numbered_total</x:v>
      </x:c>
    </x:row>
    <x:row r="907">
      <x:c r="A907" t="str">
        <x:v>NUM-9f5465fd5349</x:v>
      </x:c>
      <x:c r="B907" t="str">
        <x:v>2026-09-26-numbered-totals</x:v>
      </x:c>
      <x:c r="C907" t="str">
        <x:v>ja</x:v>
      </x:c>
      <x:c r="D907" t="str">
        <x:v>Ninja Spinner</x:v>
      </x:c>
      <x:c r="E907" t="str">
        <x:v>Numbered total</x:v>
      </x:c>
      <x:c r="F907" t="n">
        <x:v>120</x:v>
      </x:c>
      <x:c r="G907" t="str">
        <x:v>reconciled_components</x:v>
      </x:c>
      <x:c r="H907" t="str"/>
      <x:c r="I907" t="str">
        <x:v>ja; unique numbered-card/checklist identities for this row scope</x:v>
      </x:c>
      <x:c r="J907" t="str">
        <x:v>Numbered total equals the reconciled printed denominator + beyond-denominator identities + separately listed subset identities.</x:v>
      </x:c>
      <x:c r="K907" t="str">
        <x:v>ja-ad8588bb85a3</x:v>
      </x:c>
      <x:c r="L907" t="str">
        <x:v>numbered_total</x:v>
      </x:c>
    </x:row>
    <x:row r="908">
      <x:c r="A908" t="str">
        <x:v>NUM-574254308773</x:v>
      </x:c>
      <x:c r="B908" t="str">
        <x:v>2026-09-26-numbered-totals</x:v>
      </x:c>
      <x:c r="C908" t="str">
        <x:v>ja</x:v>
      </x:c>
      <x:c r="D908" t="str">
        <x:v>Abyss Eye</x:v>
      </x:c>
      <x:c r="E908" t="str">
        <x:v>Numbered total</x:v>
      </x:c>
      <x:c r="F908" t="n">
        <x:v>118</x:v>
      </x:c>
      <x:c r="G908" t="str">
        <x:v>reconciled_components</x:v>
      </x:c>
      <x:c r="H908" t="str"/>
      <x:c r="I908" t="str">
        <x:v>ja; unique numbered-card/checklist identities for this row scope</x:v>
      </x:c>
      <x:c r="J908" t="str">
        <x:v>Numbered total equals the reconciled printed denominator + beyond-denominator identities + separately listed subset identities.</x:v>
      </x:c>
      <x:c r="K908" t="str">
        <x:v>ja-53c96b5e509c</x:v>
      </x:c>
      <x:c r="L908" t="str">
        <x:v>numbered_total</x:v>
      </x:c>
    </x:row>
    <x:row r="909">
      <x:c r="A909" t="str">
        <x:v>NUM-5f3440b2b152</x:v>
      </x:c>
      <x:c r="B909" t="str">
        <x:v>2026-09-26-numbered-totals</x:v>
      </x:c>
      <x:c r="C909" t="str">
        <x:v>ja</x:v>
      </x:c>
      <x:c r="D909" t="str">
        <x:v>Storm Emeralda</x:v>
      </x:c>
      <x:c r="E909" t="str">
        <x:v>Numbered total</x:v>
      </x:c>
      <x:c r="F909" t="n">
        <x:v>113</x:v>
      </x:c>
      <x:c r="G909" t="str">
        <x:v>reconciled_components</x:v>
      </x:c>
      <x:c r="H909" t="str"/>
      <x:c r="I909" t="str">
        <x:v>ja; unique numbered-card/checklist identities for this row scope</x:v>
      </x:c>
      <x:c r="J909" t="str">
        <x:v>Numbered total equals the reconciled printed denominator + beyond-denominator identities + separately listed subset identities.</x:v>
      </x:c>
      <x:c r="K909" t="str">
        <x:v>ja-ca7893199ddf</x:v>
      </x:c>
      <x:c r="L909" t="str">
        <x:v>numbered_total</x:v>
      </x:c>
    </x:row>
    <x:row r="910">
      <x:c r="A910" t="str">
        <x:v>NUM-ee04df2b1397</x:v>
      </x:c>
      <x:c r="B910" t="str">
        <x:v>2026-09-26-numbered-totals</x:v>
      </x:c>
      <x:c r="C910" t="str">
        <x:v>ja</x:v>
      </x:c>
      <x:c r="D910" t="str">
        <x:v>30th Celebration</x:v>
      </x:c>
      <x:c r="E910" t="str">
        <x:v>Numbered total</x:v>
      </x:c>
      <x:c r="F910" t="n">
        <x:v>165</x:v>
      </x:c>
      <x:c r="G910" t="str">
        <x:v>current_numbered_checklist</x:v>
      </x:c>
      <x:c r="H910" t="str">
        <x:v>https://tokyocardreport.com/articles/30th-celebration-card-list-chase-cards/</x:v>
      </x:c>
      <x:c r="I910" t="str">
        <x:v>ja; unique numbered-card/checklist identities for this row scope</x:v>
      </x:c>
      <x:c r="J910" t="str">
        <x:v>Current Japanese M6a numbered list runs through 165/103. Eight Basic Energy identities sit outside that numbered run.</x:v>
      </x:c>
      <x:c r="K910" t="str">
        <x:v>ja-b1b5ce787164</x:v>
      </x:c>
      <x:c r="L910" t="str">
        <x:v>numbered_total</x:v>
      </x:c>
    </x:row>
    <x:row r="911">
      <x:c r="A911" t="str">
        <x:v>NUM-c2bb50a8a902</x:v>
      </x:c>
      <x:c r="B911" t="str">
        <x:v>2026-09-26-numbered-totals</x:v>
      </x:c>
      <x:c r="C911" t="str">
        <x:v>ja</x:v>
      </x:c>
      <x:c r="D911" t="str">
        <x:v>Ash vs Team Rocket Battle Set</x:v>
      </x:c>
      <x:c r="E911" t="str">
        <x:v>Numbered total</x:v>
      </x:c>
      <x:c r="F911" t="n">
        <x:v>30</x:v>
      </x:c>
      <x:c r="G911" t="str">
        <x:v>reference_bridge_inherited</x:v>
      </x:c>
      <x:c r="H911" t="str">
        <x:v>https://www.pokemon-card.com/products/sm/smd.html</x:v>
      </x:c>
      <x:c r="I911" t="str">
        <x:v>ja; unique numbered-card/checklist identities for this row scope</x:v>
      </x:c>
      <x:c r="J911" t="str">
        <x:v>Numbered total bridged from the existing sourced reference count. This is populated for catalogue completeness but remains derived rather than independently re-counted card-by-card in this pass.</x:v>
      </x:c>
      <x:c r="K911" t="str">
        <x:v>ja-b1764b4acecd</x:v>
      </x:c>
      <x:c r="L911" t="str">
        <x:v>numbered_total</x:v>
      </x:c>
    </x:row>
    <x:row r="912">
      <x:c r="A912" t="str">
        <x:v>NUM-22534c9c9455</x:v>
      </x:c>
      <x:c r="B912" t="str">
        <x:v>2026-09-26-numbered-totals</x:v>
      </x:c>
      <x:c r="C912" t="str">
        <x:v>ja</x:v>
      </x:c>
      <x:c r="D912" t="str">
        <x:v>Blastoise &amp; Kyurem Combo Deck</x:v>
      </x:c>
      <x:c r="E912" t="str">
        <x:v>Numbered total</x:v>
      </x:c>
      <x:c r="F912" t="n">
        <x:v>19</x:v>
      </x:c>
      <x:c r="G912" t="str">
        <x:v>reference_bridge_inherited</x:v>
      </x:c>
      <x:c r="H912" t="str">
        <x:v>https://www.pokemon-card.com/card-search/details.php/card/28659/</x:v>
      </x:c>
      <x:c r="I912" t="str">
        <x:v>ja; unique numbered-card/checklist identities for this row scope</x:v>
      </x:c>
      <x:c r="J912" t="str">
        <x:v>Numbered total bridged from the existing sourced reference count. This is populated for catalogue completeness but remains derived rather than independently re-counted card-by-card in this pass.</x:v>
      </x:c>
      <x:c r="K912" t="str">
        <x:v>ja-ed85c17ec216</x:v>
      </x:c>
      <x:c r="L912" t="str">
        <x:v>numbered_total</x:v>
      </x:c>
    </x:row>
    <x:row r="913">
      <x:c r="A913" t="str">
        <x:v>NUM-2c717aa2be04</x:v>
      </x:c>
      <x:c r="B913" t="str">
        <x:v>2026-09-26-numbered-totals</x:v>
      </x:c>
      <x:c r="C913" t="str">
        <x:v>ja</x:v>
      </x:c>
      <x:c r="D913" t="str">
        <x:v>Eevee Heroes VMAX Special Set</x:v>
      </x:c>
      <x:c r="E913" t="str">
        <x:v>Numbered total</x:v>
      </x:c>
      <x:c r="F913" t="n">
        <x:v>8</x:v>
      </x:c>
      <x:c r="G913" t="str">
        <x:v>reference_bridge_inherited</x:v>
      </x:c>
      <x:c r="H913" t="str">
        <x:v>https://www.pokemon-card.com/products/s/sp4.html</x:v>
      </x:c>
      <x:c r="I913" t="str">
        <x:v>ja; unique numbered-card/checklist identities for this row scope</x:v>
      </x:c>
      <x:c r="J913" t="str">
        <x:v>Numbered total bridged from the existing sourced reference count. This is populated for catalogue completeness but remains derived rather than independently re-counted card-by-card in this pass.</x:v>
      </x:c>
      <x:c r="K913" t="str">
        <x:v>ja-25e1785bd838</x:v>
      </x:c>
      <x:c r="L913" t="str">
        <x:v>numbered_total</x:v>
      </x:c>
    </x:row>
    <x:row r="914">
      <x:c r="A914" t="str">
        <x:v>NUM-7ff9c2047315</x:v>
      </x:c>
      <x:c r="B914" t="str">
        <x:v>2026-09-26-numbered-totals</x:v>
      </x:c>
      <x:c r="C914" t="str">
        <x:v>ja</x:v>
      </x:c>
      <x:c r="D914" t="str">
        <x:v>Exciting Battle for Everyone</x:v>
      </x:c>
      <x:c r="E914" t="str">
        <x:v>Numbered total</x:v>
      </x:c>
      <x:c r="F914" t="n">
        <x:v>55</x:v>
      </x:c>
      <x:c r="G914" t="str">
        <x:v>reference_bridge_inherited</x:v>
      </x:c>
      <x:c r="H914" t="str">
        <x:v>https://www.pokemon-card.com/card-search/details.php/card/28455</x:v>
      </x:c>
      <x:c r="I914" t="str">
        <x:v>ja; unique numbered-card/checklist identities for this row scope</x:v>
      </x:c>
      <x:c r="J914" t="str">
        <x:v>Numbered total bridged from the existing sourced reference count. This is populated for catalogue completeness but remains derived rather than independently re-counted card-by-card in this pass.</x:v>
      </x:c>
      <x:c r="K914" t="str">
        <x:v>ja-fb8b80ed6a17</x:v>
      </x:c>
      <x:c r="L914" t="str">
        <x:v>numbered_total</x:v>
      </x:c>
    </x:row>
    <x:row r="915">
      <x:c r="A915" t="str">
        <x:v>NUM-81c956cae637</x:v>
      </x:c>
      <x:c r="B915" t="str">
        <x:v>2026-09-26-numbered-totals</x:v>
      </x:c>
      <x:c r="C915" t="str">
        <x:v>ja</x:v>
      </x:c>
      <x:c r="D915" t="str">
        <x:v>Garchomp Half Deck</x:v>
      </x:c>
      <x:c r="E915" t="str">
        <x:v>Numbered total</x:v>
      </x:c>
      <x:c r="F915" t="n">
        <x:v>18</x:v>
      </x:c>
      <x:c r="G915" t="str">
        <x:v>reference_bridge_inherited</x:v>
      </x:c>
      <x:c r="H915" t="str">
        <x:v>https://www.pokemon-card.com/card-search/details.php/card/27982</x:v>
      </x:c>
      <x:c r="I915" t="str">
        <x:v>ja; unique numbered-card/checklist identities for this row scope</x:v>
      </x:c>
      <x:c r="J915" t="str">
        <x:v>Numbered total bridged from the existing sourced reference count. This is populated for catalogue completeness but remains derived rather than independently re-counted card-by-card in this pass.</x:v>
      </x:c>
      <x:c r="K915" t="str">
        <x:v>ja-cc38166449ff</x:v>
      </x:c>
      <x:c r="L915" t="str">
        <x:v>numbered_total</x:v>
      </x:c>
    </x:row>
    <x:row r="916">
      <x:c r="A916" t="str">
        <x:v>NUM-d7e944a94373</x:v>
      </x:c>
      <x:c r="B916" t="str">
        <x:v>2026-09-26-numbered-totals</x:v>
      </x:c>
      <x:c r="C916" t="str">
        <x:v>ja</x:v>
      </x:c>
      <x:c r="D916" t="str">
        <x:v>Genesect Half Deck (Mewtwo vs Genesect)</x:v>
      </x:c>
      <x:c r="E916" t="str">
        <x:v>Numbered total</x:v>
      </x:c>
      <x:c r="F916" t="n">
        <x:v>17</x:v>
      </x:c>
      <x:c r="G916" t="str">
        <x:v>reference_bridge_inherited</x:v>
      </x:c>
      <x:c r="H916" t="str">
        <x:v>https://bulbapedia.bulbagarden.net/wiki/Genesect_Half_Deck_%28TCG%29</x:v>
      </x:c>
      <x:c r="I916" t="str">
        <x:v>ja; unique numbered-card/checklist identities for this row scope</x:v>
      </x:c>
      <x:c r="J916" t="str">
        <x:v>Numbered total bridged from the existing sourced reference count. This is populated for catalogue completeness but remains derived rather than independently re-counted card-by-card in this pass.</x:v>
      </x:c>
      <x:c r="K916" t="str">
        <x:v>ja-67342d154972</x:v>
      </x:c>
      <x:c r="L916" t="str">
        <x:v>numbered_total</x:v>
      </x:c>
    </x:row>
    <x:row r="917">
      <x:c r="A917" t="str">
        <x:v>NUM-49498476ca4a</x:v>
      </x:c>
      <x:c r="B917" t="str">
        <x:v>2026-09-26-numbered-totals</x:v>
      </x:c>
      <x:c r="C917" t="str">
        <x:v>ja</x:v>
      </x:c>
      <x:c r="D917" t="str">
        <x:v>Golduck BREAK &amp; Palkia-EX Combo Deck</x:v>
      </x:c>
      <x:c r="E917" t="str">
        <x:v>Numbered total</x:v>
      </x:c>
      <x:c r="F917" t="n">
        <x:v>17</x:v>
      </x:c>
      <x:c r="G917" t="str">
        <x:v>reference_bridge_inherited</x:v>
      </x:c>
      <x:c r="H917" t="str">
        <x:v>https://www.pokemon-card.com/products/xy/xyf.html</x:v>
      </x:c>
      <x:c r="I917" t="str">
        <x:v>ja; unique numbered-card/checklist identities for this row scope</x:v>
      </x:c>
      <x:c r="J917" t="str">
        <x:v>Numbered total bridged from the existing sourced reference count. This is populated for catalogue completeness but remains derived rather than independently re-counted card-by-card in this pass.</x:v>
      </x:c>
      <x:c r="K917" t="str">
        <x:v>ja-354378f4f0c7</x:v>
      </x:c>
      <x:c r="L917" t="str">
        <x:v>numbered_total</x:v>
      </x:c>
    </x:row>
    <x:row r="918">
      <x:c r="A918" t="str">
        <x:v>NUM-1372ec190e8d</x:v>
      </x:c>
      <x:c r="B918" t="str">
        <x:v>2026-09-26-numbered-totals</x:v>
      </x:c>
      <x:c r="C918" t="str">
        <x:v>ja</x:v>
      </x:c>
      <x:c r="D918" t="str">
        <x:v>Hydreigon Half Deck</x:v>
      </x:c>
      <x:c r="E918" t="str">
        <x:v>Numbered total</x:v>
      </x:c>
      <x:c r="F918" t="n">
        <x:v>18</x:v>
      </x:c>
      <x:c r="G918" t="str">
        <x:v>reference_bridge_inherited</x:v>
      </x:c>
      <x:c r="H918" t="str">
        <x:v>https://www.pokemon-card.com/ex/25th/chronicle/</x:v>
      </x:c>
      <x:c r="I918" t="str">
        <x:v>ja; unique numbered-card/checklist identities for this row scope</x:v>
      </x:c>
      <x:c r="J918" t="str">
        <x:v>Numbered total bridged from the existing sourced reference count. This is populated for catalogue completeness but remains derived rather than independently re-counted card-by-card in this pass.</x:v>
      </x:c>
      <x:c r="K918" t="str">
        <x:v>ja-b505cc9dc7df</x:v>
      </x:c>
      <x:c r="L918" t="str">
        <x:v>numbered_total</x:v>
      </x:c>
    </x:row>
    <x:row r="919">
      <x:c r="A919" t="str">
        <x:v>NUM-30a005240ffa</x:v>
      </x:c>
      <x:c r="B919" t="str">
        <x:v>2026-09-26-numbered-totals</x:v>
      </x:c>
      <x:c r="C919" t="str">
        <x:v>ja</x:v>
      </x:c>
      <x:c r="D919" t="str">
        <x:v>Hyper Metal Chain Deck</x:v>
      </x:c>
      <x:c r="E919" t="str">
        <x:v>Numbered total</x:v>
      </x:c>
      <x:c r="F919" t="n">
        <x:v>20</x:v>
      </x:c>
      <x:c r="G919" t="str">
        <x:v>reference_bridge_inherited</x:v>
      </x:c>
      <x:c r="H919" t="str">
        <x:v>https://www.pokemon-card.com/products/xy/metal60.html</x:v>
      </x:c>
      <x:c r="I919" t="str">
        <x:v>ja; unique numbered-card/checklist identities for this row scope</x:v>
      </x:c>
      <x:c r="J919" t="str">
        <x:v>Numbered total bridged from the existing sourced reference count. This is populated for catalogue completeness but remains derived rather than independently re-counted card-by-card in this pass.</x:v>
      </x:c>
      <x:c r="K919" t="str">
        <x:v>ja-8fdc44f9f846</x:v>
      </x:c>
      <x:c r="L919" t="str">
        <x:v>numbered_total</x:v>
      </x:c>
    </x:row>
    <x:row r="920">
      <x:c r="A920" t="str">
        <x:v>NUM-aaca811da85e</x:v>
      </x:c>
      <x:c r="B920" t="str">
        <x:v>2026-09-26-numbered-totals</x:v>
      </x:c>
      <x:c r="C920" t="str">
        <x:v>ja</x:v>
      </x:c>
      <x:c r="D920" t="str">
        <x:v>Keldeo Battle Strength Deck</x:v>
      </x:c>
      <x:c r="E920" t="str">
        <x:v>Numbered total</x:v>
      </x:c>
      <x:c r="F920" t="n">
        <x:v>18</x:v>
      </x:c>
      <x:c r="G920" t="str">
        <x:v>reference_bridge_inherited</x:v>
      </x:c>
      <x:c r="H920" t="str">
        <x:v>https://www.pokemon-card.com/ex/25th/chronicle/</x:v>
      </x:c>
      <x:c r="I920" t="str">
        <x:v>ja; unique numbered-card/checklist identities for this row scope</x:v>
      </x:c>
      <x:c r="J920" t="str">
        <x:v>Numbered total bridged from the existing sourced reference count. This is populated for catalogue completeness but remains derived rather than independently re-counted card-by-card in this pass.</x:v>
      </x:c>
      <x:c r="K920" t="str">
        <x:v>ja-1e32a0d9a484</x:v>
      </x:c>
      <x:c r="L920" t="str">
        <x:v>numbered_total</x:v>
      </x:c>
    </x:row>
    <x:row r="921">
      <x:c r="A921" t="str">
        <x:v>NUM-fc4a8b4d751c</x:v>
      </x:c>
      <x:c r="B921" t="str">
        <x:v>2026-09-26-numbered-totals</x:v>
      </x:c>
      <x:c r="C921" t="str">
        <x:v>ja</x:v>
      </x:c>
      <x:c r="D921" t="str">
        <x:v>M Charizard-EX Mega Battle Deck</x:v>
      </x:c>
      <x:c r="E921" t="str">
        <x:v>Numbered total</x:v>
      </x:c>
      <x:c r="F921" t="n">
        <x:v>23</x:v>
      </x:c>
      <x:c r="G921" t="str">
        <x:v>reference_bridge_inherited</x:v>
      </x:c>
      <x:c r="H921" t="str">
        <x:v>https://www.pokemon-card.com/products/xy/xy2.html</x:v>
      </x:c>
      <x:c r="I921" t="str">
        <x:v>ja; unique numbered-card/checklist identities for this row scope</x:v>
      </x:c>
      <x:c r="J921" t="str">
        <x:v>Numbered total bridged from the existing sourced reference count. This is populated for catalogue completeness but remains derived rather than independently re-counted card-by-card in this pass.</x:v>
      </x:c>
      <x:c r="K921" t="str">
        <x:v>ja-4a0cce65985c</x:v>
      </x:c>
      <x:c r="L921" t="str">
        <x:v>numbered_total</x:v>
      </x:c>
    </x:row>
    <x:row r="922">
      <x:c r="A922" t="str">
        <x:v>NUM-41ba6f25b37f</x:v>
      </x:c>
      <x:c r="B922" t="str">
        <x:v>2026-09-26-numbered-totals</x:v>
      </x:c>
      <x:c r="C922" t="str">
        <x:v>ja</x:v>
      </x:c>
      <x:c r="D922" t="str">
        <x:v>Mega Audino-EX Mega Battle Deck</x:v>
      </x:c>
      <x:c r="E922" t="str">
        <x:v>Numbered total</x:v>
      </x:c>
      <x:c r="F922" t="n">
        <x:v>27</x:v>
      </x:c>
      <x:c r="G922" t="str">
        <x:v>reference_bridge_inherited</x:v>
      </x:c>
      <x:c r="H922" t="str">
        <x:v>https://www.pokemon-card.com/products/xy/xygh.html</x:v>
      </x:c>
      <x:c r="I922" t="str">
        <x:v>ja; unique numbered-card/checklist identities for this row scope</x:v>
      </x:c>
      <x:c r="J922" t="str">
        <x:v>Numbered total bridged from the existing sourced reference count. This is populated for catalogue completeness but remains derived rather than independently re-counted card-by-card in this pass.</x:v>
      </x:c>
      <x:c r="K922" t="str">
        <x:v>ja-3305a29da758</x:v>
      </x:c>
      <x:c r="L922" t="str">
        <x:v>numbered_total</x:v>
      </x:c>
    </x:row>
    <x:row r="923">
      <x:c r="A923" t="str">
        <x:v>NUM-496703215786</x:v>
      </x:c>
      <x:c r="B923" t="str">
        <x:v>2026-09-26-numbered-totals</x:v>
      </x:c>
      <x:c r="C923" t="str">
        <x:v>ja</x:v>
      </x:c>
      <x:c r="D923" t="str">
        <x:v>Mega Rayquaza-EX Battle Deck</x:v>
      </x:c>
      <x:c r="E923" t="str">
        <x:v>Numbered total</x:v>
      </x:c>
      <x:c r="F923" t="n">
        <x:v>20</x:v>
      </x:c>
      <x:c r="G923" t="str">
        <x:v>reference_bridge_inherited</x:v>
      </x:c>
      <x:c r="H923" t="str">
        <x:v>https://www.pokemon-card.com/products/xy/xyd.html</x:v>
      </x:c>
      <x:c r="I923" t="str">
        <x:v>ja; unique numbered-card/checklist identities for this row scope</x:v>
      </x:c>
      <x:c r="J923" t="str">
        <x:v>Numbered total bridged from the existing sourced reference count. This is populated for catalogue completeness but remains derived rather than independently re-counted card-by-card in this pass.</x:v>
      </x:c>
      <x:c r="K923" t="str">
        <x:v>ja-f552fe7fd0ba</x:v>
      </x:c>
      <x:c r="L923" t="str">
        <x:v>numbered_total</x:v>
      </x:c>
    </x:row>
    <x:row r="924">
      <x:c r="A924" t="str">
        <x:v>NUM-62dcb17d1a5b</x:v>
      </x:c>
      <x:c r="B924" t="str">
        <x:v>2026-09-26-numbered-totals</x:v>
      </x:c>
      <x:c r="C924" t="str">
        <x:v>ja</x:v>
      </x:c>
      <x:c r="D924" t="str">
        <x:v>Mewtwo Half Deck (Mewtwo vs Genesect)</x:v>
      </x:c>
      <x:c r="E924" t="str">
        <x:v>Numbered total</x:v>
      </x:c>
      <x:c r="F924" t="n">
        <x:v>17</x:v>
      </x:c>
      <x:c r="G924" t="str">
        <x:v>reference_bridge_inherited</x:v>
      </x:c>
      <x:c r="H924" t="str">
        <x:v>https://bulbapedia.bulbagarden.net/wiki/Mewtwo_Half_Deck_%28TCG%29</x:v>
      </x:c>
      <x:c r="I924" t="str">
        <x:v>ja; unique numbered-card/checklist identities for this row scope</x:v>
      </x:c>
      <x:c r="J924" t="str">
        <x:v>Numbered total bridged from the existing sourced reference count. This is populated for catalogue completeness but remains derived rather than independently re-counted card-by-card in this pass.</x:v>
      </x:c>
      <x:c r="K924" t="str">
        <x:v>ja-e9c6c3a99efd</x:v>
      </x:c>
      <x:c r="L924" t="str">
        <x:v>numbered_total</x:v>
      </x:c>
    </x:row>
    <x:row r="925">
      <x:c r="A925" t="str">
        <x:v>NUM-c12f4a85abcd</x:v>
      </x:c>
      <x:c r="B925" t="str">
        <x:v>2026-09-26-numbered-totals</x:v>
      </x:c>
      <x:c r="C925" t="str">
        <x:v>ja</x:v>
      </x:c>
      <x:c r="D925" t="str">
        <x:v>Noivern BREAK Evolution Pack</x:v>
      </x:c>
      <x:c r="E925" t="str">
        <x:v>Numbered total</x:v>
      </x:c>
      <x:c r="F925" t="n">
        <x:v>10</x:v>
      </x:c>
      <x:c r="G925" t="str">
        <x:v>reference_bridge_inherited</x:v>
      </x:c>
      <x:c r="H925" t="str">
        <x:v>https://www.pokemon-card.com/products/xy/snp.html</x:v>
      </x:c>
      <x:c r="I925" t="str">
        <x:v>ja; unique numbered-card/checklist identities for this row scope</x:v>
      </x:c>
      <x:c r="J925" t="str">
        <x:v>Numbered total bridged from the existing sourced reference count. This is populated for catalogue completeness but remains derived rather than independently re-counted card-by-card in this pass.</x:v>
      </x:c>
      <x:c r="K925" t="str">
        <x:v>ja-5f9ba7db5890</x:v>
      </x:c>
      <x:c r="L925" t="str">
        <x:v>numbered_total</x:v>
      </x:c>
    </x:row>
    <x:row r="926">
      <x:c r="A926" t="str">
        <x:v>NUM-874915145b55</x:v>
      </x:c>
      <x:c r="B926" t="str">
        <x:v>2026-09-26-numbered-totals</x:v>
      </x:c>
      <x:c r="C926" t="str">
        <x:v>ja</x:v>
      </x:c>
      <x:c r="D926" t="str">
        <x:v>Premium Trainer Box</x:v>
      </x:c>
      <x:c r="E926" t="str">
        <x:v>Numbered total</x:v>
      </x:c>
      <x:c r="F926" t="n">
        <x:v>18</x:v>
      </x:c>
      <x:c r="G926" t="str">
        <x:v>reference_bridge_inherited</x:v>
      </x:c>
      <x:c r="H926" t="str">
        <x:v>https://www.pokemon-card.com/products/sm/pt-box.html</x:v>
      </x:c>
      <x:c r="I926" t="str">
        <x:v>ja; unique numbered-card/checklist identities for this row scope</x:v>
      </x:c>
      <x:c r="J926" t="str">
        <x:v>Numbered total bridged from the existing sourced reference count. This is populated for catalogue completeness but remains derived rather than independently re-counted card-by-card in this pass.</x:v>
      </x:c>
      <x:c r="K926" t="str">
        <x:v>ja-b6fd25eade16</x:v>
      </x:c>
      <x:c r="L926" t="str">
        <x:v>numbered_total</x:v>
      </x:c>
    </x:row>
    <x:row r="927">
      <x:c r="A927" t="str">
        <x:v>NUM-967614f1aca0</x:v>
      </x:c>
      <x:c r="B927" t="str">
        <x:v>2026-09-26-numbered-totals</x:v>
      </x:c>
      <x:c r="C927" t="str">
        <x:v>ja</x:v>
      </x:c>
      <x:c r="D927" t="str">
        <x:v>Raichu BREAK Evolution Pack</x:v>
      </x:c>
      <x:c r="E927" t="str">
        <x:v>Numbered total</x:v>
      </x:c>
      <x:c r="F927" t="n">
        <x:v>10</x:v>
      </x:c>
      <x:c r="G927" t="str">
        <x:v>reference_bridge_inherited</x:v>
      </x:c>
      <x:c r="H927" t="str">
        <x:v>https://www.pokemon-card.com/products/xy/snp.html</x:v>
      </x:c>
      <x:c r="I927" t="str">
        <x:v>ja; unique numbered-card/checklist identities for this row scope</x:v>
      </x:c>
      <x:c r="J927" t="str">
        <x:v>Numbered total bridged from the existing sourced reference count. This is populated for catalogue completeness but remains derived rather than independently re-counted card-by-card in this pass.</x:v>
      </x:c>
      <x:c r="K927" t="str">
        <x:v>ja-6ad21e162182</x:v>
      </x:c>
      <x:c r="L927" t="str">
        <x:v>numbered_total</x:v>
      </x:c>
    </x:row>
    <x:row r="928">
      <x:c r="A928" t="str">
        <x:v>NUM-e2dd937d7df5</x:v>
      </x:c>
      <x:c r="B928" t="str">
        <x:v>2026-09-26-numbered-totals</x:v>
      </x:c>
      <x:c r="C928" t="str">
        <x:v>ja</x:v>
      </x:c>
      <x:c r="D928" t="str">
        <x:v>Rockruff Full Power Deck</x:v>
      </x:c>
      <x:c r="E928" t="str">
        <x:v>Numbered total</x:v>
      </x:c>
      <x:c r="F928" t="n">
        <x:v>13</x:v>
      </x:c>
      <x:c r="G928" t="str">
        <x:v>reference_bridge_inherited</x:v>
      </x:c>
      <x:c r="H928" t="str">
        <x:v>https://bulbapedia.bulbagarden.net/wiki/SMP1</x:v>
      </x:c>
      <x:c r="I928" t="str">
        <x:v>ja; unique numbered-card/checklist identities for this row scope</x:v>
      </x:c>
      <x:c r="J928" t="str">
        <x:v>Numbered total bridged from the existing sourced reference count. This is populated for catalogue completeness but remains derived rather than independently re-counted card-by-card in this pass.</x:v>
      </x:c>
      <x:c r="K928" t="str">
        <x:v>ja-0ee044c14656</x:v>
      </x:c>
      <x:c r="L928" t="str">
        <x:v>numbered_total</x:v>
      </x:c>
    </x:row>
    <x:row r="929">
      <x:c r="A929" t="str">
        <x:v>NUM-74153a98efc8</x:v>
      </x:c>
      <x:c r="B929" t="str">
        <x:v>2026-09-26-numbered-totals</x:v>
      </x:c>
      <x:c r="C929" t="str">
        <x:v>ja</x:v>
      </x:c>
      <x:c r="D929" t="str">
        <x:v>Shaymin LV.X Collection Pack</x:v>
      </x:c>
      <x:c r="E929" t="str">
        <x:v>Numbered total</x:v>
      </x:c>
      <x:c r="F929" t="n">
        <x:v>12</x:v>
      </x:c>
      <x:c r="G929" t="str">
        <x:v>reference_bridge_inherited</x:v>
      </x:c>
      <x:c r="H929" t="str">
        <x:v>https://www.pokemon-card.com/ex/25th/chronicle/</x:v>
      </x:c>
      <x:c r="I929" t="str">
        <x:v>ja; unique numbered-card/checklist identities for this row scope</x:v>
      </x:c>
      <x:c r="J929" t="str">
        <x:v>Numbered total bridged from the existing sourced reference count. This is populated for catalogue completeness but remains derived rather than independently re-counted card-by-card in this pass.</x:v>
      </x:c>
      <x:c r="K929" t="str">
        <x:v>ja-6610d1bc091c</x:v>
      </x:c>
      <x:c r="L929" t="str">
        <x:v>numbered_total</x:v>
      </x:c>
    </x:row>
    <x:row r="930">
      <x:c r="A930" t="str">
        <x:v>NUM-c6e63ca7cd84</x:v>
      </x:c>
      <x:c r="B930" t="str">
        <x:v>2026-09-26-numbered-totals</x:v>
      </x:c>
      <x:c r="C930" t="str">
        <x:v>ja</x:v>
      </x:c>
      <x:c r="D930" t="str">
        <x:v>Start Deck 100</x:v>
      </x:c>
      <x:c r="E930" t="str">
        <x:v>Numbered total</x:v>
      </x:c>
      <x:c r="F930" t="n">
        <x:v>422</x:v>
      </x:c>
      <x:c r="G930" t="str">
        <x:v>reference_bridge_secondary_numbered_checklist</x:v>
      </x:c>
      <x:c r="H930" t="str">
        <x:v>https://bulbapedia.bulbagarden.net/wiki/Start_Deck_100_(TCG)</x:v>
      </x:c>
      <x:c r="I930" t="str">
        <x:v>ja; unique numbered-card/checklist identities for this row scope</x:v>
      </x:c>
      <x:c r="J930" t="str">
        <x:v>Numbered total bridged from the sourced reference-count checklist for this exact row scope. Distinct Start Deck 100 catalogue identities: 414-number denominator plus documented beyond-denominator identities; not 100×60 physical deck cards.</x:v>
      </x:c>
      <x:c r="K930" t="str">
        <x:v>ja-db1b40ed6128</x:v>
      </x:c>
      <x:c r="L930" t="str">
        <x:v>numbered_total</x:v>
      </x:c>
    </x:row>
    <x:row r="931">
      <x:c r="A931" t="str">
        <x:v>NUM-5f5525a5ea51</x:v>
      </x:c>
      <x:c r="B931" t="str">
        <x:v>2026-09-26-numbered-totals</x:v>
      </x:c>
      <x:c r="C931" t="str">
        <x:v>ja</x:v>
      </x:c>
      <x:c r="D931" t="str">
        <x:v>Tapu Bulu-GX Enhanced Starter Set</x:v>
      </x:c>
      <x:c r="E931" t="str">
        <x:v>Numbered total</x:v>
      </x:c>
      <x:c r="F931" t="n">
        <x:v>21</x:v>
      </x:c>
      <x:c r="G931" t="str">
        <x:v>reference_bridge_inherited</x:v>
      </x:c>
      <x:c r="H931" t="str">
        <x:v>https://www.pokemon-card.com/products/sm/smc.html</x:v>
      </x:c>
      <x:c r="I931" t="str">
        <x:v>ja; unique numbered-card/checklist identities for this row scope</x:v>
      </x:c>
      <x:c r="J931" t="str">
        <x:v>Numbered total bridged from the existing sourced reference count. This is populated for catalogue completeness but remains derived rather than independently re-counted card-by-card in this pass.</x:v>
      </x:c>
      <x:c r="K931" t="str">
        <x:v>ja-1d2fff8e3828</x:v>
      </x:c>
      <x:c r="L931" t="str">
        <x:v>numbered_total</x:v>
      </x:c>
    </x:row>
    <x:row r="932">
      <x:c r="A932" t="str">
        <x:v>NUM-9ca42c13e8a0</x:v>
      </x:c>
      <x:c r="B932" t="str">
        <x:v>2026-09-26-numbered-totals</x:v>
      </x:c>
      <x:c r="C932" t="str">
        <x:v>ja</x:v>
      </x:c>
      <x:c r="D932" t="str">
        <x:v>Team Plasma Battle Gift Set</x:v>
      </x:c>
      <x:c r="E932" t="str">
        <x:v>Numbered total</x:v>
      </x:c>
      <x:c r="F932" t="n">
        <x:v>18</x:v>
      </x:c>
      <x:c r="G932" t="str">
        <x:v>reference_bridge_inherited</x:v>
      </x:c>
      <x:c r="H932" t="str">
        <x:v>https://www.pokemon-card.com/ex/25th/chronicle/</x:v>
      </x:c>
      <x:c r="I932" t="str">
        <x:v>ja; unique numbered-card/checklist identities for this row scope</x:v>
      </x:c>
      <x:c r="J932" t="str">
        <x:v>Numbered total bridged from the existing sourced reference count. This is populated for catalogue completeness but remains derived rather than independently re-counted card-by-card in this pass.</x:v>
      </x:c>
      <x:c r="K932" t="str">
        <x:v>ja-6b114003e2b1</x:v>
      </x:c>
      <x:c r="L932" t="str">
        <x:v>numbered_total</x:v>
      </x:c>
    </x:row>
    <x:row r="933">
      <x:c r="A933" t="str">
        <x:v>NUM-af0832383d87</x:v>
      </x:c>
      <x:c r="B933" t="str">
        <x:v>2026-09-26-numbered-totals</x:v>
      </x:c>
      <x:c r="C933" t="str">
        <x:v>ja</x:v>
      </x:c>
      <x:c r="D933" t="str">
        <x:v>Unnumbered Promotional cards</x:v>
      </x:c>
      <x:c r="E933" t="str">
        <x:v>Numbered total</x:v>
      </x:c>
      <x:c r="F933" t="n">
        <x:v>150</x:v>
      </x:c>
      <x:c r="G933" t="str">
        <x:v>reference_bridge_secondary_catalogue_snapshot</x:v>
      </x:c>
      <x:c r="H933" t="str">
        <x:v>https://www.cardtrader.com/en/pokemon/expansions</x:v>
      </x:c>
      <x:c r="I933" t="str">
        <x:v>ja; unique numbered-card/checklist identities for this row scope</x:v>
      </x:c>
      <x:c r="J933" t="str">
        <x:v>Numbered total bridged from the sourced reference-count checklist for this exact row scope. Current secondary catalogue snapshot of distinct Japanese unnumbered promotional-card identities; ongoing open-ended promo scope.</x:v>
      </x:c>
      <x:c r="K933" t="str">
        <x:v>ja-dc7d8d809c94</x:v>
      </x:c>
      <x:c r="L933" t="str">
        <x:v>numbered_total</x:v>
      </x:c>
    </x:row>
    <x:row r="934">
      <x:c r="A934" t="str">
        <x:v>NUM-ce7d1b7e73d8</x:v>
      </x:c>
      <x:c r="B934" t="str">
        <x:v>2026-09-26-numbered-totals</x:v>
      </x:c>
      <x:c r="C934" t="str">
        <x:v>ja</x:v>
      </x:c>
      <x:c r="D934" t="str">
        <x:v>VMAX Special Set</x:v>
      </x:c>
      <x:c r="E934" t="str">
        <x:v>Numbered total</x:v>
      </x:c>
      <x:c r="F934" t="n">
        <x:v>8</x:v>
      </x:c>
      <x:c r="G934" t="str">
        <x:v>reference_bridge_inherited</x:v>
      </x:c>
      <x:c r="H934" t="str">
        <x:v>https://www.pokemon-card.com/products/s/sp2.html</x:v>
      </x:c>
      <x:c r="I934" t="str">
        <x:v>ja; unique numbered-card/checklist identities for this row scope</x:v>
      </x:c>
      <x:c r="J934" t="str">
        <x:v>Numbered total bridged from the existing sourced reference count. This is populated for catalogue completeness but remains derived rather than independently re-counted card-by-card in this pass.</x:v>
      </x:c>
      <x:c r="K934" t="str">
        <x:v>ja-dd7a387ccc7e</x:v>
      </x:c>
      <x:c r="L934" t="str">
        <x:v>numbered_total</x:v>
      </x:c>
    </x:row>
    <x:row r="935">
      <x:c r="A935" t="str">
        <x:v>NUM-6a9a072ec515</x:v>
      </x:c>
      <x:c r="B935" t="str">
        <x:v>2026-09-26-numbered-totals</x:v>
      </x:c>
      <x:c r="C935" t="str">
        <x:v>ja</x:v>
      </x:c>
      <x:c r="D935" t="str">
        <x:v>XY Beginning Set</x:v>
      </x:c>
      <x:c r="E935" t="str">
        <x:v>Numbered total</x:v>
      </x:c>
      <x:c r="F935" t="n">
        <x:v>45</x:v>
      </x:c>
      <x:c r="G935" t="str">
        <x:v>reference_bridge_inherited</x:v>
      </x:c>
      <x:c r="H935" t="str">
        <x:v>https://www.pokemon-card.com/products/xy/hs.html</x:v>
      </x:c>
      <x:c r="I935" t="str">
        <x:v>ja; unique numbered-card/checklist identities for this row scope</x:v>
      </x:c>
      <x:c r="J935" t="str">
        <x:v>Numbered total bridged from the existing sourced reference count. This is populated for catalogue completeness but remains derived rather than independently re-counted card-by-card in this pass.</x:v>
      </x:c>
      <x:c r="K935" t="str">
        <x:v>ja-f8a1666d0bc0</x:v>
      </x:c>
      <x:c r="L935" t="str">
        <x:v>numbered_total</x:v>
      </x:c>
    </x:row>
    <x:row r="936">
      <x:c r="A936" t="str">
        <x:v>NUM-400a57a61d74</x:v>
      </x:c>
      <x:c r="B936" t="str">
        <x:v>2026-09-26-numbered-totals</x:v>
      </x:c>
      <x:c r="C936" t="str">
        <x:v>ja</x:v>
      </x:c>
      <x:c r="D936" t="str">
        <x:v>Xerneas Half Deck</x:v>
      </x:c>
      <x:c r="E936" t="str">
        <x:v>Numbered total</x:v>
      </x:c>
      <x:c r="F936" t="n">
        <x:v>15</x:v>
      </x:c>
      <x:c r="G936" t="str">
        <x:v>reference_bridge_inherited</x:v>
      </x:c>
      <x:c r="H936" t="str">
        <x:v>https://www.pokemon-card.com/products/xy/x30y30/x30y30_000282.html</x:v>
      </x:c>
      <x:c r="I936" t="str">
        <x:v>ja; unique numbered-card/checklist identities for this row scope</x:v>
      </x:c>
      <x:c r="J936" t="str">
        <x:v>Numbered total bridged from the existing sourced reference count. This is populated for catalogue completeness but remains derived rather than independently re-counted card-by-card in this pass.</x:v>
      </x:c>
      <x:c r="K936" t="str">
        <x:v>ja-fed7090443ee</x:v>
      </x:c>
      <x:c r="L936" t="str">
        <x:v>numbered_total</x:v>
      </x:c>
    </x:row>
    <x:row r="937">
      <x:c r="A937" t="str">
        <x:v>NUM-2261abe50203</x:v>
      </x:c>
      <x:c r="B937" t="str">
        <x:v>2026-09-26-numbered-totals</x:v>
      </x:c>
      <x:c r="C937" t="str">
        <x:v>ja</x:v>
      </x:c>
      <x:c r="D937" t="str">
        <x:v>Yveltal Half Deck</x:v>
      </x:c>
      <x:c r="E937" t="str">
        <x:v>Numbered total</x:v>
      </x:c>
      <x:c r="F937" t="n">
        <x:v>15</x:v>
      </x:c>
      <x:c r="G937" t="str">
        <x:v>reference_bridge_inherited</x:v>
      </x:c>
      <x:c r="H937" t="str">
        <x:v>https://www.pokemon-card.com/products/xy/x30y30/x30y30_000282.html</x:v>
      </x:c>
      <x:c r="I937" t="str">
        <x:v>ja; unique numbered-card/checklist identities for this row scope</x:v>
      </x:c>
      <x:c r="J937" t="str">
        <x:v>Numbered total bridged from the existing sourced reference count. This is populated for catalogue completeness but remains derived rather than independently re-counted card-by-card in this pass.</x:v>
      </x:c>
      <x:c r="K937" t="str">
        <x:v>ja-647e29f1f683</x:v>
      </x:c>
      <x:c r="L937" t="str">
        <x:v>numbered_total</x:v>
      </x:c>
    </x:row>
    <x:row r="938">
      <x:c r="A938" t="str">
        <x:v>NUM-94aab568dc57</x:v>
      </x:c>
      <x:c r="B938" t="str">
        <x:v>2026-09-26-numbered-totals</x:v>
      </x:c>
      <x:c r="C938" t="str">
        <x:v>ja</x:v>
      </x:c>
      <x:c r="D938" t="str">
        <x:v>Zygarde-EX Perfect Battle Deck</x:v>
      </x:c>
      <x:c r="E938" t="str">
        <x:v>Numbered total</x:v>
      </x:c>
      <x:c r="F938" t="n">
        <x:v>20</x:v>
      </x:c>
      <x:c r="G938" t="str">
        <x:v>reference_bridge_inherited</x:v>
      </x:c>
      <x:c r="H938" t="str">
        <x:v>https://www.pokemon-card.com/products/xy/xygh.html</x:v>
      </x:c>
      <x:c r="I938" t="str">
        <x:v>ja; unique numbered-card/checklist identities for this row scope</x:v>
      </x:c>
      <x:c r="J938" t="str">
        <x:v>Numbered total bridged from the existing sourced reference count. This is populated for catalogue completeness but remains derived rather than independently re-counted card-by-card in this pass.</x:v>
      </x:c>
      <x:c r="K938" t="str">
        <x:v>ja-5bd5bd4a3cbb</x:v>
      </x:c>
      <x:c r="L938" t="str">
        <x:v>numbered_total</x:v>
      </x:c>
    </x:row>
    <x:row r="939">
      <x:c r="A939" t="str">
        <x:v>NUM-6fffc4194d5b</x:v>
      </x:c>
      <x:c r="B939" t="str">
        <x:v>2026-09-26-numbered-totals</x:v>
      </x:c>
      <x:c r="C939" t="str">
        <x:v>zh-CN</x:v>
      </x:c>
      <x:c r="D939" t="str">
        <x:v>Battle Elite</x:v>
      </x:c>
      <x:c r="E939" t="str">
        <x:v>Numbered total</x:v>
      </x:c>
      <x:c r="F939" t="n">
        <x:v>88</x:v>
      </x:c>
      <x:c r="G939" t="str">
        <x:v>reconciled_components</x:v>
      </x:c>
      <x:c r="H939" t="str"/>
      <x:c r="I939" t="str">
        <x:v>zh-CN; unique numbered-card/checklist identities for this row scope</x:v>
      </x:c>
      <x:c r="J939" t="str">
        <x:v>Numbered total equals the reconciled printed denominator + beyond-denominator identities + separately listed subset identities.</x:v>
      </x:c>
      <x:c r="K939" t="str">
        <x:v>zh-CN-7201f0f4adef</x:v>
      </x:c>
      <x:c r="L939" t="str">
        <x:v>numbered_total</x:v>
      </x:c>
    </x:row>
    <x:row r="940">
      <x:c r="A940" t="str">
        <x:v>NUM-b1c0a1775a56</x:v>
      </x:c>
      <x:c r="B940" t="str">
        <x:v>2026-09-26-numbered-totals</x:v>
      </x:c>
      <x:c r="C940" t="str">
        <x:v>zh-CN</x:v>
      </x:c>
      <x:c r="D940" t="str">
        <x:v>Striking Competition</x:v>
      </x:c>
      <x:c r="E940" t="str">
        <x:v>Numbered total</x:v>
      </x:c>
      <x:c r="F940" t="n">
        <x:v>99</x:v>
      </x:c>
      <x:c r="G940" t="str">
        <x:v>reconciled_components</x:v>
      </x:c>
      <x:c r="H940" t="str"/>
      <x:c r="I940" t="str">
        <x:v>zh-CN; unique numbered-card/checklist identities for this row scope</x:v>
      </x:c>
      <x:c r="J940" t="str">
        <x:v>Numbered total equals the reconciled printed denominator + beyond-denominator identities + separately listed subset identities.</x:v>
      </x:c>
      <x:c r="K940" t="str">
        <x:v>zh-CN-9a65c0b3e375</x:v>
      </x:c>
      <x:c r="L940" t="str">
        <x:v>numbered_total</x:v>
      </x:c>
    </x:row>
    <x:row r="941">
      <x:c r="A941" t="str">
        <x:v>NUM-19595c3eff6a</x:v>
      </x:c>
      <x:c r="B941" t="str">
        <x:v>2026-09-26-numbered-totals</x:v>
      </x:c>
      <x:c r="C941" t="str">
        <x:v>zh-CN</x:v>
      </x:c>
      <x:c r="D941" t="str">
        <x:v>Dynamax Tactics</x:v>
      </x:c>
      <x:c r="E941" t="str">
        <x:v>Numbered total</x:v>
      </x:c>
      <x:c r="F941" t="n">
        <x:v>96</x:v>
      </x:c>
      <x:c r="G941" t="str">
        <x:v>reconciled_components</x:v>
      </x:c>
      <x:c r="H941" t="str"/>
      <x:c r="I941" t="str">
        <x:v>zh-CN; unique numbered-card/checklist identities for this row scope</x:v>
      </x:c>
      <x:c r="J941" t="str">
        <x:v>Numbered total equals the reconciled printed denominator + beyond-denominator identities + separately listed subset identities.</x:v>
      </x:c>
      <x:c r="K941" t="str">
        <x:v>zh-CN-07dcd02896a4</x:v>
      </x:c>
      <x:c r="L941" t="str">
        <x:v>numbered_total</x:v>
      </x:c>
    </x:row>
    <x:row r="942">
      <x:c r="A942" t="str">
        <x:v>NUM-a0de14630b06</x:v>
      </x:c>
      <x:c r="B942" t="str">
        <x:v>2026-09-26-numbered-totals</x:v>
      </x:c>
      <x:c r="C942" t="str">
        <x:v>zh-CN</x:v>
      </x:c>
      <x:c r="D942" t="str">
        <x:v>Brilliant Counterattack</x:v>
      </x:c>
      <x:c r="E942" t="str">
        <x:v>Numbered total</x:v>
      </x:c>
      <x:c r="F942" t="n">
        <x:v>79</x:v>
      </x:c>
      <x:c r="G942" t="str">
        <x:v>reconciled_components</x:v>
      </x:c>
      <x:c r="H942" t="str"/>
      <x:c r="I942" t="str">
        <x:v>zh-CN; unique numbered-card/checklist identities for this row scope</x:v>
      </x:c>
      <x:c r="J942" t="str">
        <x:v>Numbered total equals the reconciled printed denominator + beyond-denominator identities + separately listed subset identities.</x:v>
      </x:c>
      <x:c r="K942" t="str">
        <x:v>zh-CN-dda220ef310e</x:v>
      </x:c>
      <x:c r="L942" t="str">
        <x:v>numbered_total</x:v>
      </x:c>
    </x:row>
    <x:row r="943">
      <x:c r="A943" t="str">
        <x:v>NUM-fa8003b85503</x:v>
      </x:c>
      <x:c r="B943" t="str">
        <x:v>2026-09-26-numbered-totals</x:v>
      </x:c>
      <x:c r="C943" t="str">
        <x:v>zh-CN</x:v>
      </x:c>
      <x:c r="D943" t="str">
        <x:v>Primordial Arts: Overgrow</x:v>
      </x:c>
      <x:c r="E943" t="str">
        <x:v>Numbered total</x:v>
      </x:c>
      <x:c r="F943" t="n">
        <x:v>184</x:v>
      </x:c>
      <x:c r="G943" t="str">
        <x:v>reference_bridge_inherited</x:v>
      </x:c>
      <x:c r="H943" t="str"/>
      <x:c r="I943" t="str">
        <x:v>zh-CN; unique numbered-card/checklist identities for this row scope</x:v>
      </x:c>
      <x:c r="J943" t="str">
        <x:v>Numbered total bridged from the existing sourced reference count. This is populated for catalogue completeness but remains derived rather than independently re-counted card-by-card in this pass.</x:v>
      </x:c>
      <x:c r="K943" t="str">
        <x:v>zh-CN-03b5c4fdbb4b</x:v>
      </x:c>
      <x:c r="L943" t="str">
        <x:v>numbered_total</x:v>
      </x:c>
    </x:row>
    <x:row r="944">
      <x:c r="A944" t="str">
        <x:v>NUM-dd062941aab6</x:v>
      </x:c>
      <x:c r="B944" t="str">
        <x:v>2026-09-26-numbered-totals</x:v>
      </x:c>
      <x:c r="C944" t="str">
        <x:v>zh-CN</x:v>
      </x:c>
      <x:c r="D944" t="str">
        <x:v>Primordial Arts: Torrent</x:v>
      </x:c>
      <x:c r="E944" t="str">
        <x:v>Numbered total</x:v>
      </x:c>
      <x:c r="F944" t="n">
        <x:v>179</x:v>
      </x:c>
      <x:c r="G944" t="str">
        <x:v>reference_bridge_inherited</x:v>
      </x:c>
      <x:c r="H944" t="str"/>
      <x:c r="I944" t="str">
        <x:v>zh-CN; unique numbered-card/checklist identities for this row scope</x:v>
      </x:c>
      <x:c r="J944" t="str">
        <x:v>Numbered total bridged from the existing sourced reference count. This is populated for catalogue completeness but remains derived rather than independently re-counted card-by-card in this pass.</x:v>
      </x:c>
      <x:c r="K944" t="str">
        <x:v>zh-CN-5d92ddb62f3d</x:v>
      </x:c>
      <x:c r="L944" t="str">
        <x:v>numbered_total</x:v>
      </x:c>
    </x:row>
    <x:row r="945">
      <x:c r="A945" t="str">
        <x:v>NUM-0fee4d719815</x:v>
      </x:c>
      <x:c r="B945" t="str">
        <x:v>2026-09-26-numbered-totals</x:v>
      </x:c>
      <x:c r="C945" t="str">
        <x:v>zh-CN</x:v>
      </x:c>
      <x:c r="D945" t="str">
        <x:v>Scorching Skies</x:v>
      </x:c>
      <x:c r="E945" t="str">
        <x:v>Numbered total</x:v>
      </x:c>
      <x:c r="F945" t="n">
        <x:v>90</x:v>
      </x:c>
      <x:c r="G945" t="str">
        <x:v>reconciled_components</x:v>
      </x:c>
      <x:c r="H945" t="str"/>
      <x:c r="I945" t="str">
        <x:v>zh-CN; unique numbered-card/checklist identities for this row scope</x:v>
      </x:c>
      <x:c r="J945" t="str">
        <x:v>Numbered total equals the reconciled printed denominator + beyond-denominator identities + separately listed subset identities.</x:v>
      </x:c>
      <x:c r="K945" t="str">
        <x:v>zh-CN-9e170a241e41</x:v>
      </x:c>
      <x:c r="L945" t="str">
        <x:v>numbered_total</x:v>
      </x:c>
    </x:row>
    <x:row r="946">
      <x:c r="A946" t="str">
        <x:v>NUM-c06d4373c188</x:v>
      </x:c>
      <x:c r="B946" t="str">
        <x:v>2026-09-26-numbered-totals</x:v>
      </x:c>
      <x:c r="C946" t="str">
        <x:v>zh-CN</x:v>
      </x:c>
      <x:c r="D946" t="str">
        <x:v>Flame Dance of the End</x:v>
      </x:c>
      <x:c r="E946" t="str">
        <x:v>Numbered total</x:v>
      </x:c>
      <x:c r="F946" t="n">
        <x:v>83</x:v>
      </x:c>
      <x:c r="G946" t="str">
        <x:v>reconciled_components</x:v>
      </x:c>
      <x:c r="H946" t="str"/>
      <x:c r="I946" t="str">
        <x:v>zh-CN; unique numbered-card/checklist identities for this row scope</x:v>
      </x:c>
      <x:c r="J946" t="str">
        <x:v>Numbered total equals the reconciled printed denominator + beyond-denominator identities + separately listed subset identities.</x:v>
      </x:c>
      <x:c r="K946" t="str">
        <x:v>zh-CN-06b75de401d9</x:v>
      </x:c>
      <x:c r="L946" t="str">
        <x:v>numbered_total</x:v>
      </x:c>
    </x:row>
    <x:row r="947">
      <x:c r="A947" t="str">
        <x:v>NUM-ea83be934240</x:v>
      </x:c>
      <x:c r="B947" t="str">
        <x:v>2026-09-26-numbered-totals</x:v>
      </x:c>
      <x:c r="C947" t="str">
        <x:v>zh-CN</x:v>
      </x:c>
      <x:c r="D947" t="str">
        <x:v>Overshadowed Radiance</x:v>
      </x:c>
      <x:c r="E947" t="str">
        <x:v>Numbered total</x:v>
      </x:c>
      <x:c r="F947" t="n">
        <x:v>89</x:v>
      </x:c>
      <x:c r="G947" t="str">
        <x:v>reconciled_components</x:v>
      </x:c>
      <x:c r="H947" t="str"/>
      <x:c r="I947" t="str">
        <x:v>zh-CN; unique numbered-card/checklist identities for this row scope</x:v>
      </x:c>
      <x:c r="J947" t="str">
        <x:v>Numbered total equals the reconciled printed denominator + beyond-denominator identities + separately listed subset identities.</x:v>
      </x:c>
      <x:c r="K947" t="str">
        <x:v>zh-CN-805005bd58b7</x:v>
      </x:c>
      <x:c r="L947" t="str">
        <x:v>numbered_total</x:v>
      </x:c>
    </x:row>
    <x:row r="948">
      <x:c r="A948" t="str">
        <x:v>NUM-0dd3cdd8c439</x:v>
      </x:c>
      <x:c r="B948" t="str">
        <x:v>2026-09-26-numbered-totals</x:v>
      </x:c>
      <x:c r="C948" t="str">
        <x:v>zh-CN</x:v>
      </x:c>
      <x:c r="D948" t="str">
        <x:v>Marine Shadow: Banish</x:v>
      </x:c>
      <x:c r="E948" t="str">
        <x:v>Numbered total</x:v>
      </x:c>
      <x:c r="F948" t="n">
        <x:v>173</x:v>
      </x:c>
      <x:c r="G948" t="str">
        <x:v>reference_bridge_secondary_checklist</x:v>
      </x:c>
      <x:c r="H948" t="str">
        <x:v>https://bulbapedia.bulbagarden.net/wiki/Template:Simplified_Chinese_Releases</x:v>
      </x:c>
      <x:c r="I948" t="str">
        <x:v>zh-CN; unique numbered-card/checklist identities for this row scope</x:v>
      </x:c>
      <x:c r="J948" t="str">
        <x:v>Numbered total bridged from the sourced reference-count checklist for this exact row scope. Distinct numbered identities for Marine Shadow: Banish in the named Simplified Chinese set scope.</x:v>
      </x:c>
      <x:c r="K948" t="str">
        <x:v>zh-CN-7830668b1cfa</x:v>
      </x:c>
      <x:c r="L948" t="str">
        <x:v>numbered_total</x:v>
      </x:c>
    </x:row>
    <x:row r="949">
      <x:c r="A949" t="str">
        <x:v>NUM-33b715b33c11</x:v>
      </x:c>
      <x:c r="B949" t="str">
        <x:v>2026-09-26-numbered-totals</x:v>
      </x:c>
      <x:c r="C949" t="str">
        <x:v>zh-CN</x:v>
      </x:c>
      <x:c r="D949" t="str">
        <x:v>Marine Shadow: Roar</x:v>
      </x:c>
      <x:c r="E949" t="str">
        <x:v>Numbered total</x:v>
      </x:c>
      <x:c r="F949" t="n">
        <x:v>170</x:v>
      </x:c>
      <x:c r="G949" t="str">
        <x:v>reference_bridge_secondary_checklist</x:v>
      </x:c>
      <x:c r="H949" t="str">
        <x:v>https://bulbapedia.bulbagarden.net/wiki/Template:Simplified_Chinese_Releases</x:v>
      </x:c>
      <x:c r="I949" t="str">
        <x:v>zh-CN; unique numbered-card/checklist identities for this row scope</x:v>
      </x:c>
      <x:c r="J949" t="str">
        <x:v>Numbered total bridged from the sourced reference-count checklist for this exact row scope. Distinct numbered identities for Marine Shadow: Roar in the named Simplified Chinese set scope.</x:v>
      </x:c>
      <x:c r="K949" t="str">
        <x:v>zh-CN-4e11f8df413a</x:v>
      </x:c>
      <x:c r="L949" t="str">
        <x:v>numbered_total</x:v>
      </x:c>
    </x:row>
    <x:row r="950">
      <x:c r="A950" t="str">
        <x:v>NUM-8e46ea7fd015</x:v>
      </x:c>
      <x:c r="B950" t="str">
        <x:v>2026-09-26-numbered-totals</x:v>
      </x:c>
      <x:c r="C950" t="str">
        <x:v>zh-CN</x:v>
      </x:c>
      <x:c r="D950" t="str">
        <x:v>Victory Lodestar</x:v>
      </x:c>
      <x:c r="E950" t="str">
        <x:v>Numbered total</x:v>
      </x:c>
      <x:c r="F950" t="n">
        <x:v>72</x:v>
      </x:c>
      <x:c r="G950" t="str">
        <x:v>reconciled_components</x:v>
      </x:c>
      <x:c r="H950" t="str">
        <x:v>https://bulbapedia.bulbagarden.net/wiki/Template:Simplified_Chinese_Releases</x:v>
      </x:c>
      <x:c r="I950" t="str">
        <x:v>zh-CN; unique numbered-card/checklist identities for this row scope</x:v>
      </x:c>
      <x:c r="J950" t="str">
        <x:v>Numbered total equals the reconciled printed denominator + beyond-denominator identities + separately listed subset identities.</x:v>
      </x:c>
      <x:c r="K950" t="str">
        <x:v>zh-CN-2097f2637c37</x:v>
      </x:c>
      <x:c r="L950" t="str">
        <x:v>numbered_total</x:v>
      </x:c>
    </x:row>
    <x:row r="951">
      <x:c r="A951" t="str">
        <x:v>NUM-5bff03425db1</x:v>
      </x:c>
      <x:c r="B951" t="str">
        <x:v>2026-09-26-numbered-totals</x:v>
      </x:c>
      <x:c r="C951" t="str">
        <x:v>zh-CN</x:v>
      </x:c>
      <x:c r="D951" t="str">
        <x:v>Ancient Times, Future Progress</x:v>
      </x:c>
      <x:c r="E951" t="str">
        <x:v>Numbered total</x:v>
      </x:c>
      <x:c r="F951" t="n">
        <x:v>167</x:v>
      </x:c>
      <x:c r="G951" t="str">
        <x:v>reconciled_components</x:v>
      </x:c>
      <x:c r="H951" t="str"/>
      <x:c r="I951" t="str">
        <x:v>zh-CN; unique numbered-card/checklist identities for this row scope</x:v>
      </x:c>
      <x:c r="J951" t="str">
        <x:v>Numbered total equals the reconciled printed denominator + beyond-denominator identities + separately listed subset identities.</x:v>
      </x:c>
      <x:c r="K951" t="str">
        <x:v>zh-CN-95c5eec4132c</x:v>
      </x:c>
      <x:c r="L951" t="str">
        <x:v>numbered_total</x:v>
      </x:c>
    </x:row>
    <x:row r="952">
      <x:c r="A952" t="str">
        <x:v>NUM-bbee8293f8b9</x:v>
      </x:c>
      <x:c r="B952" t="str">
        <x:v>2026-09-26-numbered-totals</x:v>
      </x:c>
      <x:c r="C952" t="str">
        <x:v>zh-CN</x:v>
      </x:c>
      <x:c r="D952" t="str">
        <x:v>Collection 151 — shared numbered catalogue</x:v>
      </x:c>
      <x:c r="E952" t="str">
        <x:v>Numbered total</x:v>
      </x:c>
      <x:c r="F952" t="n">
        <x:v>192</x:v>
      </x:c>
      <x:c r="G952" t="str">
        <x:v>reconciled_components</x:v>
      </x:c>
      <x:c r="H952" t="str">
        <x:v>https://excaliburtcg.co.uk/products ; https://www.pokemon.cn/tcg/product/15486.html</x:v>
      </x:c>
      <x:c r="I952" t="str">
        <x:v>zh-CN; unique numbered-card/checklist identities for this row scope</x:v>
      </x:c>
      <x:c r="J952" t="str">
        <x:v>Numbered total equals the reconciled printed denominator + beyond-denominator identities + separately listed subset identities.</x:v>
      </x:c>
      <x:c r="K952" t="str">
        <x:v>zh-CN-a61ae6f4afab</x:v>
      </x:c>
      <x:c r="L952" t="str">
        <x:v>numbered_total</x:v>
      </x:c>
    </x:row>
    <x:row r="953">
      <x:c r="A953" t="str">
        <x:v>NUM-0cab9cde46fd</x:v>
      </x:c>
      <x:c r="B953" t="str">
        <x:v>2026-09-26-numbered-totals</x:v>
      </x:c>
      <x:c r="C953" t="str">
        <x:v>zh-CN</x:v>
      </x:c>
      <x:c r="D953" t="str">
        <x:v>Collection 151: Journey</x:v>
      </x:c>
      <x:c r="E953" t="str">
        <x:v>Numbered total</x:v>
      </x:c>
      <x:c r="F953" t="n">
        <x:v>192</x:v>
      </x:c>
      <x:c r="G953" t="str">
        <x:v>reference_bridge_shared_catalogue</x:v>
      </x:c>
      <x:c r="H953" t="str">
        <x:v>https://bulbapedia.bulbagarden.net/wiki/Template:Simplified_Chinese_Releases</x:v>
      </x:c>
      <x:c r="I953" t="str">
        <x:v>zh-CN; unique numbered-card/checklist identities for this row scope</x:v>
      </x:c>
      <x:c r="J953" t="str">
        <x:v>Numbered total bridged from the sourced reference-count checklist for this exact row scope. Shared Collection 151 numbered catalogue count; Journey is a pack edition and overlaps the same 192-identity catalogue.</x:v>
      </x:c>
      <x:c r="K953" t="str">
        <x:v>zh-CN-d1ae3e65a60e</x:v>
      </x:c>
      <x:c r="L953" t="str">
        <x:v>numbered_total</x:v>
      </x:c>
    </x:row>
    <x:row r="954">
      <x:c r="A954" t="str">
        <x:v>NUM-0aabd5bca4ba</x:v>
      </x:c>
      <x:c r="B954" t="str">
        <x:v>2026-09-26-numbered-totals</x:v>
      </x:c>
      <x:c r="C954" t="str">
        <x:v>zh-CN</x:v>
      </x:c>
      <x:c r="D954" t="str">
        <x:v>Gem Pack Vol. 1</x:v>
      </x:c>
      <x:c r="E954" t="str">
        <x:v>Numbered total</x:v>
      </x:c>
      <x:c r="F954" t="n">
        <x:v>114</x:v>
      </x:c>
      <x:c r="G954" t="str">
        <x:v>reference_bridge_inherited</x:v>
      </x:c>
      <x:c r="H954" t="str"/>
      <x:c r="I954" t="str">
        <x:v>zh-CN; unique numbered-card/checklist identities for this row scope</x:v>
      </x:c>
      <x:c r="J954" t="str">
        <x:v>Numbered total bridged from the existing sourced reference count. This is populated for catalogue completeness but remains derived rather than independently re-counted card-by-card in this pass.</x:v>
      </x:c>
      <x:c r="K954" t="str">
        <x:v>zh-CN-d9d612b88239</x:v>
      </x:c>
      <x:c r="L954" t="str">
        <x:v>numbered_total</x:v>
      </x:c>
    </x:row>
    <x:row r="955">
      <x:c r="A955" t="str">
        <x:v>NUM-0c59819dc0a8</x:v>
      </x:c>
      <x:c r="B955" t="str">
        <x:v>2026-09-26-numbered-totals</x:v>
      </x:c>
      <x:c r="C955" t="str">
        <x:v>zh-CN</x:v>
      </x:c>
      <x:c r="D955" t="str">
        <x:v>Miracle Journey</x:v>
      </x:c>
      <x:c r="E955" t="str">
        <x:v>Numbered total</x:v>
      </x:c>
      <x:c r="F955" t="n">
        <x:v>163</x:v>
      </x:c>
      <x:c r="G955" t="str">
        <x:v>reconciled_components</x:v>
      </x:c>
      <x:c r="H955" t="str"/>
      <x:c r="I955" t="str">
        <x:v>zh-CN; unique numbered-card/checklist identities for this row scope</x:v>
      </x:c>
      <x:c r="J955" t="str">
        <x:v>Numbered total equals the reconciled printed denominator + beyond-denominator identities + separately listed subset identities.</x:v>
      </x:c>
      <x:c r="K955" t="str">
        <x:v>zh-CN-e26d5aa6bcba</x:v>
      </x:c>
      <x:c r="L955" t="str">
        <x:v>numbered_total</x:v>
      </x:c>
    </x:row>
    <x:row r="956">
      <x:c r="A956" t="str">
        <x:v>NUM-165f4e275fdb</x:v>
      </x:c>
      <x:c r="B956" t="str">
        <x:v>2026-09-26-numbered-totals</x:v>
      </x:c>
      <x:c r="C956" t="str">
        <x:v>zh-CN</x:v>
      </x:c>
      <x:c r="D956" t="str">
        <x:v>Collection 151: Hope</x:v>
      </x:c>
      <x:c r="E956" t="str">
        <x:v>Numbered total</x:v>
      </x:c>
      <x:c r="F956" t="n">
        <x:v>192</x:v>
      </x:c>
      <x:c r="G956" t="str">
        <x:v>reference_bridge_shared_catalogue</x:v>
      </x:c>
      <x:c r="H956" t="str">
        <x:v>https://bulbapedia.bulbagarden.net/wiki/Template:Simplified_Chinese_Releases</x:v>
      </x:c>
      <x:c r="I956" t="str">
        <x:v>zh-CN; unique numbered-card/checklist identities for this row scope</x:v>
      </x:c>
      <x:c r="J956" t="str">
        <x:v>Numbered total bridged from the sourced reference-count checklist for this exact row scope. Shared Collection 151 numbered catalogue count; Hope is a pack edition and overlaps the same 192-identity catalogue.</x:v>
      </x:c>
      <x:c r="K956" t="str">
        <x:v>zh-CN-8e72634373e1</x:v>
      </x:c>
      <x:c r="L956" t="str">
        <x:v>numbered_total</x:v>
      </x:c>
    </x:row>
    <x:row r="957">
      <x:c r="A957" t="str">
        <x:v>NUM-12e3c387d3f2</x:v>
      </x:c>
      <x:c r="B957" t="str">
        <x:v>2026-09-26-numbered-totals</x:v>
      </x:c>
      <x:c r="C957" t="str">
        <x:v>zh-CN</x:v>
      </x:c>
      <x:c r="D957" t="str">
        <x:v>Fearless Terastal</x:v>
      </x:c>
      <x:c r="E957" t="str">
        <x:v>Numbered total</x:v>
      </x:c>
      <x:c r="F957" t="n">
        <x:v>165</x:v>
      </x:c>
      <x:c r="G957" t="str">
        <x:v>reconciled_components</x:v>
      </x:c>
      <x:c r="H957" t="str"/>
      <x:c r="I957" t="str">
        <x:v>zh-CN; unique numbered-card/checklist identities for this row scope</x:v>
      </x:c>
      <x:c r="J957" t="str">
        <x:v>Numbered total equals the reconciled printed denominator + beyond-denominator identities + separately listed subset identities.</x:v>
      </x:c>
      <x:c r="K957" t="str">
        <x:v>zh-CN-5073a61bee4f</x:v>
      </x:c>
      <x:c r="L957" t="str">
        <x:v>numbered_total</x:v>
      </x:c>
    </x:row>
    <x:row r="958">
      <x:c r="A958" t="str">
        <x:v>NUM-4c67974add47</x:v>
      </x:c>
      <x:c r="B958" t="str">
        <x:v>2026-09-26-numbered-totals</x:v>
      </x:c>
      <x:c r="C958" t="str">
        <x:v>zh-CN</x:v>
      </x:c>
      <x:c r="D958" t="str">
        <x:v>Gem Pack Vol. 2</x:v>
      </x:c>
      <x:c r="E958" t="str">
        <x:v>Numbered total</x:v>
      </x:c>
      <x:c r="F958" t="n">
        <x:v>140</x:v>
      </x:c>
      <x:c r="G958" t="str">
        <x:v>reference_bridge_inherited</x:v>
      </x:c>
      <x:c r="H958" t="str"/>
      <x:c r="I958" t="str">
        <x:v>zh-CN; unique numbered-card/checklist identities for this row scope</x:v>
      </x:c>
      <x:c r="J958" t="str">
        <x:v>Numbered total bridged from the existing sourced reference count. This is populated for catalogue completeness but remains derived rather than independently re-counted card-by-card in this pass.</x:v>
      </x:c>
      <x:c r="K958" t="str">
        <x:v>zh-CN-1adc23205ba3</x:v>
      </x:c>
      <x:c r="L958" t="str">
        <x:v>numbered_total</x:v>
      </x:c>
    </x:row>
    <x:row r="959">
      <x:c r="A959" t="str">
        <x:v>NUM-04f341f942a6</x:v>
      </x:c>
      <x:c r="B959" t="str">
        <x:v>2026-09-26-numbered-totals</x:v>
      </x:c>
      <x:c r="C959" t="str">
        <x:v>zh-CN</x:v>
      </x:c>
      <x:c r="D959" t="str">
        <x:v>Journey Theme Pack</x:v>
      </x:c>
      <x:c r="E959" t="str">
        <x:v>Numbered total</x:v>
      </x:c>
      <x:c r="F959" t="n">
        <x:v>141</x:v>
      </x:c>
      <x:c r="G959" t="str">
        <x:v>complete_secondary_checklist</x:v>
      </x:c>
      <x:c r="H959" t="str">
        <x:v>https://wiki.52poke.com/wiki/%E5%90%AF%E7%A8%8B%E4%B8%93%E9%A2%98%E5%8C%85%EF%BC%88TCG%EF%BC%89</x:v>
      </x:c>
      <x:c r="I959" t="str">
        <x:v>zh-CN; unique numbered-card/checklist identities for this row scope</x:v>
      </x:c>
      <x:c r="J959" t="str">
        <x:v>Journey Theme Pack contains 141 distinct catalogue cards: 49 within the printed denominator plus 92 additional identities.</x:v>
      </x:c>
      <x:c r="K959" t="str">
        <x:v>zh-CN-5d61b9b8011b</x:v>
      </x:c>
      <x:c r="L959" t="str">
        <x:v>numbered_total</x:v>
      </x:c>
    </x:row>
    <x:row r="960">
      <x:c r="A960" t="str">
        <x:v>NUM-f9dd8c496d47</x:v>
      </x:c>
      <x:c r="B960" t="str">
        <x:v>2026-09-26-numbered-totals</x:v>
      </x:c>
      <x:c r="C960" t="str">
        <x:v>zh-CN</x:v>
      </x:c>
      <x:c r="D960" t="str">
        <x:v>Bonus Round</x:v>
      </x:c>
      <x:c r="E960" t="str">
        <x:v>Numbered total</x:v>
      </x:c>
      <x:c r="F960" t="n">
        <x:v>165</x:v>
      </x:c>
      <x:c r="G960" t="str">
        <x:v>reconciled_components</x:v>
      </x:c>
      <x:c r="H960" t="str"/>
      <x:c r="I960" t="str">
        <x:v>zh-CN; unique numbered-card/checklist identities for this row scope</x:v>
      </x:c>
      <x:c r="J960" t="str">
        <x:v>Numbered total equals the reconciled printed denominator + beyond-denominator identities + separately listed subset identities.</x:v>
      </x:c>
      <x:c r="K960" t="str">
        <x:v>zh-CN-399849ceb89b</x:v>
      </x:c>
      <x:c r="L960" t="str">
        <x:v>numbered_total</x:v>
      </x:c>
    </x:row>
    <x:row r="961">
      <x:c r="A961" t="str">
        <x:v>NUM-927c7bd947ef</x:v>
      </x:c>
      <x:c r="B961" t="str">
        <x:v>2026-09-26-numbered-totals</x:v>
      </x:c>
      <x:c r="C961" t="str">
        <x:v>zh-CN</x:v>
      </x:c>
      <x:c r="D961" t="str">
        <x:v>Collection 151: Scare</x:v>
      </x:c>
      <x:c r="E961" t="str">
        <x:v>Numbered total</x:v>
      </x:c>
      <x:c r="F961" t="n">
        <x:v>192</x:v>
      </x:c>
      <x:c r="G961" t="str">
        <x:v>reference_bridge_shared_catalogue</x:v>
      </x:c>
      <x:c r="H961" t="str">
        <x:v>https://bulbapedia.bulbagarden.net/wiki/Template:Simplified_Chinese_Releases</x:v>
      </x:c>
      <x:c r="I961" t="str">
        <x:v>zh-CN; unique numbered-card/checklist identities for this row scope</x:v>
      </x:c>
      <x:c r="J961" t="str">
        <x:v>Numbered total bridged from the sourced reference-count checklist for this exact row scope. Shared Collection 151 numbered catalogue count; Scare is a pack edition and overlaps the same 192-identity catalogue.</x:v>
      </x:c>
      <x:c r="K961" t="str">
        <x:v>zh-CN-06deae5bed81</x:v>
      </x:c>
      <x:c r="L961" t="str">
        <x:v>numbered_total</x:v>
      </x:c>
    </x:row>
    <x:row r="962">
      <x:c r="A962" t="str">
        <x:v>NUM-ae4a5ca5e068</x:v>
      </x:c>
      <x:c r="B962" t="str">
        <x:v>2026-09-26-numbered-totals</x:v>
      </x:c>
      <x:c r="C962" t="str">
        <x:v>zh-CN</x:v>
      </x:c>
      <x:c r="D962" t="str">
        <x:v>Ardent Obsidian</x:v>
      </x:c>
      <x:c r="E962" t="str">
        <x:v>Numbered total</x:v>
      </x:c>
      <x:c r="F962" t="n">
        <x:v>164</x:v>
      </x:c>
      <x:c r="G962" t="str">
        <x:v>reconciled_components</x:v>
      </x:c>
      <x:c r="H962" t="str"/>
      <x:c r="I962" t="str">
        <x:v>zh-CN; unique numbered-card/checklist identities for this row scope</x:v>
      </x:c>
      <x:c r="J962" t="str">
        <x:v>Numbered total equals the reconciled printed denominator + beyond-denominator identities + separately listed subset identities.</x:v>
      </x:c>
      <x:c r="K962" t="str">
        <x:v>zh-CN-7788e508be5a</x:v>
      </x:c>
      <x:c r="L962" t="str">
        <x:v>numbered_total</x:v>
      </x:c>
    </x:row>
    <x:row r="963">
      <x:c r="A963" t="str">
        <x:v>NUM-b744272597d6</x:v>
      </x:c>
      <x:c r="B963" t="str">
        <x:v>2026-09-26-numbered-totals</x:v>
      </x:c>
      <x:c r="C963" t="str">
        <x:v>zh-CN</x:v>
      </x:c>
      <x:c r="D963" t="str">
        <x:v>Gem Pack Vol. 3</x:v>
      </x:c>
      <x:c r="E963" t="str">
        <x:v>Numbered total</x:v>
      </x:c>
      <x:c r="F963" t="n">
        <x:v>136</x:v>
      </x:c>
      <x:c r="G963" t="str">
        <x:v>reference_bridge_inherited</x:v>
      </x:c>
      <x:c r="H963" t="str"/>
      <x:c r="I963" t="str">
        <x:v>zh-CN; unique numbered-card/checklist identities for this row scope</x:v>
      </x:c>
      <x:c r="J963" t="str">
        <x:v>Numbered total bridged from the existing sourced reference count. This is populated for catalogue completeness but remains derived rather than independently re-counted card-by-card in this pass.</x:v>
      </x:c>
      <x:c r="K963" t="str">
        <x:v>zh-CN-28f3f6b85300</x:v>
      </x:c>
      <x:c r="L963" t="str">
        <x:v>numbered_total</x:v>
      </x:c>
    </x:row>
    <x:row r="964">
      <x:c r="A964" t="str">
        <x:v>NUM-83f30e99a94f</x:v>
      </x:c>
      <x:c r="B964" t="str">
        <x:v>2026-09-26-numbered-totals</x:v>
      </x:c>
      <x:c r="C964" t="str">
        <x:v>zh-CN</x:v>
      </x:c>
      <x:c r="D964" t="str">
        <x:v>Collection 151: Gather</x:v>
      </x:c>
      <x:c r="E964" t="str">
        <x:v>Numbered total</x:v>
      </x:c>
      <x:c r="F964" t="n">
        <x:v>192</x:v>
      </x:c>
      <x:c r="G964" t="str">
        <x:v>reference_bridge_shared_catalogue</x:v>
      </x:c>
      <x:c r="H964" t="str">
        <x:v>https://bulbapedia.bulbagarden.net/wiki/Template:Simplified_Chinese_Releases</x:v>
      </x:c>
      <x:c r="I964" t="str">
        <x:v>zh-CN; unique numbered-card/checklist identities for this row scope</x:v>
      </x:c>
      <x:c r="J964" t="str">
        <x:v>Numbered total bridged from the sourced reference-count checklist for this exact row scope. Shared Collection 151 numbered catalogue count; Gather is a pack edition and overlaps the same 192-identity catalogue.</x:v>
      </x:c>
      <x:c r="K964" t="str">
        <x:v>zh-CN-18809c23b06f</x:v>
      </x:c>
      <x:c r="L964" t="str">
        <x:v>numbered_total</x:v>
      </x:c>
    </x:row>
    <x:row r="965">
      <x:c r="A965" t="str">
        <x:v>NUM-9f21f40529f2</x:v>
      </x:c>
      <x:c r="B965" t="str">
        <x:v>2026-09-26-numbered-totals</x:v>
      </x:c>
      <x:c r="C965" t="str">
        <x:v>zh-CN</x:v>
      </x:c>
      <x:c r="D965" t="str">
        <x:v>Arcane Truth</x:v>
      </x:c>
      <x:c r="E965" t="str">
        <x:v>Numbered total</x:v>
      </x:c>
      <x:c r="F965" t="n">
        <x:v>163</x:v>
      </x:c>
      <x:c r="G965" t="str">
        <x:v>reconciled_components</x:v>
      </x:c>
      <x:c r="H965" t="str"/>
      <x:c r="I965" t="str">
        <x:v>zh-CN; unique numbered-card/checklist identities for this row scope</x:v>
      </x:c>
      <x:c r="J965" t="str">
        <x:v>Numbered total equals the reconciled printed denominator + beyond-denominator identities + separately listed subset identities.</x:v>
      </x:c>
      <x:c r="K965" t="str">
        <x:v>zh-CN-109ac9dca3ab</x:v>
      </x:c>
      <x:c r="L965" t="str">
        <x:v>numbered_total</x:v>
      </x:c>
    </x:row>
    <x:row r="966">
      <x:c r="A966" t="str">
        <x:v>NUM-c534844aee9a</x:v>
      </x:c>
      <x:c r="B966" t="str">
        <x:v>2026-09-26-numbered-totals</x:v>
      </x:c>
      <x:c r="C966" t="str">
        <x:v>zh-CN</x:v>
      </x:c>
      <x:c r="D966" t="str">
        <x:v>Travel Theme Pack</x:v>
      </x:c>
      <x:c r="E966" t="str">
        <x:v>Numbered total</x:v>
      </x:c>
      <x:c r="F966" t="n">
        <x:v>147</x:v>
      </x:c>
      <x:c r="G966" t="str">
        <x:v>complete_secondary_checklist</x:v>
      </x:c>
      <x:c r="H966" t="str">
        <x:v>https://bulbapedia.bulbagarden.net/wiki/Travel_Theme_Pack_%28ATCG%29</x:v>
      </x:c>
      <x:c r="I966" t="str">
        <x:v>zh-CN; unique numbered-card/checklist identities for this row scope</x:v>
      </x:c>
      <x:c r="J966" t="str">
        <x:v>Travel Theme Pack source lists 147 cards in set; printed denominator is 52, giving 95 additional identities.</x:v>
      </x:c>
      <x:c r="K966" t="str">
        <x:v>zh-CN-48747304f749</x:v>
      </x:c>
      <x:c r="L966" t="str">
        <x:v>numbered_total</x:v>
      </x:c>
    </x:row>
    <x:row r="967">
      <x:c r="A967" t="str">
        <x:v>NUM-b48ebbbc1c38</x:v>
      </x:c>
      <x:c r="B967" t="str">
        <x:v>2026-09-26-numbered-totals</x:v>
      </x:c>
      <x:c r="C967" t="str">
        <x:v>zh-CN</x:v>
      </x:c>
      <x:c r="D967" t="str">
        <x:v>Blade Awakening</x:v>
      </x:c>
      <x:c r="E967" t="str">
        <x:v>Numbered total</x:v>
      </x:c>
      <x:c r="F967" t="n">
        <x:v>259</x:v>
      </x:c>
      <x:c r="G967" t="str">
        <x:v>reconciled_components</x:v>
      </x:c>
      <x:c r="H967" t="str"/>
      <x:c r="I967" t="str">
        <x:v>zh-CN; unique numbered-card/checklist identities for this row scope</x:v>
      </x:c>
      <x:c r="J967" t="str">
        <x:v>Numbered total equals the reconciled printed denominator + beyond-denominator identities + separately listed subset identities.</x:v>
      </x:c>
      <x:c r="K967" t="str">
        <x:v>zh-CN-10c8789df3d3</x:v>
      </x:c>
      <x:c r="L967" t="str">
        <x:v>numbered_total</x:v>
      </x:c>
    </x:row>
    <x:row r="968">
      <x:c r="A968" t="str">
        <x:v>NUM-5cf6a3f81dfd</x:v>
      </x:c>
      <x:c r="B968" t="str">
        <x:v>2026-09-26-numbered-totals</x:v>
      </x:c>
      <x:c r="C968" t="str">
        <x:v>zh-CN</x:v>
      </x:c>
      <x:c r="D968" t="str">
        <x:v>Gem Pack Vol. 4</x:v>
      </x:c>
      <x:c r="E968" t="str">
        <x:v>Numbered total</x:v>
      </x:c>
      <x:c r="F968" t="n">
        <x:v>196</x:v>
      </x:c>
      <x:c r="G968" t="str">
        <x:v>reference_bridge_inherited</x:v>
      </x:c>
      <x:c r="H968" t="str"/>
      <x:c r="I968" t="str">
        <x:v>zh-CN; unique numbered-card/checklist identities for this row scope</x:v>
      </x:c>
      <x:c r="J968" t="str">
        <x:v>Numbered total bridged from the existing sourced reference count. This is populated for catalogue completeness but remains derived rather than independently re-counted card-by-card in this pass.</x:v>
      </x:c>
      <x:c r="K968" t="str">
        <x:v>zh-CN-af2bb9712d74</x:v>
      </x:c>
      <x:c r="L968" t="str">
        <x:v>numbered_total</x:v>
      </x:c>
    </x:row>
    <x:row r="969">
      <x:c r="A969" t="str">
        <x:v>NUM-d8bb471a8480</x:v>
      </x:c>
      <x:c r="B969" t="str">
        <x:v>2026-09-26-numbered-totals</x:v>
      </x:c>
      <x:c r="C969" t="str">
        <x:v>zh-CN</x:v>
      </x:c>
      <x:c r="D969" t="str">
        <x:v>Sparkling Fable</x:v>
      </x:c>
      <x:c r="E969" t="str">
        <x:v>Numbered total</x:v>
      </x:c>
      <x:c r="F969" t="n">
        <x:v>264</x:v>
      </x:c>
      <x:c r="G969" t="str">
        <x:v>reconciled_components</x:v>
      </x:c>
      <x:c r="H969" t="str"/>
      <x:c r="I969" t="str">
        <x:v>zh-CN; unique numbered-card/checklist identities for this row scope</x:v>
      </x:c>
      <x:c r="J969" t="str">
        <x:v>Numbered total equals the reconciled printed denominator + beyond-denominator identities + separately listed subset identities.</x:v>
      </x:c>
      <x:c r="K969" t="str">
        <x:v>zh-CN-b8243f986930</x:v>
      </x:c>
      <x:c r="L969" t="str">
        <x:v>numbered_total</x:v>
      </x:c>
    </x:row>
    <x:row r="970">
      <x:c r="A970" t="str">
        <x:v>NUM-3881852b7814</x:v>
      </x:c>
      <x:c r="B970" t="str">
        <x:v>2026-09-26-numbered-totals</x:v>
      </x:c>
      <x:c r="C970" t="str">
        <x:v>zh-CN</x:v>
      </x:c>
      <x:c r="D970" t="str">
        <x:v>Gem Pack Vol. 5</x:v>
      </x:c>
      <x:c r="E970" t="str">
        <x:v>Numbered total</x:v>
      </x:c>
      <x:c r="F970" t="n">
        <x:v>196</x:v>
      </x:c>
      <x:c r="G970" t="str">
        <x:v>reference_bridge_inherited</x:v>
      </x:c>
      <x:c r="H970" t="str"/>
      <x:c r="I970" t="str">
        <x:v>zh-CN; unique numbered-card/checklist identities for this row scope</x:v>
      </x:c>
      <x:c r="J970" t="str">
        <x:v>Numbered total bridged from the existing sourced reference count. This is populated for catalogue completeness but remains derived rather than independently re-counted card-by-card in this pass.</x:v>
      </x:c>
      <x:c r="K970" t="str">
        <x:v>zh-CN-f8b98fe843c8</x:v>
      </x:c>
      <x:c r="L970" t="str">
        <x:v>numbered_total</x:v>
      </x:c>
    </x:row>
    <x:row r="971">
      <x:c r="A971" t="str">
        <x:v>NUM-dc8a09478690</x:v>
      </x:c>
      <x:c r="B971" t="str">
        <x:v>2026-09-26-numbered-totals</x:v>
      </x:c>
      <x:c r="C971" t="str">
        <x:v>zh-CN</x:v>
      </x:c>
      <x:c r="D971" t="str">
        <x:v>Kitakami Theme Pack</x:v>
      </x:c>
      <x:c r="E971" t="str">
        <x:v>Numbered total</x:v>
      </x:c>
      <x:c r="F971" t="n">
        <x:v>141</x:v>
      </x:c>
      <x:c r="G971" t="str">
        <x:v>complete_secondary_checklist</x:v>
      </x:c>
      <x:c r="H971" t="str">
        <x:v>https://bulbapedia.bulbagarden.net/wiki/Kitakami_Theme_Pack_%28ATCG%29</x:v>
      </x:c>
      <x:c r="I971" t="str">
        <x:v>zh-CN; unique numbered-card/checklist identities for this row scope</x:v>
      </x:c>
      <x:c r="J971" t="str">
        <x:v>Kitakami Theme Pack source lists 141 cards in set; printed denominator is 52, giving 89 additional identities.</x:v>
      </x:c>
      <x:c r="K971" t="str">
        <x:v>zh-CN-cad997c1ded1</x:v>
      </x:c>
      <x:c r="L971" t="str">
        <x:v>numbered_total</x:v>
      </x:c>
    </x:row>
    <x:row r="972">
      <x:c r="A972" t="str">
        <x:v>NUM-4635c01c4330</x:v>
      </x:c>
      <x:c r="B972" t="str">
        <x:v>2026-09-26-numbered-totals</x:v>
      </x:c>
      <x:c r="C972" t="str">
        <x:v>zh-CN</x:v>
      </x:c>
      <x:c r="D972" t="str">
        <x:v>Stellar Crystal</x:v>
      </x:c>
      <x:c r="E972" t="str">
        <x:v>Numbered total</x:v>
      </x:c>
      <x:c r="F972" t="n">
        <x:v>266</x:v>
      </x:c>
      <x:c r="G972" t="str">
        <x:v>reconciled_components</x:v>
      </x:c>
      <x:c r="H972" t="str"/>
      <x:c r="I972" t="str">
        <x:v>zh-CN; unique numbered-card/checklist identities for this row scope</x:v>
      </x:c>
      <x:c r="J972" t="str">
        <x:v>Numbered total equals the reconciled printed denominator + beyond-denominator identities + separately listed subset identities.</x:v>
      </x:c>
      <x:c r="K972" t="str">
        <x:v>zh-CN-46cf9342eacb</x:v>
      </x:c>
      <x:c r="L972" t="str">
        <x:v>numbered_total</x:v>
      </x:c>
    </x:row>
    <x:row r="973">
      <x:c r="A973" t="str">
        <x:v>NUM-a10be08a3b3a</x:v>
      </x:c>
      <x:c r="B973" t="str">
        <x:v>2026-09-26-numbered-totals</x:v>
      </x:c>
      <x:c r="C973" t="str">
        <x:v>zh-CN</x:v>
      </x:c>
      <x:c r="D973" t="str">
        <x:v>Terastal Gathering</x:v>
      </x:c>
      <x:c r="E973" t="str">
        <x:v>Numbered total</x:v>
      </x:c>
      <x:c r="F973" t="n">
        <x:v>259</x:v>
      </x:c>
      <x:c r="G973" t="str">
        <x:v>reconciled_components</x:v>
      </x:c>
      <x:c r="H973" t="str"/>
      <x:c r="I973" t="str">
        <x:v>zh-CN; unique numbered-card/checklist identities for this row scope</x:v>
      </x:c>
      <x:c r="J973" t="str">
        <x:v>Numbered total equals the reconciled printed denominator + beyond-denominator identities + separately listed subset identities.</x:v>
      </x:c>
      <x:c r="K973" t="str">
        <x:v>zh-CN-4adaa70c78eb</x:v>
      </x:c>
      <x:c r="L973" t="str">
        <x:v>numbered_total</x:v>
      </x:c>
    </x:row>
    <x:row r="974">
      <x:c r="A974" t="str">
        <x:v>NUM-975be819a0be</x:v>
      </x:c>
      <x:c r="B974" t="str">
        <x:v>2026-09-26-numbered-totals</x:v>
      </x:c>
      <x:c r="C974" t="str">
        <x:v>zh-CN</x:v>
      </x:c>
      <x:c r="D974" t="str">
        <x:v>Together in Pursuit of Glory</x:v>
      </x:c>
      <x:c r="E974" t="str">
        <x:v>Numbered total</x:v>
      </x:c>
      <x:c r="F974" t="n">
        <x:v>287</x:v>
      </x:c>
      <x:c r="G974" t="str">
        <x:v>reconciled_components</x:v>
      </x:c>
      <x:c r="H974" t="str"/>
      <x:c r="I974" t="str">
        <x:v>zh-CN; unique numbered-card/checklist identities for this row scope</x:v>
      </x:c>
      <x:c r="J974" t="str">
        <x:v>Numbered total equals the reconciled printed denominator + beyond-denominator identities + separately listed subset identities.</x:v>
      </x:c>
      <x:c r="K974" t="str">
        <x:v>zh-CN-952e1d8d027f</x:v>
      </x:c>
      <x:c r="L974" t="str">
        <x:v>numbered_total</x:v>
      </x:c>
    </x:row>
    <x:row r="975">
      <x:c r="A975" t="str">
        <x:v>NUM-49b8648ff80d</x:v>
      </x:c>
      <x:c r="B975" t="str">
        <x:v>2026-09-26-numbered-totals</x:v>
      </x:c>
      <x:c r="C975" t="str">
        <x:v>zh-CN</x:v>
      </x:c>
      <x:c r="D975" t="str">
        <x:v>Gem Pack Vol. 6</x:v>
      </x:c>
      <x:c r="E975" t="str">
        <x:v>Numbered total</x:v>
      </x:c>
      <x:c r="F975" t="n">
        <x:v>196</x:v>
      </x:c>
      <x:c r="G975" t="str">
        <x:v>reference_bridge_secondary_checklist</x:v>
      </x:c>
      <x:c r="H975" t="str">
        <x:v>https://bulbapedia.bulbagarden.net/wiki/Template:Simplified_Chinese_Releases</x:v>
      </x:c>
      <x:c r="I975" t="str">
        <x:v>zh-CN; unique numbered-card/checklist identities for this row scope</x:v>
      </x:c>
      <x:c r="J975" t="str">
        <x:v>Numbered total bridged from the sourced reference-count checklist for this exact row scope. Gem Pack Vol. 6 catalogue identities in the source checklist scope.</x:v>
      </x:c>
      <x:c r="K975" t="str">
        <x:v>zh-CN-7f5295a2c6c4</x:v>
      </x:c>
      <x:c r="L975" t="str">
        <x:v>numbered_total</x:v>
      </x:c>
    </x:row>
    <x:row r="976">
      <x:c r="A976" t="str">
        <x:v>NUM-83c3bc9240d6</x:v>
      </x:c>
      <x:c r="B976" t="str">
        <x:v>2026-09-26-numbered-totals</x:v>
      </x:c>
      <x:c r="C976" t="str">
        <x:v>zh-CN</x:v>
      </x:c>
      <x:c r="D976" t="str">
        <x:v>30th Celebration</x:v>
      </x:c>
      <x:c r="E976" t="str">
        <x:v>Numbered total</x:v>
      </x:c>
      <x:c r="F976" t="n">
        <x:v>169</x:v>
      </x:c>
      <x:c r="G976" t="str">
        <x:v>current_complete_checklist</x:v>
      </x:c>
      <x:c r="H976" t="str">
        <x:v>https://grokachu.fr/en/collections/30thc</x:v>
      </x:c>
      <x:c r="I976" t="str">
        <x:v>zh-CN; unique numbered-card/checklist identities for this row scope</x:v>
      </x:c>
      <x:c r="J976" t="str">
        <x:v>Current Simplified Chinese 30th Celebration checklist contains 169 catalogue cards.</x:v>
      </x:c>
      <x:c r="K976" t="str">
        <x:v>zh-CN-02c213890e59</x:v>
      </x:c>
      <x:c r="L976" t="str">
        <x:v>numbered_total</x:v>
      </x:c>
    </x:row>
    <x:row r="977">
      <x:c r="A977" t="str">
        <x:v>NUM-1a7727e8469c</x:v>
      </x:c>
      <x:c r="B977" t="str">
        <x:v>2026-09-26-numbered-totals</x:v>
      </x:c>
      <x:c r="C977" t="str">
        <x:v>zh-CN</x:v>
      </x:c>
      <x:c r="D977" t="str">
        <x:v>30th-P Promotional cards</x:v>
      </x:c>
      <x:c r="E977" t="str">
        <x:v>Numbered total</x:v>
      </x:c>
      <x:c r="F977" t="n">
        <x:v>31</x:v>
      </x:c>
      <x:c r="G977" t="str">
        <x:v>reference_bridge_secondary_checklist</x:v>
      </x:c>
      <x:c r="H977" t="str">
        <x:v>https://bulbapedia.bulbagarden.net/wiki/Template:Simplified_Chinese_Releases</x:v>
      </x:c>
      <x:c r="I977" t="str">
        <x:v>zh-CN; unique numbered-card/checklist identities for this row scope</x:v>
      </x:c>
      <x:c r="J977" t="str">
        <x:v>Numbered total bridged from the sourced reference-count checklist for this exact row scope. Current 30th-P promotional catalogue identities in source scope.</x:v>
      </x:c>
      <x:c r="K977" t="str">
        <x:v>zh-CN-6262f13e0152</x:v>
      </x:c>
      <x:c r="L977" t="str">
        <x:v>numbered_total</x:v>
      </x:c>
    </x:row>
    <x:row r="978">
      <x:c r="A978" t="str">
        <x:v>NUM-cba687ff41ed</x:v>
      </x:c>
      <x:c r="B978" t="str">
        <x:v>2026-09-26-numbered-totals</x:v>
      </x:c>
      <x:c r="C978" t="str">
        <x:v>zh-CN</x:v>
      </x:c>
      <x:c r="D978" t="str">
        <x:v>Dynamax Clash V Starter Decks</x:v>
      </x:c>
      <x:c r="E978" t="str">
        <x:v>Numbered total</x:v>
      </x:c>
      <x:c r="F978" t="n">
        <x:v>222</x:v>
      </x:c>
      <x:c r="G978" t="str">
        <x:v>reference_bridge_secondary_checklist</x:v>
      </x:c>
      <x:c r="H978" t="str">
        <x:v>https://bulbapedia.bulbagarden.net/wiki/Template:Simplified_Chinese_Releases</x:v>
      </x:c>
      <x:c r="I978" t="str">
        <x:v>zh-CN; unique numbered-card/checklist identities for this row scope</x:v>
      </x:c>
      <x:c r="J978" t="str">
        <x:v>Numbered total bridged from the sourced reference-count checklist for this exact row scope. Dynamax Clash V Starter Deck catalogue pool: numbered identities through the documented set extent; not physical deck-card quantity.</x:v>
      </x:c>
      <x:c r="K978" t="str">
        <x:v>zh-CN-b9059c7402f0</x:v>
      </x:c>
      <x:c r="L978" t="str">
        <x:v>numbered_total</x:v>
      </x:c>
    </x:row>
    <x:row r="979">
      <x:c r="A979" t="str">
        <x:v>NUM-63fdf9e74670</x:v>
      </x:c>
      <x:c r="B979" t="str">
        <x:v>2026-09-26-numbered-totals</x:v>
      </x:c>
      <x:c r="C979" t="str">
        <x:v>zh-CN</x:v>
      </x:c>
      <x:c r="D979" t="str">
        <x:v>Gallant Galaxy V Starter Decks</x:v>
      </x:c>
      <x:c r="E979" t="str">
        <x:v>Numbered total</x:v>
      </x:c>
      <x:c r="F979" t="n">
        <x:v>163</x:v>
      </x:c>
      <x:c r="G979" t="str">
        <x:v>reference_bridge_secondary_checklist</x:v>
      </x:c>
      <x:c r="H979" t="str">
        <x:v>https://bulbapedia.bulbagarden.net/wiki/Template:Simplified_Chinese_Releases</x:v>
      </x:c>
      <x:c r="I979" t="str">
        <x:v>zh-CN; unique numbered-card/checklist identities for this row scope</x:v>
      </x:c>
      <x:c r="J979" t="str">
        <x:v>Numbered total bridged from the sourced reference-count checklist for this exact row scope. Gallant Galaxy V Starter Deck catalogue pool; not physical deck-card quantity.</x:v>
      </x:c>
      <x:c r="K979" t="str">
        <x:v>zh-CN-754715d30142</x:v>
      </x:c>
      <x:c r="L979" t="str">
        <x:v>numbered_total</x:v>
      </x:c>
    </x:row>
    <x:row r="980">
      <x:c r="A980" t="str">
        <x:v>NUM-c80fe9b32181</x:v>
      </x:c>
      <x:c r="B980" t="str">
        <x:v>2026-09-26-numbered-totals</x:v>
      </x:c>
      <x:c r="C980" t="str">
        <x:v>zh-CN</x:v>
      </x:c>
      <x:c r="D980" t="str">
        <x:v>M-P Promotional cards</x:v>
      </x:c>
      <x:c r="E980" t="str">
        <x:v>Numbered total</x:v>
      </x:c>
      <x:c r="F980" t="n">
        <x:v>1</x:v>
      </x:c>
      <x:c r="G980" t="str">
        <x:v>reference_bridge_secondary_checklist</x:v>
      </x:c>
      <x:c r="H980" t="str">
        <x:v>https://bulbapedia.bulbagarden.net/wiki/Template:Simplified_Chinese_Releases</x:v>
      </x:c>
      <x:c r="I980" t="str">
        <x:v>zh-CN; unique numbered-card/checklist identities for this row scope</x:v>
      </x:c>
      <x:c r="J980" t="str">
        <x:v>Numbered total bridged from the sourced reference-count checklist for this exact row scope. Current released M-P Simplified Chinese promotional identity in the source snapshot; ongoing promo series.</x:v>
      </x:c>
      <x:c r="K980" t="str">
        <x:v>zh-CN-0b8024065063</x:v>
      </x:c>
      <x:c r="L980" t="str">
        <x:v>numbered_total</x:v>
      </x:c>
    </x:row>
    <x:row r="981">
      <x:c r="A981" t="str">
        <x:v>NUM-19d43ec8a110</x:v>
      </x:c>
      <x:c r="B981" t="str">
        <x:v>2026-09-26-numbered-totals</x:v>
      </x:c>
      <x:c r="C981" t="str">
        <x:v>zh-CN</x:v>
      </x:c>
      <x:c r="D981" t="str">
        <x:v>Pokémon Card Game Battle Academy</x:v>
      </x:c>
      <x:c r="E981" t="str">
        <x:v>Numbered total</x:v>
      </x:c>
      <x:c r="F981" t="n">
        <x:v>98</x:v>
      </x:c>
      <x:c r="G981" t="str">
        <x:v>reference_bridge_secondary_checklist</x:v>
      </x:c>
      <x:c r="H981" t="str">
        <x:v>https://bulbapedia.bulbagarden.net/wiki/Template:Simplified_Chinese_Releases ; https://www.pokemon.cn/tcg/</x:v>
      </x:c>
      <x:c r="I981" t="str">
        <x:v>zh-CN; unique numbered-card/checklist identities for this row scope</x:v>
      </x:c>
      <x:c r="J981" t="str">
        <x:v>Numbered total bridged from the sourced reference-count checklist for this exact row scope. Battle Academy product-specific catalogue identities; separate from the 240 physical cards across four constructed decks.</x:v>
      </x:c>
      <x:c r="K981" t="str">
        <x:v>zh-CN-17407eca3331</x:v>
      </x:c>
      <x:c r="L981" t="str">
        <x:v>numbered_total</x:v>
      </x:c>
    </x:row>
    <x:row r="982">
      <x:c r="A982" t="str">
        <x:v>NUM-8bba66960251</x:v>
      </x:c>
      <x:c r="B982" t="str">
        <x:v>2026-09-26-numbered-totals</x:v>
      </x:c>
      <x:c r="C982" t="str">
        <x:v>zh-CN</x:v>
      </x:c>
      <x:c r="D982" t="str">
        <x:v>Primordial Arts V Starter Decks</x:v>
      </x:c>
      <x:c r="E982" t="str">
        <x:v>Numbered total</x:v>
      </x:c>
      <x:c r="F982" t="n">
        <x:v>183</x:v>
      </x:c>
      <x:c r="G982" t="str">
        <x:v>reference_bridge_secondary_checklist</x:v>
      </x:c>
      <x:c r="H982" t="str">
        <x:v>https://bulbapedia.bulbagarden.net/wiki/Template:Simplified_Chinese_Releases</x:v>
      </x:c>
      <x:c r="I982" t="str">
        <x:v>zh-CN; unique numbered-card/checklist identities for this row scope</x:v>
      </x:c>
      <x:c r="J982" t="str">
        <x:v>Numbered total bridged from the sourced reference-count checklist for this exact row scope. Primordial Arts V Starter Deck catalogue pool; not physical deck-card quantity.</x:v>
      </x:c>
      <x:c r="K982" t="str">
        <x:v>zh-CN-0f55490115e0</x:v>
      </x:c>
      <x:c r="L982" t="str">
        <x:v>numbered_total</x:v>
      </x:c>
    </x:row>
    <x:row r="983">
      <x:c r="A983" t="str">
        <x:v>NUM-272e0e84abe7</x:v>
      </x:c>
      <x:c r="B983" t="str">
        <x:v>2026-09-26-numbered-totals</x:v>
      </x:c>
      <x:c r="C983" t="str">
        <x:v>zh-CN</x:v>
      </x:c>
      <x:c r="D983" t="str">
        <x:v>S-P Promotional cards</x:v>
      </x:c>
      <x:c r="E983" t="str">
        <x:v>Numbered total</x:v>
      </x:c>
      <x:c r="F983" t="n">
        <x:v>180</x:v>
      </x:c>
      <x:c r="G983" t="str">
        <x:v>reference_bridge_secondary_checklist</x:v>
      </x:c>
      <x:c r="H983" t="str">
        <x:v>https://bulbapedia.bulbagarden.net/wiki/Template:Simplified_Chinese_Releases</x:v>
      </x:c>
      <x:c r="I983" t="str">
        <x:v>zh-CN; unique numbered-card/checklist identities for this row scope</x:v>
      </x:c>
      <x:c r="J983" t="str">
        <x:v>Numbered total bridged from the sourced reference-count checklist for this exact row scope. Current S-P Simplified Chinese promotional numbering extent; ongoing promo catalogue.</x:v>
      </x:c>
      <x:c r="K983" t="str">
        <x:v>zh-CN-a4ed9d742e92</x:v>
      </x:c>
      <x:c r="L983" t="str">
        <x:v>numbered_total</x:v>
      </x:c>
    </x:row>
    <x:row r="984">
      <x:c r="A984" t="str">
        <x:v>NUM-e4ec9bffd98c</x:v>
      </x:c>
      <x:c r="B984" t="str">
        <x:v>2026-09-26-numbered-totals</x:v>
      </x:c>
      <x:c r="C984" t="str">
        <x:v>zh-CN</x:v>
      </x:c>
      <x:c r="D984" t="str">
        <x:v>SM-P Promotional cards</x:v>
      </x:c>
      <x:c r="E984" t="str">
        <x:v>Numbered total</x:v>
      </x:c>
      <x:c r="F984" t="n">
        <x:v>74</x:v>
      </x:c>
      <x:c r="G984" t="str">
        <x:v>reference_bridge_secondary_checklist</x:v>
      </x:c>
      <x:c r="H984" t="str">
        <x:v>https://bulbapedia.bulbagarden.net/wiki/Template:Simplified_Chinese_Releases</x:v>
      </x:c>
      <x:c r="I984" t="str">
        <x:v>zh-CN; unique numbered-card/checklist identities for this row scope</x:v>
      </x:c>
      <x:c r="J984" t="str">
        <x:v>Numbered total bridged from the sourced reference-count checklist for this exact row scope. Current SM-P Simplified Chinese promotional catalogue identities in source scope.</x:v>
      </x:c>
      <x:c r="K984" t="str">
        <x:v>zh-CN-b0139dcd5a32</x:v>
      </x:c>
      <x:c r="L984" t="str">
        <x:v>numbered_total</x:v>
      </x:c>
    </x:row>
    <x:row r="985">
      <x:c r="A985" t="str">
        <x:v>NUM-091ce3b5b8fe</x:v>
      </x:c>
      <x:c r="B985" t="str">
        <x:v>2026-09-26-numbered-totals</x:v>
      </x:c>
      <x:c r="C985" t="str">
        <x:v>zh-CN</x:v>
      </x:c>
      <x:c r="D985" t="str">
        <x:v>SV-P Promotional cards</x:v>
      </x:c>
      <x:c r="E985" t="str">
        <x:v>Numbered total</x:v>
      </x:c>
      <x:c r="F985" t="n">
        <x:v>434</x:v>
      </x:c>
      <x:c r="G985" t="str">
        <x:v>reference_bridge_secondary_checklist</x:v>
      </x:c>
      <x:c r="H985" t="str">
        <x:v>https://bulbapedia.bulbagarden.net/wiki/Template:Simplified_Chinese_Releases</x:v>
      </x:c>
      <x:c r="I985" t="str">
        <x:v>zh-CN; unique numbered-card/checklist identities for this row scope</x:v>
      </x:c>
      <x:c r="J985" t="str">
        <x:v>Numbered total bridged from the sourced reference-count checklist for this exact row scope. Current SV-P promotional numbering extent; ongoing catalogue, so this is an extent/snapshot rather than a closed-set total.</x:v>
      </x:c>
      <x:c r="K985" t="str">
        <x:v>zh-CN-b14492ebba16</x:v>
      </x:c>
      <x:c r="L985" t="str">
        <x:v>numbered_total</x:v>
      </x:c>
    </x:row>
    <x:row r="986">
      <x:c r="A986" t="str">
        <x:v>NUM-71e5528dc92f</x:v>
      </x:c>
      <x:c r="B986" t="str">
        <x:v>2026-09-26-numbered-totals</x:v>
      </x:c>
      <x:c r="C986" t="str">
        <x:v>zh-CN</x:v>
      </x:c>
      <x:c r="D986" t="str">
        <x:v>Shining Synergy GX Starter Decks</x:v>
      </x:c>
      <x:c r="E986" t="str">
        <x:v>Numbered total</x:v>
      </x:c>
      <x:c r="F986" t="n">
        <x:v>357</x:v>
      </x:c>
      <x:c r="G986" t="str">
        <x:v>reference_bridge_secondary_checklist</x:v>
      </x:c>
      <x:c r="H986" t="str">
        <x:v>https://bulbapedia.bulbagarden.net/wiki/Template:Simplified_Chinese_Releases</x:v>
      </x:c>
      <x:c r="I986" t="str">
        <x:v>zh-CN; unique numbered-card/checklist identities for this row scope</x:v>
      </x:c>
      <x:c r="J986" t="str">
        <x:v>Numbered total bridged from the sourced reference-count checklist for this exact row scope. Shining Synergy GX Starter Deck distinct numbered identities, including beyond-denominator entries.</x:v>
      </x:c>
      <x:c r="K986" t="str">
        <x:v>zh-CN-bbdfaf4b06d8</x:v>
      </x:c>
      <x:c r="L986" t="str">
        <x:v>numbered_total</x:v>
      </x:c>
    </x:row>
    <x:row r="987">
      <x:c r="A987" t="str">
        <x:v>NUM-e2c354daa438</x:v>
      </x:c>
      <x:c r="B987" t="str">
        <x:v>2026-09-26-numbered-totals</x:v>
      </x:c>
      <x:c r="C987" t="str">
        <x:v>zh-CN</x:v>
      </x:c>
      <x:c r="D987" t="str">
        <x:v>Start Deck 100</x:v>
      </x:c>
      <x:c r="E987" t="str">
        <x:v>Numbered total</x:v>
      </x:c>
      <x:c r="F987" t="n">
        <x:v>433</x:v>
      </x:c>
      <x:c r="G987" t="str">
        <x:v>reference_bridge_secondary_checklist</x:v>
      </x:c>
      <x:c r="H987" t="str">
        <x:v>https://bulbapedia.bulbagarden.net/wiki/Template:Simplified_Chinese_Releases ; https://www.pokemon.cn/tcg/</x:v>
      </x:c>
      <x:c r="I987" t="str">
        <x:v>zh-CN; unique numbered-card/checklist identities for this row scope</x:v>
      </x:c>
      <x:c r="J987" t="str">
        <x:v>Numbered total bridged from the sourced reference-count checklist for this exact row scope. Start Deck 100 Simplified Chinese catalogue identities; distinct checklist pool, not the 60-card physical deck quantity.</x:v>
      </x:c>
      <x:c r="K987" t="str">
        <x:v>zh-CN-f17188026f82</x:v>
      </x:c>
      <x:c r="L987" t="str">
        <x:v>numbered_total</x:v>
      </x:c>
    </x:row>
    <x:row r="988">
      <x:c r="A988" t="str">
        <x:v>NUM-fac4f620d308</x:v>
      </x:c>
      <x:c r="B988" t="str">
        <x:v>2026-09-26-numbered-totals</x:v>
      </x:c>
      <x:c r="C988" t="str">
        <x:v>zh-CN</x:v>
      </x:c>
      <x:c r="D988" t="str">
        <x:v>Storming Emergence GX Starter Decks</x:v>
      </x:c>
      <x:c r="E988" t="str">
        <x:v>Numbered total</x:v>
      </x:c>
      <x:c r="F988" t="n">
        <x:v>336</x:v>
      </x:c>
      <x:c r="G988" t="str">
        <x:v>reference_bridge_secondary_checklist</x:v>
      </x:c>
      <x:c r="H988" t="str">
        <x:v>https://bulbapedia.bulbagarden.net/wiki/Template:Simplified_Chinese_Releases ; https://www.pokemon.cn/tcg/</x:v>
      </x:c>
      <x:c r="I988" t="str">
        <x:v>zh-CN; unique numbered-card/checklist identities for this row scope</x:v>
      </x:c>
      <x:c r="J988" t="str">
        <x:v>Numbered total bridged from the sourced reference-count checklist for this exact row scope. Storming Emergence GX Starter Deck distinct numbered catalogue identities.</x:v>
      </x:c>
      <x:c r="K988" t="str">
        <x:v>zh-CN-0fba1dd957df</x:v>
      </x:c>
      <x:c r="L988" t="str">
        <x:v>numbered_total</x:v>
      </x:c>
    </x:row>
    <x:row r="989">
      <x:c r="A989" t="str">
        <x:v>NUM-a1ab4f435238</x:v>
      </x:c>
      <x:c r="B989" t="str">
        <x:v>2026-09-26-numbered-totals</x:v>
      </x:c>
      <x:c r="C989" t="str">
        <x:v>zh-TW</x:v>
      </x:c>
      <x:c r="D989" t="str">
        <x:v>Base Set</x:v>
      </x:c>
      <x:c r="E989" t="str">
        <x:v>Numbered total</x:v>
      </x:c>
      <x:c r="F989" t="n">
        <x:v>102</x:v>
      </x:c>
      <x:c r="G989" t="str">
        <x:v>reference_bridge_regional_set_checklist</x:v>
      </x:c>
      <x:c r="H989" t="str">
        <x:v>https://asia.pokemon-card.com/tw/card-search/ ; https://bulbapedia.bulbagarden.net/wiki/Pok%C3%A9mon_in_Taiwan</x:v>
      </x:c>
      <x:c r="I989" t="str">
        <x:v>zh-TW; unique numbered-card/checklist identities for this row scope</x:v>
      </x:c>
      <x:c r="J989" t="str">
        <x:v>Numbered total bridged from the sourced reference-count checklist for this exact row scope. Historical Traditional Chinese Base Set catalogue identities.</x:v>
      </x:c>
      <x:c r="K989" t="str">
        <x:v>zh-TW-de875ceeabe3</x:v>
      </x:c>
      <x:c r="L989" t="str">
        <x:v>numbered_total</x:v>
      </x:c>
    </x:row>
    <x:row r="990">
      <x:c r="A990" t="str">
        <x:v>NUM-a1e16f388602</x:v>
      </x:c>
      <x:c r="B990" t="str">
        <x:v>2026-09-26-numbered-totals</x:v>
      </x:c>
      <x:c r="C990" t="str">
        <x:v>zh-TW</x:v>
      </x:c>
      <x:c r="D990" t="str">
        <x:v>Pikachu World Collection — Traditional Chinese card</x:v>
      </x:c>
      <x:c r="E990" t="str">
        <x:v>Numbered total</x:v>
      </x:c>
      <x:c r="F990" t="n">
        <x:v>1</x:v>
      </x:c>
      <x:c r="G990" t="str">
        <x:v>reference_bridge_product_numbered_checklist</x:v>
      </x:c>
      <x:c r="H990" t="str">
        <x:v>https://asia.pokemon-card.com/tw/card-search/ ; https://bulbapedia.bulbagarden.net/wiki/Pok%C3%A9mon_in_Taiwan</x:v>
      </x:c>
      <x:c r="I990" t="str">
        <x:v>zh-TW; unique numbered-card/checklist identities for this row scope</x:v>
      </x:c>
      <x:c r="J990" t="str">
        <x:v>Numbered total bridged from the sourced reference-count checklist for this exact row scope. Single Traditional Chinese Pikachu World Collection card identity in this row scope.</x:v>
      </x:c>
      <x:c r="K990" t="str">
        <x:v>zh-TW-e8c0625ae4df</x:v>
      </x:c>
      <x:c r="L990" t="str">
        <x:v>numbered_total</x:v>
      </x:c>
    </x:row>
    <x:row r="991">
      <x:c r="A991" t="str">
        <x:v>NUM-45012f845749</x:v>
      </x:c>
      <x:c r="B991" t="str">
        <x:v>2026-09-26-numbered-totals</x:v>
      </x:c>
      <x:c r="C991" t="str">
        <x:v>zh-TW</x:v>
      </x:c>
      <x:c r="D991" t="str">
        <x:v>EX Legend Maker</x:v>
      </x:c>
      <x:c r="E991" t="str">
        <x:v>Numbered total</x:v>
      </x:c>
      <x:c r="F991" t="n">
        <x:v>93</x:v>
      </x:c>
      <x:c r="G991" t="str">
        <x:v>reference_bridge_regional_set_checklist</x:v>
      </x:c>
      <x:c r="H991" t="str">
        <x:v>https://asia.pokemon-card.com/tw/card-search/ ; https://bulbapedia.bulbagarden.net/wiki/Pok%C3%A9mon_in_Taiwan</x:v>
      </x:c>
      <x:c r="I991" t="str">
        <x:v>zh-TW; unique numbered-card/checklist identities for this row scope</x:v>
      </x:c>
      <x:c r="J991" t="str">
        <x:v>Numbered total bridged from the sourced reference-count checklist for this exact row scope. Traditional Chinese EX Legend Maker set identities, including the documented secret card.</x:v>
      </x:c>
      <x:c r="K991" t="str">
        <x:v>zh-TW-174859e51cd4</x:v>
      </x:c>
      <x:c r="L991" t="str">
        <x:v>numbered_total</x:v>
      </x:c>
    </x:row>
    <x:row r="992">
      <x:c r="A992" t="str">
        <x:v>NUM-9760257d4c4a</x:v>
      </x:c>
      <x:c r="B992" t="str">
        <x:v>2026-09-26-numbered-totals</x:v>
      </x:c>
      <x:c r="C992" t="str">
        <x:v>zh-TW</x:v>
      </x:c>
      <x:c r="D992" t="str">
        <x:v>EX Trainer Kit 2</x:v>
      </x:c>
      <x:c r="E992" t="str">
        <x:v>Numbered total</x:v>
      </x:c>
      <x:c r="F992" t="n">
        <x:v>24</x:v>
      </x:c>
      <x:c r="G992" t="str">
        <x:v>reference_bridge_product_numbered_checklist</x:v>
      </x:c>
      <x:c r="H992" t="str">
        <x:v>https://asia.pokemon-card.com/tw/card-search/ ; https://bulbapedia.bulbagarden.net/wiki/Pok%C3%A9mon_in_Taiwan</x:v>
      </x:c>
      <x:c r="I992" t="str">
        <x:v>zh-TW; unique numbered-card/checklist identities for this row scope</x:v>
      </x:c>
      <x:c r="J992" t="str">
        <x:v>Numbered total bridged from the sourced reference-count checklist for this exact row scope. Two 12-card Trainer Kit 2 numbered half-deck checklists; not physical repeated cards.</x:v>
      </x:c>
      <x:c r="K992" t="str">
        <x:v>zh-TW-1d61985413dc</x:v>
      </x:c>
      <x:c r="L992" t="str">
        <x:v>numbered_total</x:v>
      </x:c>
    </x:row>
    <x:row r="993">
      <x:c r="A993" t="str">
        <x:v>NUM-260a9ce2ef51</x:v>
      </x:c>
      <x:c r="B993" t="str">
        <x:v>2026-09-26-numbered-totals</x:v>
      </x:c>
      <x:c r="C993" t="str">
        <x:v>zh-TW</x:v>
      </x:c>
      <x:c r="D993" t="str">
        <x:v>All Stars GX Starter Deck</x:v>
      </x:c>
      <x:c r="E993" t="str">
        <x:v>Numbered total</x:v>
      </x:c>
      <x:c r="F993" t="n">
        <x:v>157</x:v>
      </x:c>
      <x:c r="G993" t="str">
        <x:v>reference_bridge_product_numbered_checklist</x:v>
      </x:c>
      <x:c r="H993" t="str">
        <x:v>https://asia.pokemon-card.com/tw/card-search/ ; https://bulbapedia.bulbagarden.net/wiki/Pok%C3%A9mon_in_Taiwan</x:v>
      </x:c>
      <x:c r="I993" t="str">
        <x:v>zh-TW; unique numbered-card/checklist identities for this row scope</x:v>
      </x:c>
      <x:c r="J993" t="str">
        <x:v>Numbered total bridged from the sourced reference-count checklist for this exact row scope. All Stars GX Starter Deck product-specific distinct catalogue pool; not the physical 60-card deck size.</x:v>
      </x:c>
      <x:c r="K993" t="str">
        <x:v>zh-TW-bbd57f4d265f</x:v>
      </x:c>
      <x:c r="L993" t="str">
        <x:v>numbered_total</x:v>
      </x:c>
    </x:row>
    <x:row r="994">
      <x:c r="A994" t="str">
        <x:v>NUM-7a88c88cbd9d</x:v>
      </x:c>
      <x:c r="B994" t="str">
        <x:v>2026-09-26-numbered-totals</x:v>
      </x:c>
      <x:c r="C994" t="str">
        <x:v>zh-TW</x:v>
      </x:c>
      <x:c r="D994" t="str">
        <x:v>Dreams Come True Collection: Set A</x:v>
      </x:c>
      <x:c r="E994" t="str">
        <x:v>Numbered total</x:v>
      </x:c>
      <x:c r="F994" t="n">
        <x:v>226</x:v>
      </x:c>
      <x:c r="G994" t="str">
        <x:v>reference_bridge_regional_set_checklist</x:v>
      </x:c>
      <x:c r="H994" t="str">
        <x:v>https://asia.pokemon-card.com/tw/card-search/ ; https://bulbapedia.bulbagarden.net/wiki/Pok%C3%A9mon_in_Taiwan</x:v>
      </x:c>
      <x:c r="I994" t="str">
        <x:v>zh-TW; unique numbered-card/checklist identities for this row scope</x:v>
      </x:c>
      <x:c r="J994" t="str">
        <x:v>Numbered total bridged from the sourced reference-count checklist for this exact row scope. Dreams Come True Collection Set A distinct numbered identities; regional catch-up checklist.</x:v>
      </x:c>
      <x:c r="K994" t="str">
        <x:v>zh-TW-72025093612f</x:v>
      </x:c>
      <x:c r="L994" t="str">
        <x:v>numbered_total</x:v>
      </x:c>
    </x:row>
    <x:row r="995">
      <x:c r="A995" t="str">
        <x:v>NUM-902e896b077c</x:v>
      </x:c>
      <x:c r="B995" t="str">
        <x:v>2026-09-26-numbered-totals</x:v>
      </x:c>
      <x:c r="C995" t="str">
        <x:v>zh-TW</x:v>
      </x:c>
      <x:c r="D995" t="str">
        <x:v>Dreams Come True Collection: Set B</x:v>
      </x:c>
      <x:c r="E995" t="str">
        <x:v>Numbered total</x:v>
      </x:c>
      <x:c r="F995" t="n">
        <x:v>225</x:v>
      </x:c>
      <x:c r="G995" t="str">
        <x:v>reference_bridge_regional_set_checklist</x:v>
      </x:c>
      <x:c r="H995" t="str">
        <x:v>https://asia.pokemon-card.com/tw/card-search/ ; https://bulbapedia.bulbagarden.net/wiki/Pok%C3%A9mon_in_Taiwan</x:v>
      </x:c>
      <x:c r="I995" t="str">
        <x:v>zh-TW; unique numbered-card/checklist identities for this row scope</x:v>
      </x:c>
      <x:c r="J995" t="str">
        <x:v>Numbered total bridged from the sourced reference-count checklist for this exact row scope. Dreams Come True Collection Set B distinct numbered identities; regional catch-up checklist.</x:v>
      </x:c>
      <x:c r="K995" t="str">
        <x:v>zh-TW-b2b8b4361d91</x:v>
      </x:c>
      <x:c r="L995" t="str">
        <x:v>numbered_total</x:v>
      </x:c>
    </x:row>
    <x:row r="996">
      <x:c r="A996" t="str">
        <x:v>NUM-f1b108ae478b</x:v>
      </x:c>
      <x:c r="B996" t="str">
        <x:v>2026-09-26-numbered-totals</x:v>
      </x:c>
      <x:c r="C996" t="str">
        <x:v>zh-TW</x:v>
      </x:c>
      <x:c r="D996" t="str">
        <x:v>Dreams Come True GX Starter Deck</x:v>
      </x:c>
      <x:c r="E996" t="str">
        <x:v>Numbered total</x:v>
      </x:c>
      <x:c r="F996" t="n">
        <x:v>176</x:v>
      </x:c>
      <x:c r="G996" t="str">
        <x:v>reference_bridge_product_numbered_checklist</x:v>
      </x:c>
      <x:c r="H996" t="str">
        <x:v>https://asia.pokemon-card.com/tw/card-search/ ; https://bulbapedia.bulbagarden.net/wiki/Pok%C3%A9mon_in_Taiwan</x:v>
      </x:c>
      <x:c r="I996" t="str">
        <x:v>zh-TW; unique numbered-card/checklist identities for this row scope</x:v>
      </x:c>
      <x:c r="J996" t="str">
        <x:v>Numbered total bridged from the sourced reference-count checklist for this exact row scope. Dreams Come True GX Starter Deck product-specific catalogue pool; not physical deck quantity.</x:v>
      </x:c>
      <x:c r="K996" t="str">
        <x:v>zh-TW-6f7e74c62ae7</x:v>
      </x:c>
      <x:c r="L996" t="str">
        <x:v>numbered_total</x:v>
      </x:c>
    </x:row>
    <x:row r="997">
      <x:c r="A997" t="str">
        <x:v>NUM-52bee5d4792e</x:v>
      </x:c>
      <x:c r="B997" t="str">
        <x:v>2026-09-26-numbered-totals</x:v>
      </x:c>
      <x:c r="C997" t="str">
        <x:v>zh-TW</x:v>
      </x:c>
      <x:c r="D997" t="str">
        <x:v>Double Burst GX Starter Deck</x:v>
      </x:c>
      <x:c r="E997" t="str">
        <x:v>Numbered total</x:v>
      </x:c>
      <x:c r="F997" t="n">
        <x:v>169</x:v>
      </x:c>
      <x:c r="G997" t="str">
        <x:v>reference_bridge_product_numbered_checklist</x:v>
      </x:c>
      <x:c r="H997" t="str">
        <x:v>https://asia.pokemon-card.com/tw/card-search/ ; https://bulbapedia.bulbagarden.net/wiki/Pok%C3%A9mon_in_Taiwan</x:v>
      </x:c>
      <x:c r="I997" t="str">
        <x:v>zh-TW; unique numbered-card/checklist identities for this row scope</x:v>
      </x:c>
      <x:c r="J997" t="str">
        <x:v>Numbered total bridged from the sourced reference-count checklist for this exact row scope. Double Burst GX Starter Deck product-specific catalogue pool; not physical deck quantity.</x:v>
      </x:c>
      <x:c r="K997" t="str">
        <x:v>zh-TW-fa701929df73</x:v>
      </x:c>
      <x:c r="L997" t="str">
        <x:v>numbered_total</x:v>
      </x:c>
    </x:row>
    <x:row r="998">
      <x:c r="A998" t="str">
        <x:v>NUM-f4b6abf0116e</x:v>
      </x:c>
      <x:c r="B998" t="str">
        <x:v>2026-09-26-numbered-totals</x:v>
      </x:c>
      <x:c r="C998" t="str">
        <x:v>zh-TW</x:v>
      </x:c>
      <x:c r="D998" t="str">
        <x:v>Double Burst: Set A</x:v>
      </x:c>
      <x:c r="E998" t="str">
        <x:v>Numbered total</x:v>
      </x:c>
      <x:c r="F998" t="n">
        <x:v>230</x:v>
      </x:c>
      <x:c r="G998" t="str">
        <x:v>reference_bridge_regional_set_checklist</x:v>
      </x:c>
      <x:c r="H998" t="str">
        <x:v>https://asia.pokemon-card.com/tw/card-search/ ; https://bulbapedia.bulbagarden.net/wiki/Pok%C3%A9mon_in_Taiwan</x:v>
      </x:c>
      <x:c r="I998" t="str">
        <x:v>zh-TW; unique numbered-card/checklist identities for this row scope</x:v>
      </x:c>
      <x:c r="J998" t="str">
        <x:v>Numbered total bridged from the sourced reference-count checklist for this exact row scope. Double Burst Set A distinct numbered identities.</x:v>
      </x:c>
      <x:c r="K998" t="str">
        <x:v>zh-TW-697dc026abac</x:v>
      </x:c>
      <x:c r="L998" t="str">
        <x:v>numbered_total</x:v>
      </x:c>
    </x:row>
    <x:row r="999">
      <x:c r="A999" t="str">
        <x:v>NUM-88783c2739e1</x:v>
      </x:c>
      <x:c r="B999" t="str">
        <x:v>2026-09-26-numbered-totals</x:v>
      </x:c>
      <x:c r="C999" t="str">
        <x:v>zh-TW</x:v>
      </x:c>
      <x:c r="D999" t="str">
        <x:v>Double Burst: Set B</x:v>
      </x:c>
      <x:c r="E999" t="str">
        <x:v>Numbered total</x:v>
      </x:c>
      <x:c r="F999" t="n">
        <x:v>230</x:v>
      </x:c>
      <x:c r="G999" t="str">
        <x:v>reference_bridge_regional_set_checklist</x:v>
      </x:c>
      <x:c r="H999" t="str">
        <x:v>https://asia.pokemon-card.com/tw/card-search/ ; https://bulbapedia.bulbagarden.net/wiki/Pok%C3%A9mon_in_Taiwan</x:v>
      </x:c>
      <x:c r="I999" t="str">
        <x:v>zh-TW; unique numbered-card/checklist identities for this row scope</x:v>
      </x:c>
      <x:c r="J999" t="str">
        <x:v>Numbered total bridged from the sourced reference-count checklist for this exact row scope. Double Burst Set B distinct numbered identities.</x:v>
      </x:c>
      <x:c r="K999" t="str">
        <x:v>zh-TW-a1c2fff1a1ef</x:v>
      </x:c>
      <x:c r="L999" t="str">
        <x:v>numbered_total</x:v>
      </x:c>
    </x:row>
    <x:row r="1000">
      <x:c r="A1000" t="str">
        <x:v>NUM-bf6ebcb6ca45</x:v>
      </x:c>
      <x:c r="B1000" t="str">
        <x:v>2026-09-26-numbered-totals</x:v>
      </x:c>
      <x:c r="C1000" t="str">
        <x:v>zh-TW</x:v>
      </x:c>
      <x:c r="D1000" t="str">
        <x:v>Legendary Clash GX Starter Deck</x:v>
      </x:c>
      <x:c r="E1000" t="str">
        <x:v>Numbered total</x:v>
      </x:c>
      <x:c r="F1000" t="n">
        <x:v>168</x:v>
      </x:c>
      <x:c r="G1000" t="str">
        <x:v>reference_bridge_product_numbered_checklist</x:v>
      </x:c>
      <x:c r="H1000" t="str">
        <x:v>https://asia.pokemon-card.com/tw/card-search/ ; https://bulbapedia.bulbagarden.net/wiki/Pok%C3%A9mon_in_Taiwan</x:v>
      </x:c>
      <x:c r="I1000" t="str">
        <x:v>zh-TW; unique numbered-card/checklist identities for this row scope</x:v>
      </x:c>
      <x:c r="J1000" t="str">
        <x:v>Numbered total bridged from the sourced reference-count checklist for this exact row scope. Legendary Clash GX Starter Deck product-specific catalogue pool.</x:v>
      </x:c>
      <x:c r="K1000" t="str">
        <x:v>zh-TW-ffbc69fcb8f3</x:v>
      </x:c>
      <x:c r="L1000" t="str">
        <x:v>numbered_total</x:v>
      </x:c>
    </x:row>
    <x:row r="1001">
      <x:c r="A1001" t="str">
        <x:v>NUM-42e2dd5b0524</x:v>
      </x:c>
      <x:c r="B1001" t="str">
        <x:v>2026-09-26-numbered-totals</x:v>
      </x:c>
      <x:c r="C1001" t="str">
        <x:v>zh-TW</x:v>
      </x:c>
      <x:c r="D1001" t="str">
        <x:v>Legendary Clash: Set A</x:v>
      </x:c>
      <x:c r="E1001" t="str">
        <x:v>Numbered total</x:v>
      </x:c>
      <x:c r="F1001" t="n">
        <x:v>252</x:v>
      </x:c>
      <x:c r="G1001" t="str">
        <x:v>reference_bridge_regional_set_checklist</x:v>
      </x:c>
      <x:c r="H1001" t="str">
        <x:v>https://asia.pokemon-card.com/tw/card-search/ ; https://bulbapedia.bulbagarden.net/wiki/Pok%C3%A9mon_in_Taiwan</x:v>
      </x:c>
      <x:c r="I1001" t="str">
        <x:v>zh-TW; unique numbered-card/checklist identities for this row scope</x:v>
      </x:c>
      <x:c r="J1001" t="str">
        <x:v>Numbered total bridged from the sourced reference-count checklist for this exact row scope. Legendary Clash Set A distinct numbered identities.</x:v>
      </x:c>
      <x:c r="K1001" t="str">
        <x:v>zh-TW-a3f1035342ed</x:v>
      </x:c>
      <x:c r="L1001" t="str">
        <x:v>numbered_total</x:v>
      </x:c>
    </x:row>
    <x:row r="1002">
      <x:c r="A1002" t="str">
        <x:v>NUM-020bc9fd7e30</x:v>
      </x:c>
      <x:c r="B1002" t="str">
        <x:v>2026-09-26-numbered-totals</x:v>
      </x:c>
      <x:c r="C1002" t="str">
        <x:v>zh-TW</x:v>
      </x:c>
      <x:c r="D1002" t="str">
        <x:v>Legendary Clash: Set B</x:v>
      </x:c>
      <x:c r="E1002" t="str">
        <x:v>Numbered total</x:v>
      </x:c>
      <x:c r="F1002" t="n">
        <x:v>252</x:v>
      </x:c>
      <x:c r="G1002" t="str">
        <x:v>reference_bridge_regional_set_checklist</x:v>
      </x:c>
      <x:c r="H1002" t="str">
        <x:v>https://asia.pokemon-card.com/tw/card-search/ ; https://bulbapedia.bulbagarden.net/wiki/Pok%C3%A9mon_in_Taiwan</x:v>
      </x:c>
      <x:c r="I1002" t="str">
        <x:v>zh-TW; unique numbered-card/checklist identities for this row scope</x:v>
      </x:c>
      <x:c r="J1002" t="str">
        <x:v>Numbered total bridged from the sourced reference-count checklist for this exact row scope. Legendary Clash Set B distinct numbered identities.</x:v>
      </x:c>
      <x:c r="K1002" t="str">
        <x:v>zh-TW-d8a28fa21e5b</x:v>
      </x:c>
      <x:c r="L1002" t="str">
        <x:v>numbered_total</x:v>
      </x:c>
    </x:row>
    <x:row r="1003">
      <x:c r="A1003" t="str">
        <x:v>NUM-e0910a8b4386</x:v>
      </x:c>
      <x:c r="B1003" t="str">
        <x:v>2026-09-26-numbered-totals</x:v>
      </x:c>
      <x:c r="C1003" t="str">
        <x:v>zh-TW</x:v>
      </x:c>
      <x:c r="D1003" t="str">
        <x:v>Sword &amp; Shield V Starter Deck</x:v>
      </x:c>
      <x:c r="E1003" t="str">
        <x:v>Numbered total</x:v>
      </x:c>
      <x:c r="F1003" t="n">
        <x:v>164</x:v>
      </x:c>
      <x:c r="G1003" t="str">
        <x:v>reference_bridge_product_numbered_checklist</x:v>
      </x:c>
      <x:c r="H1003" t="str">
        <x:v>https://asia.pokemon-card.com/tw/card-search/ ; https://bulbapedia.bulbagarden.net/wiki/Pok%C3%A9mon_in_Taiwan</x:v>
      </x:c>
      <x:c r="I1003" t="str">
        <x:v>zh-TW; unique numbered-card/checklist identities for this row scope</x:v>
      </x:c>
      <x:c r="J1003" t="str">
        <x:v>Numbered total bridged from the sourced reference-count checklist for this exact row scope. Sword &amp; Shield V Starter Deck product-specific catalogue pool.</x:v>
      </x:c>
      <x:c r="K1003" t="str">
        <x:v>zh-TW-7a214d78ab26</x:v>
      </x:c>
      <x:c r="L1003" t="str">
        <x:v>numbered_total</x:v>
      </x:c>
    </x:row>
    <x:row r="1004">
      <x:c r="A1004" t="str">
        <x:v>NUM-b48e11f44711</x:v>
      </x:c>
      <x:c r="B1004" t="str">
        <x:v>2026-09-26-numbered-totals</x:v>
      </x:c>
      <x:c r="C1004" t="str">
        <x:v>zh-TW</x:v>
      </x:c>
      <x:c r="D1004" t="str">
        <x:v>Sword &amp; Shield: Set A</x:v>
      </x:c>
      <x:c r="E1004" t="str">
        <x:v>Numbered total</x:v>
      </x:c>
      <x:c r="F1004" t="n">
        <x:v>187</x:v>
      </x:c>
      <x:c r="G1004" t="str">
        <x:v>reference_bridge_regional_set_checklist</x:v>
      </x:c>
      <x:c r="H1004" t="str">
        <x:v>https://asia.pokemon-card.com/tw/card-search/ ; https://bulbapedia.bulbagarden.net/wiki/Pok%C3%A9mon_in_Taiwan</x:v>
      </x:c>
      <x:c r="I1004" t="str">
        <x:v>zh-TW; unique numbered-card/checklist identities for this row scope</x:v>
      </x:c>
      <x:c r="J1004" t="str">
        <x:v>Numbered total bridged from the sourced reference-count checklist for this exact row scope. Sword &amp; Shield Set A distinct numbered identities.</x:v>
      </x:c>
      <x:c r="K1004" t="str">
        <x:v>zh-TW-08c3dcbf7c89</x:v>
      </x:c>
      <x:c r="L1004" t="str">
        <x:v>numbered_total</x:v>
      </x:c>
    </x:row>
    <x:row r="1005">
      <x:c r="A1005" t="str">
        <x:v>NUM-d72a4a31f266</x:v>
      </x:c>
      <x:c r="B1005" t="str">
        <x:v>2026-09-26-numbered-totals</x:v>
      </x:c>
      <x:c r="C1005" t="str">
        <x:v>zh-TW</x:v>
      </x:c>
      <x:c r="D1005" t="str">
        <x:v>Sword &amp; Shield: Set B</x:v>
      </x:c>
      <x:c r="E1005" t="str">
        <x:v>Numbered total</x:v>
      </x:c>
      <x:c r="F1005" t="n">
        <x:v>187</x:v>
      </x:c>
      <x:c r="G1005" t="str">
        <x:v>reference_bridge_regional_set_checklist</x:v>
      </x:c>
      <x:c r="H1005" t="str">
        <x:v>https://asia.pokemon-card.com/tw/card-search/ ; https://bulbapedia.bulbagarden.net/wiki/Pok%C3%A9mon_in_Taiwan</x:v>
      </x:c>
      <x:c r="I1005" t="str">
        <x:v>zh-TW; unique numbered-card/checklist identities for this row scope</x:v>
      </x:c>
      <x:c r="J1005" t="str">
        <x:v>Numbered total bridged from the sourced reference-count checklist for this exact row scope. Sword &amp; Shield Set B distinct numbered identities.</x:v>
      </x:c>
      <x:c r="K1005" t="str">
        <x:v>zh-TW-1d3647011297</x:v>
      </x:c>
      <x:c r="L1005" t="str">
        <x:v>numbered_total</x:v>
      </x:c>
    </x:row>
    <x:row r="1006">
      <x:c r="A1006" t="str">
        <x:v>NUM-7dd571b1fea2</x:v>
      </x:c>
      <x:c r="B1006" t="str">
        <x:v>2026-09-26-numbered-totals</x:v>
      </x:c>
      <x:c r="C1006" t="str">
        <x:v>zh-TW</x:v>
      </x:c>
      <x:c r="D1006" t="str">
        <x:v>Infinite Power V Starter Deck</x:v>
      </x:c>
      <x:c r="E1006" t="str">
        <x:v>Numbered total</x:v>
      </x:c>
      <x:c r="F1006" t="n">
        <x:v>157</x:v>
      </x:c>
      <x:c r="G1006" t="str">
        <x:v>reference_bridge_product_numbered_checklist</x:v>
      </x:c>
      <x:c r="H1006" t="str">
        <x:v>https://asia.pokemon-card.com/tw/card-search/ ; https://bulbapedia.bulbagarden.net/wiki/Pok%C3%A9mon_in_Taiwan</x:v>
      </x:c>
      <x:c r="I1006" t="str">
        <x:v>zh-TW; unique numbered-card/checklist identities for this row scope</x:v>
      </x:c>
      <x:c r="J1006" t="str">
        <x:v>Numbered total bridged from the sourced reference-count checklist for this exact row scope. Infinite Power V Starter Deck product-specific catalogue pool.</x:v>
      </x:c>
      <x:c r="K1006" t="str">
        <x:v>zh-TW-881ba9c7b206</x:v>
      </x:c>
      <x:c r="L1006" t="str">
        <x:v>numbered_total</x:v>
      </x:c>
    </x:row>
    <x:row r="1007">
      <x:c r="A1007" t="str">
        <x:v>NUM-526b5c11ef46</x:v>
      </x:c>
      <x:c r="B1007" t="str">
        <x:v>2026-09-26-numbered-totals</x:v>
      </x:c>
      <x:c r="C1007" t="str">
        <x:v>zh-TW</x:v>
      </x:c>
      <x:c r="D1007" t="str">
        <x:v>Infinite Power: Set A</x:v>
      </x:c>
      <x:c r="E1007" t="str">
        <x:v>Numbered total</x:v>
      </x:c>
      <x:c r="F1007" t="n">
        <x:v>170</x:v>
      </x:c>
      <x:c r="G1007" t="str">
        <x:v>reference_bridge_regional_set_checklist</x:v>
      </x:c>
      <x:c r="H1007" t="str">
        <x:v>https://asia.pokemon-card.com/tw/card-search/ ; https://bulbapedia.bulbagarden.net/wiki/Pok%C3%A9mon_in_Taiwan</x:v>
      </x:c>
      <x:c r="I1007" t="str">
        <x:v>zh-TW; unique numbered-card/checklist identities for this row scope</x:v>
      </x:c>
      <x:c r="J1007" t="str">
        <x:v>Numbered total bridged from the sourced reference-count checklist for this exact row scope. Infinite Power Set A distinct numbered identities.</x:v>
      </x:c>
      <x:c r="K1007" t="str">
        <x:v>zh-TW-b9871021b603</x:v>
      </x:c>
      <x:c r="L1007" t="str">
        <x:v>numbered_total</x:v>
      </x:c>
    </x:row>
    <x:row r="1008">
      <x:c r="A1008" t="str">
        <x:v>NUM-f6d8c64b34d4</x:v>
      </x:c>
      <x:c r="B1008" t="str">
        <x:v>2026-09-26-numbered-totals</x:v>
      </x:c>
      <x:c r="C1008" t="str">
        <x:v>zh-TW</x:v>
      </x:c>
      <x:c r="D1008" t="str">
        <x:v>Infinite Power: Set B</x:v>
      </x:c>
      <x:c r="E1008" t="str">
        <x:v>Numbered total</x:v>
      </x:c>
      <x:c r="F1008" t="n">
        <x:v>172</x:v>
      </x:c>
      <x:c r="G1008" t="str">
        <x:v>reference_bridge_regional_set_checklist</x:v>
      </x:c>
      <x:c r="H1008" t="str">
        <x:v>https://asia.pokemon-card.com/tw/card-search/ ; https://bulbapedia.bulbagarden.net/wiki/Pok%C3%A9mon_in_Taiwan</x:v>
      </x:c>
      <x:c r="I1008" t="str">
        <x:v>zh-TW; unique numbered-card/checklist identities for this row scope</x:v>
      </x:c>
      <x:c r="J1008" t="str">
        <x:v>Numbered total bridged from the sourced reference-count checklist for this exact row scope. Infinite Power Set B distinct numbered identities.</x:v>
      </x:c>
      <x:c r="K1008" t="str">
        <x:v>zh-TW-b29b74d4c92f</x:v>
      </x:c>
      <x:c r="L1008" t="str">
        <x:v>numbered_total</x:v>
      </x:c>
    </x:row>
    <x:row r="1009">
      <x:c r="A1009" t="str">
        <x:v>NUM-8dbaa172bd56</x:v>
      </x:c>
      <x:c r="B1009" t="str">
        <x:v>2026-09-26-numbered-totals</x:v>
      </x:c>
      <x:c r="C1009" t="str">
        <x:v>zh-TW</x:v>
      </x:c>
      <x:c r="D1009" t="str">
        <x:v>Amazing Volt Tackle</x:v>
      </x:c>
      <x:c r="E1009" t="str">
        <x:v>Numbered total</x:v>
      </x:c>
      <x:c r="F1009" t="n">
        <x:v>121</x:v>
      </x:c>
      <x:c r="G1009" t="str">
        <x:v>reference_bridge_synchronized_same_numbering</x:v>
      </x:c>
      <x:c r="H1009" t="str">
        <x:v>https://bulbapedia.bulbagarden.net/wiki/Pok%C3%A9mon_in_Taiwan ; https://asia.pokemon-card.com/tw/card-search/</x:v>
      </x:c>
      <x:c r="I1009" t="str">
        <x:v>zh-TW; unique numbered-card/checklist identities for this row scope</x:v>
      </x:c>
      <x:c r="J1009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09" t="str">
        <x:v>zh-TW-4fe71a34ad45</x:v>
      </x:c>
      <x:c r="L1009" t="str">
        <x:v>numbered_total</x:v>
      </x:c>
    </x:row>
    <x:row r="1010">
      <x:c r="A1010" t="str">
        <x:v>NUM-da702e742347</x:v>
      </x:c>
      <x:c r="B1010" t="str">
        <x:v>2026-09-26-numbered-totals</x:v>
      </x:c>
      <x:c r="C1010" t="str">
        <x:v>zh-TW</x:v>
      </x:c>
      <x:c r="D1010" t="str">
        <x:v>Shiny Star V</x:v>
      </x:c>
      <x:c r="E1010" t="str">
        <x:v>Numbered total</x:v>
      </x:c>
      <x:c r="F1010" t="n">
        <x:v>330</x:v>
      </x:c>
      <x:c r="G1010" t="str">
        <x:v>reference_bridge_synchronized_same_numbering</x:v>
      </x:c>
      <x:c r="H1010" t="str">
        <x:v>https://bulbapedia.bulbagarden.net/wiki/Pok%C3%A9mon_in_Taiwan ; https://asia.pokemon-card.com/tw/card-search/</x:v>
      </x:c>
      <x:c r="I1010" t="str">
        <x:v>zh-TW; unique numbered-card/checklist identities for this row scope</x:v>
      </x:c>
      <x:c r="J1010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10" t="str">
        <x:v>zh-TW-7c2698d8198c</x:v>
      </x:c>
      <x:c r="L1010" t="str">
        <x:v>numbered_total</x:v>
      </x:c>
    </x:row>
    <x:row r="1011">
      <x:c r="A1011" t="str">
        <x:v>NUM-92463ec35395</x:v>
      </x:c>
      <x:c r="B1011" t="str">
        <x:v>2026-09-26-numbered-totals</x:v>
      </x:c>
      <x:c r="C1011" t="str">
        <x:v>zh-TW</x:v>
      </x:c>
      <x:c r="D1011" t="str">
        <x:v>V Starter Deck: Partner</x:v>
      </x:c>
      <x:c r="E1011" t="str">
        <x:v>Numbered total</x:v>
      </x:c>
      <x:c r="F1011" t="n">
        <x:v>135</x:v>
      </x:c>
      <x:c r="G1011" t="str">
        <x:v>reference_bridge_product_numbered_checklist</x:v>
      </x:c>
      <x:c r="H1011" t="str">
        <x:v>https://asia.pokemon-card.com/tw/card-search/ ; https://bulbapedia.bulbagarden.net/wiki/Pok%C3%A9mon_in_Taiwan</x:v>
      </x:c>
      <x:c r="I1011" t="str">
        <x:v>zh-TW; unique numbered-card/checklist identities for this row scope</x:v>
      </x:c>
      <x:c r="J1011" t="str">
        <x:v>Numbered total bridged from the sourced reference-count checklist for this exact row scope. V Starter Deck: Partner product-specific catalogue pool.</x:v>
      </x:c>
      <x:c r="K1011" t="str">
        <x:v>zh-TW-34fe73a731d5</x:v>
      </x:c>
      <x:c r="L1011" t="str">
        <x:v>numbered_total</x:v>
      </x:c>
    </x:row>
    <x:row r="1012">
      <x:c r="A1012" t="str">
        <x:v>NUM-5b659a6611ba</x:v>
      </x:c>
      <x:c r="B1012" t="str">
        <x:v>2026-09-26-numbered-totals</x:v>
      </x:c>
      <x:c r="C1012" t="str">
        <x:v>zh-TW</x:v>
      </x:c>
      <x:c r="D1012" t="str">
        <x:v>Rapid Strike Master</x:v>
      </x:c>
      <x:c r="E1012" t="str">
        <x:v>Numbered total</x:v>
      </x:c>
      <x:c r="F1012" t="n">
        <x:v>91</x:v>
      </x:c>
      <x:c r="G1012" t="str">
        <x:v>reference_bridge_synchronized_same_numbering</x:v>
      </x:c>
      <x:c r="H1012" t="str">
        <x:v>https://bulbapedia.bulbagarden.net/wiki/Pok%C3%A9mon_in_Taiwan ; https://asia.pokemon-card.com/tw/card-search/</x:v>
      </x:c>
      <x:c r="I1012" t="str">
        <x:v>zh-TW; unique numbered-card/checklist identities for this row scope</x:v>
      </x:c>
      <x:c r="J1012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12" t="str">
        <x:v>zh-TW-22bafcb43c40</x:v>
      </x:c>
      <x:c r="L1012" t="str">
        <x:v>numbered_total</x:v>
      </x:c>
    </x:row>
    <x:row r="1013">
      <x:c r="A1013" t="str">
        <x:v>NUM-6b88113e9acc</x:v>
      </x:c>
      <x:c r="B1013" t="str">
        <x:v>2026-09-26-numbered-totals</x:v>
      </x:c>
      <x:c r="C1013" t="str">
        <x:v>zh-TW</x:v>
      </x:c>
      <x:c r="D1013" t="str">
        <x:v>Single Strike Master</x:v>
      </x:c>
      <x:c r="E1013" t="str">
        <x:v>Numbered total</x:v>
      </x:c>
      <x:c r="F1013" t="n">
        <x:v>91</x:v>
      </x:c>
      <x:c r="G1013" t="str">
        <x:v>reference_bridge_synchronized_same_numbering</x:v>
      </x:c>
      <x:c r="H1013" t="str">
        <x:v>https://bulbapedia.bulbagarden.net/wiki/Pok%C3%A9mon_in_Taiwan ; https://asia.pokemon-card.com/tw/card-search/</x:v>
      </x:c>
      <x:c r="I1013" t="str">
        <x:v>zh-TW; unique numbered-card/checklist identities for this row scope</x:v>
      </x:c>
      <x:c r="J1013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13" t="str">
        <x:v>zh-TW-9097625c11de</x:v>
      </x:c>
      <x:c r="L1013" t="str">
        <x:v>numbered_total</x:v>
      </x:c>
    </x:row>
    <x:row r="1014">
      <x:c r="A1014" t="str">
        <x:v>NUM-b0e22679d947</x:v>
      </x:c>
      <x:c r="B1014" t="str">
        <x:v>2026-09-26-numbered-totals</x:v>
      </x:c>
      <x:c r="C1014" t="str">
        <x:v>zh-TW</x:v>
      </x:c>
      <x:c r="D1014" t="str">
        <x:v>V Starter Deck: Challenge</x:v>
      </x:c>
      <x:c r="E1014" t="str">
        <x:v>Numbered total</x:v>
      </x:c>
      <x:c r="F1014" t="n">
        <x:v>156</x:v>
      </x:c>
      <x:c r="G1014" t="str">
        <x:v>reference_bridge_product_numbered_checklist</x:v>
      </x:c>
      <x:c r="H1014" t="str">
        <x:v>https://asia.pokemon-card.com/tw/card-search/ ; https://bulbapedia.bulbagarden.net/wiki/Pok%C3%A9mon_in_Taiwan</x:v>
      </x:c>
      <x:c r="I1014" t="str">
        <x:v>zh-TW; unique numbered-card/checklist identities for this row scope</x:v>
      </x:c>
      <x:c r="J1014" t="str">
        <x:v>Numbered total bridged from the sourced reference-count checklist for this exact row scope. V Starter Deck: Challenge product-specific catalogue pool.</x:v>
      </x:c>
      <x:c r="K1014" t="str">
        <x:v>zh-TW-4f37ed1f19a0</x:v>
      </x:c>
      <x:c r="L1014" t="str">
        <x:v>numbered_total</x:v>
      </x:c>
    </x:row>
    <x:row r="1015">
      <x:c r="A1015" t="str">
        <x:v>NUM-b19c36a31ab3</x:v>
      </x:c>
      <x:c r="B1015" t="str">
        <x:v>2026-09-26-numbered-totals</x:v>
      </x:c>
      <x:c r="C1015" t="str">
        <x:v>zh-TW</x:v>
      </x:c>
      <x:c r="D1015" t="str">
        <x:v>Jet-Black Spirit</x:v>
      </x:c>
      <x:c r="E1015" t="str">
        <x:v>Numbered total</x:v>
      </x:c>
      <x:c r="F1015" t="n">
        <x:v>95</x:v>
      </x:c>
      <x:c r="G1015" t="str">
        <x:v>reference_bridge_synchronized_same_numbering</x:v>
      </x:c>
      <x:c r="H1015" t="str">
        <x:v>https://bulbapedia.bulbagarden.net/wiki/Pok%C3%A9mon_in_Taiwan ; https://asia.pokemon-card.com/tw/card-search/</x:v>
      </x:c>
      <x:c r="I1015" t="str">
        <x:v>zh-TW; unique numbered-card/checklist identities for this row scope</x:v>
      </x:c>
      <x:c r="J1015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15" t="str">
        <x:v>zh-TW-948804025988</x:v>
      </x:c>
      <x:c r="L1015" t="str">
        <x:v>numbered_total</x:v>
      </x:c>
    </x:row>
    <x:row r="1016">
      <x:c r="A1016" t="str">
        <x:v>NUM-a7d4c67bfff5</x:v>
      </x:c>
      <x:c r="B1016" t="str">
        <x:v>2026-09-26-numbered-totals</x:v>
      </x:c>
      <x:c r="C1016" t="str">
        <x:v>zh-TW</x:v>
      </x:c>
      <x:c r="D1016" t="str">
        <x:v>Silver Lance</x:v>
      </x:c>
      <x:c r="E1016" t="str">
        <x:v>Numbered total</x:v>
      </x:c>
      <x:c r="F1016" t="n">
        <x:v>95</x:v>
      </x:c>
      <x:c r="G1016" t="str">
        <x:v>reference_bridge_synchronized_same_numbering</x:v>
      </x:c>
      <x:c r="H1016" t="str">
        <x:v>https://bulbapedia.bulbagarden.net/wiki/Pok%C3%A9mon_in_Taiwan ; https://asia.pokemon-card.com/tw/card-search/</x:v>
      </x:c>
      <x:c r="I1016" t="str">
        <x:v>zh-TW; unique numbered-card/checklist identities for this row scope</x:v>
      </x:c>
      <x:c r="J1016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16" t="str">
        <x:v>zh-TW-1ce049c3e526</x:v>
      </x:c>
      <x:c r="L1016" t="str">
        <x:v>numbered_total</x:v>
      </x:c>
    </x:row>
    <x:row r="1017">
      <x:c r="A1017" t="str">
        <x:v>NUM-1c04247fe55d</x:v>
      </x:c>
      <x:c r="B1017" t="str">
        <x:v>2026-09-26-numbered-totals</x:v>
      </x:c>
      <x:c r="C1017" t="str">
        <x:v>zh-TW</x:v>
      </x:c>
      <x:c r="D1017" t="str">
        <x:v>Eevee Heroes</x:v>
      </x:c>
      <x:c r="E1017" t="str">
        <x:v>Numbered total</x:v>
      </x:c>
      <x:c r="F1017" t="n">
        <x:v>101</x:v>
      </x:c>
      <x:c r="G1017" t="str">
        <x:v>reference_bridge_synchronized_same_numbering</x:v>
      </x:c>
      <x:c r="H1017" t="str">
        <x:v>https://bulbapedia.bulbagarden.net/wiki/Pok%C3%A9mon_in_Taiwan ; https://asia.pokemon-card.com/tw/card-search/</x:v>
      </x:c>
      <x:c r="I1017" t="str">
        <x:v>zh-TW; unique numbered-card/checklist identities for this row scope</x:v>
      </x:c>
      <x:c r="J1017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17" t="str">
        <x:v>zh-TW-0a24fa37675e</x:v>
      </x:c>
      <x:c r="L1017" t="str">
        <x:v>numbered_total</x:v>
      </x:c>
    </x:row>
    <x:row r="1018">
      <x:c r="A1018" t="str">
        <x:v>NUM-634d3434d998</x:v>
      </x:c>
      <x:c r="B1018" t="str">
        <x:v>2026-09-26-numbered-totals</x:v>
      </x:c>
      <x:c r="C1018" t="str">
        <x:v>zh-TW</x:v>
      </x:c>
      <x:c r="D1018" t="str">
        <x:v>V Starter Deck: Evolution</x:v>
      </x:c>
      <x:c r="E1018" t="str">
        <x:v>Numbered total</x:v>
      </x:c>
      <x:c r="F1018" t="n">
        <x:v>171</x:v>
      </x:c>
      <x:c r="G1018" t="str">
        <x:v>reference_bridge_product_numbered_checklist</x:v>
      </x:c>
      <x:c r="H1018" t="str">
        <x:v>https://asia.pokemon-card.com/tw/card-search/ ; https://bulbapedia.bulbagarden.net/wiki/Pok%C3%A9mon_in_Taiwan</x:v>
      </x:c>
      <x:c r="I1018" t="str">
        <x:v>zh-TW; unique numbered-card/checklist identities for this row scope</x:v>
      </x:c>
      <x:c r="J1018" t="str">
        <x:v>Numbered total bridged from the sourced reference-count checklist for this exact row scope. V Starter Deck: Evolution distinct printed identities; one nominal numbering slot is not a separate printed identity in the reconciled checklist.</x:v>
      </x:c>
      <x:c r="K1018" t="str">
        <x:v>zh-TW-e025c97a3003</x:v>
      </x:c>
      <x:c r="L1018" t="str">
        <x:v>numbered_total</x:v>
      </x:c>
    </x:row>
    <x:row r="1019">
      <x:c r="A1019" t="str">
        <x:v>NUM-07fb4efe2a1c</x:v>
      </x:c>
      <x:c r="B1019" t="str">
        <x:v>2026-09-26-numbered-totals</x:v>
      </x:c>
      <x:c r="C1019" t="str">
        <x:v>zh-TW</x:v>
      </x:c>
      <x:c r="D1019" t="str">
        <x:v>Blue Sky Stream</x:v>
      </x:c>
      <x:c r="E1019" t="str">
        <x:v>Numbered total</x:v>
      </x:c>
      <x:c r="F1019" t="n">
        <x:v>90</x:v>
      </x:c>
      <x:c r="G1019" t="str">
        <x:v>reference_bridge_synchronized_same_numbering</x:v>
      </x:c>
      <x:c r="H1019" t="str">
        <x:v>https://bulbapedia.bulbagarden.net/wiki/Pok%C3%A9mon_in_Taiwan ; https://asia.pokemon-card.com/tw/card-search/</x:v>
      </x:c>
      <x:c r="I1019" t="str">
        <x:v>zh-TW; unique numbered-card/checklist identities for this row scope</x:v>
      </x:c>
      <x:c r="J1019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19" t="str">
        <x:v>zh-TW-0896e483a152</x:v>
      </x:c>
      <x:c r="L1019" t="str">
        <x:v>numbered_total</x:v>
      </x:c>
    </x:row>
    <x:row r="1020">
      <x:c r="A1020" t="str">
        <x:v>NUM-1d0581122bbc</x:v>
      </x:c>
      <x:c r="B1020" t="str">
        <x:v>2026-09-26-numbered-totals</x:v>
      </x:c>
      <x:c r="C1020" t="str">
        <x:v>zh-TW</x:v>
      </x:c>
      <x:c r="D1020" t="str">
        <x:v>Skyscraping Perfection</x:v>
      </x:c>
      <x:c r="E1020" t="str">
        <x:v>Numbered total</x:v>
      </x:c>
      <x:c r="F1020" t="n">
        <x:v>90</x:v>
      </x:c>
      <x:c r="G1020" t="str">
        <x:v>reference_bridge_synchronized_same_numbering</x:v>
      </x:c>
      <x:c r="H1020" t="str">
        <x:v>https://bulbapedia.bulbagarden.net/wiki/Pok%C3%A9mon_in_Taiwan ; https://asia.pokemon-card.com/tw/card-search/</x:v>
      </x:c>
      <x:c r="I1020" t="str">
        <x:v>zh-TW; unique numbered-card/checklist identities for this row scope</x:v>
      </x:c>
      <x:c r="J1020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20" t="str">
        <x:v>zh-TW-3c7f9a347753</x:v>
      </x:c>
      <x:c r="L1020" t="str">
        <x:v>numbered_total</x:v>
      </x:c>
    </x:row>
    <x:row r="1021">
      <x:c r="A1021" t="str">
        <x:v>NUM-3f052e635a21</x:v>
      </x:c>
      <x:c r="B1021" t="str">
        <x:v>2026-09-26-numbered-totals</x:v>
      </x:c>
      <x:c r="C1021" t="str">
        <x:v>zh-TW</x:v>
      </x:c>
      <x:c r="D1021" t="str">
        <x:v>Family Pokémon Card Game</x:v>
      </x:c>
      <x:c r="E1021" t="str">
        <x:v>Numbered total</x:v>
      </x:c>
      <x:c r="F1021" t="n">
        <x:v>78</x:v>
      </x:c>
      <x:c r="G1021" t="str">
        <x:v>reference_bridge_product_numbered_checklist</x:v>
      </x:c>
      <x:c r="H1021" t="str">
        <x:v>https://asia.pokemon-card.com/tw/card-search/ ; https://bulbapedia.bulbagarden.net/wiki/Pok%C3%A9mon_in_Taiwan</x:v>
      </x:c>
      <x:c r="I1021" t="str">
        <x:v>zh-TW; unique numbered-card/checklist identities for this row scope</x:v>
      </x:c>
      <x:c r="J1021" t="str">
        <x:v>Numbered total bridged from the sourced reference-count checklist for this exact row scope. Family Pokémon Card Game product-specific distinct catalogue identities.</x:v>
      </x:c>
      <x:c r="K1021" t="str">
        <x:v>zh-TW-ea9bed1e2837</x:v>
      </x:c>
      <x:c r="L1021" t="str">
        <x:v>numbered_total</x:v>
      </x:c>
    </x:row>
    <x:row r="1022">
      <x:c r="A1022" t="str">
        <x:v>NUM-ce807df720e9</x:v>
      </x:c>
      <x:c r="B1022" t="str">
        <x:v>2026-09-26-numbered-totals</x:v>
      </x:c>
      <x:c r="C1022" t="str">
        <x:v>zh-TW</x:v>
      </x:c>
      <x:c r="D1022" t="str">
        <x:v>Greninja V-UNION</x:v>
      </x:c>
      <x:c r="E1022" t="str">
        <x:v>Numbered total</x:v>
      </x:c>
      <x:c r="F1022" t="n">
        <x:v>5</x:v>
      </x:c>
      <x:c r="G1022" t="str">
        <x:v>reference_bridge_product_numbered_checklist</x:v>
      </x:c>
      <x:c r="H1022" t="str">
        <x:v>https://asia.pokemon-card.com/tw/card-search/ ; https://bulbapedia.bulbagarden.net/wiki/Pok%C3%A9mon_in_Taiwan</x:v>
      </x:c>
      <x:c r="I1022" t="str">
        <x:v>zh-TW; unique numbered-card/checklist identities for this row scope</x:v>
      </x:c>
      <x:c r="J1022" t="str">
        <x:v>Numbered total bridged from the sourced reference-count checklist for this exact row scope. Greninja V-UNION product identities: four V-UNION pieces plus the product-specific supporting identity in the checklist scope.</x:v>
      </x:c>
      <x:c r="K1022" t="str">
        <x:v>zh-TW-1e56408052d8</x:v>
      </x:c>
      <x:c r="L1022" t="str">
        <x:v>numbered_total</x:v>
      </x:c>
    </x:row>
    <x:row r="1023">
      <x:c r="A1023" t="str">
        <x:v>NUM-fcde72cf75b6</x:v>
      </x:c>
      <x:c r="B1023" t="str">
        <x:v>2026-09-26-numbered-totals</x:v>
      </x:c>
      <x:c r="C1023" t="str">
        <x:v>zh-TW</x:v>
      </x:c>
      <x:c r="D1023" t="str">
        <x:v>Mewtwo V-UNION</x:v>
      </x:c>
      <x:c r="E1023" t="str">
        <x:v>Numbered total</x:v>
      </x:c>
      <x:c r="F1023" t="n">
        <x:v>5</x:v>
      </x:c>
      <x:c r="G1023" t="str">
        <x:v>reference_bridge_product_numbered_checklist</x:v>
      </x:c>
      <x:c r="H1023" t="str">
        <x:v>https://asia.pokemon-card.com/tw/card-search/ ; https://bulbapedia.bulbagarden.net/wiki/Pok%C3%A9mon_in_Taiwan</x:v>
      </x:c>
      <x:c r="I1023" t="str">
        <x:v>zh-TW; unique numbered-card/checklist identities for this row scope</x:v>
      </x:c>
      <x:c r="J1023" t="str">
        <x:v>Numbered total bridged from the sourced reference-count checklist for this exact row scope. Mewtwo V-UNION product identities: four V-UNION pieces plus the product-specific supporting identity in the checklist scope.</x:v>
      </x:c>
      <x:c r="K1023" t="str">
        <x:v>zh-TW-4be3f10dba4e</x:v>
      </x:c>
      <x:c r="L1023" t="str">
        <x:v>numbered_total</x:v>
      </x:c>
    </x:row>
    <x:row r="1024">
      <x:c r="A1024" t="str">
        <x:v>NUM-47081873e374</x:v>
      </x:c>
      <x:c r="B1024" t="str">
        <x:v>2026-09-26-numbered-totals</x:v>
      </x:c>
      <x:c r="C1024" t="str">
        <x:v>zh-TW</x:v>
      </x:c>
      <x:c r="D1024" t="str">
        <x:v>Zacian V-UNION</x:v>
      </x:c>
      <x:c r="E1024" t="str">
        <x:v>Numbered total</x:v>
      </x:c>
      <x:c r="F1024" t="n">
        <x:v>5</x:v>
      </x:c>
      <x:c r="G1024" t="str">
        <x:v>reference_bridge_product_numbered_checklist</x:v>
      </x:c>
      <x:c r="H1024" t="str">
        <x:v>https://asia.pokemon-card.com/tw/card-search/ ; https://bulbapedia.bulbagarden.net/wiki/Pok%C3%A9mon_in_Taiwan</x:v>
      </x:c>
      <x:c r="I1024" t="str">
        <x:v>zh-TW; unique numbered-card/checklist identities for this row scope</x:v>
      </x:c>
      <x:c r="J1024" t="str">
        <x:v>Numbered total bridged from the sourced reference-count checklist for this exact row scope. Zacian V-UNION product identities: four V-UNION pieces plus the product-specific supporting identity in the checklist scope.</x:v>
      </x:c>
      <x:c r="K1024" t="str">
        <x:v>zh-TW-fd587194a3dc</x:v>
      </x:c>
      <x:c r="L1024" t="str">
        <x:v>numbered_total</x:v>
      </x:c>
    </x:row>
    <x:row r="1025">
      <x:c r="A1025" t="str">
        <x:v>NUM-d70be0abda33</x:v>
      </x:c>
      <x:c r="B1025" t="str">
        <x:v>2026-09-26-numbered-totals</x:v>
      </x:c>
      <x:c r="C1025" t="str">
        <x:v>zh-TW</x:v>
      </x:c>
      <x:c r="D1025" t="str">
        <x:v>Fusion Arts</x:v>
      </x:c>
      <x:c r="E1025" t="str">
        <x:v>Numbered total</x:v>
      </x:c>
      <x:c r="F1025" t="n">
        <x:v>129</x:v>
      </x:c>
      <x:c r="G1025" t="str">
        <x:v>reference_bridge_synchronized_same_numbering</x:v>
      </x:c>
      <x:c r="H1025" t="str">
        <x:v>https://bulbapedia.bulbagarden.net/wiki/Pok%C3%A9mon_in_Taiwan ; https://asia.pokemon-card.com/tw/card-search/</x:v>
      </x:c>
      <x:c r="I1025" t="str">
        <x:v>zh-TW; unique numbered-card/checklist identities for this row scope</x:v>
      </x:c>
      <x:c r="J1025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25" t="str">
        <x:v>zh-TW-ed2b47d834a0</x:v>
      </x:c>
      <x:c r="L1025" t="str">
        <x:v>numbered_total</x:v>
      </x:c>
    </x:row>
    <x:row r="1026">
      <x:c r="A1026" t="str">
        <x:v>NUM-b657fa757f9c</x:v>
      </x:c>
      <x:c r="B1026" t="str">
        <x:v>2026-09-26-numbered-totals</x:v>
      </x:c>
      <x:c r="C1026" t="str">
        <x:v>zh-TW</x:v>
      </x:c>
      <x:c r="D1026" t="str">
        <x:v>V Starter Deck: Power</x:v>
      </x:c>
      <x:c r="E1026" t="str">
        <x:v>Numbered total</x:v>
      </x:c>
      <x:c r="F1026" t="n">
        <x:v>159</x:v>
      </x:c>
      <x:c r="G1026" t="str">
        <x:v>reference_bridge_product_numbered_checklist</x:v>
      </x:c>
      <x:c r="H1026" t="str">
        <x:v>https://asia.pokemon-card.com/tw/card-search/ ; https://bulbapedia.bulbagarden.net/wiki/Pok%C3%A9mon_in_Taiwan</x:v>
      </x:c>
      <x:c r="I1026" t="str">
        <x:v>zh-TW; unique numbered-card/checklist identities for this row scope</x:v>
      </x:c>
      <x:c r="J1026" t="str">
        <x:v>Numbered total bridged from the sourced reference-count checklist for this exact row scope. V Starter Deck: Power product-specific catalogue pool.</x:v>
      </x:c>
      <x:c r="K1026" t="str">
        <x:v>zh-TW-b504d14277db</x:v>
      </x:c>
      <x:c r="L1026" t="str">
        <x:v>numbered_total</x:v>
      </x:c>
    </x:row>
    <x:row r="1027">
      <x:c r="A1027" t="str">
        <x:v>NUM-2680b6fbd0d8</x:v>
      </x:c>
      <x:c r="B1027" t="str">
        <x:v>2026-09-26-numbered-totals</x:v>
      </x:c>
      <x:c r="C1027" t="str">
        <x:v>zh-TW</x:v>
      </x:c>
      <x:c r="D1027" t="str">
        <x:v>25th Anniversary Collection</x:v>
      </x:c>
      <x:c r="E1027" t="str">
        <x:v>Numbered total</x:v>
      </x:c>
      <x:c r="F1027" t="n">
        <x:v>30</x:v>
      </x:c>
      <x:c r="G1027" t="str">
        <x:v>reference_bridge_synchronized_same_numbering</x:v>
      </x:c>
      <x:c r="H1027" t="str">
        <x:v>https://bulbapedia.bulbagarden.net/wiki/Pok%C3%A9mon_in_Taiwan ; https://asia.pokemon-card.com/tw/card-search/</x:v>
      </x:c>
      <x:c r="I1027" t="str">
        <x:v>zh-TW; unique numbered-card/checklist identities for this row scope</x:v>
      </x:c>
      <x:c r="J1027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27" t="str">
        <x:v>zh-TW-0b27f7830bd5</x:v>
      </x:c>
      <x:c r="L1027" t="str">
        <x:v>numbered_total</x:v>
      </x:c>
    </x:row>
    <x:row r="1028">
      <x:c r="A1028" t="str">
        <x:v>NUM-590453f4e91f</x:v>
      </x:c>
      <x:c r="B1028" t="str">
        <x:v>2026-09-26-numbered-totals</x:v>
      </x:c>
      <x:c r="C1028" t="str">
        <x:v>zh-TW</x:v>
      </x:c>
      <x:c r="D1028" t="str">
        <x:v>VMAX Climax</x:v>
      </x:c>
      <x:c r="E1028" t="str">
        <x:v>Numbered total</x:v>
      </x:c>
      <x:c r="F1028" t="n">
        <x:v>285</x:v>
      </x:c>
      <x:c r="G1028" t="str">
        <x:v>reference_bridge_synchronized_same_numbering</x:v>
      </x:c>
      <x:c r="H1028" t="str">
        <x:v>https://bulbapedia.bulbagarden.net/wiki/Pok%C3%A9mon_in_Taiwan ; https://asia.pokemon-card.com/tw/card-search/</x:v>
      </x:c>
      <x:c r="I1028" t="str">
        <x:v>zh-TW; unique numbered-card/checklist identities for this row scope</x:v>
      </x:c>
      <x:c r="J1028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28" t="str">
        <x:v>zh-TW-3f0100ff734e</x:v>
      </x:c>
      <x:c r="L1028" t="str">
        <x:v>numbered_total</x:v>
      </x:c>
    </x:row>
    <x:row r="1029">
      <x:c r="A1029" t="str">
        <x:v>NUM-087cc3ab0937</x:v>
      </x:c>
      <x:c r="B1029" t="str">
        <x:v>2026-09-26-numbered-totals</x:v>
      </x:c>
      <x:c r="C1029" t="str">
        <x:v>zh-TW</x:v>
      </x:c>
      <x:c r="D1029" t="str">
        <x:v>Premium Trainer Box VSTAR</x:v>
      </x:c>
      <x:c r="E1029" t="str">
        <x:v>Numbered total</x:v>
      </x:c>
      <x:c r="F1029" t="n">
        <x:v>38</x:v>
      </x:c>
      <x:c r="G1029" t="str">
        <x:v>reference_bridge_product_numbered_checklist</x:v>
      </x:c>
      <x:c r="H1029" t="str">
        <x:v>https://asia.pokemon-card.com/tw/card-search/ ; https://bulbapedia.bulbagarden.net/wiki/Pok%C3%A9mon_in_Taiwan</x:v>
      </x:c>
      <x:c r="I1029" t="str">
        <x:v>zh-TW; unique numbered-card/checklist identities for this row scope</x:v>
      </x:c>
      <x:c r="J1029" t="str">
        <x:v>Numbered total bridged from the sourced reference-count checklist for this exact row scope. Premium Trainer Box VSTAR product-specific catalogue identities, not physical accessory/card quantities.</x:v>
      </x:c>
      <x:c r="K1029" t="str">
        <x:v>zh-TW-da84927efd3c</x:v>
      </x:c>
      <x:c r="L1029" t="str">
        <x:v>numbered_total</x:v>
      </x:c>
    </x:row>
    <x:row r="1030">
      <x:c r="A1030" t="str">
        <x:v>NUM-4f3684f75a61</x:v>
      </x:c>
      <x:c r="B1030" t="str">
        <x:v>2026-09-26-numbered-totals</x:v>
      </x:c>
      <x:c r="C1030" t="str">
        <x:v>zh-TW</x:v>
      </x:c>
      <x:c r="D1030" t="str">
        <x:v>Special Deck Set: Zacian &amp; Zamazenta vs Eternatus</x:v>
      </x:c>
      <x:c r="E1030" t="str">
        <x:v>Numbered total</x:v>
      </x:c>
      <x:c r="F1030" t="n">
        <x:v>30</x:v>
      </x:c>
      <x:c r="G1030" t="str">
        <x:v>reference_bridge_product_numbered_checklist</x:v>
      </x:c>
      <x:c r="H1030" t="str">
        <x:v>https://asia.pokemon-card.com/tw/card-search/ ; https://bulbapedia.bulbagarden.net/wiki/Pok%C3%A9mon_in_Taiwan</x:v>
      </x:c>
      <x:c r="I1030" t="str">
        <x:v>zh-TW; unique numbered-card/checklist identities for this row scope</x:v>
      </x:c>
      <x:c r="J1030" t="str">
        <x:v>Numbered total bridged from the sourced reference-count checklist for this exact row scope. Special Deck Set Zacian &amp; Zamazenta vs Eternatus distinct numbered identities.</x:v>
      </x:c>
      <x:c r="K1030" t="str">
        <x:v>zh-TW-49aecb4f6801</x:v>
      </x:c>
      <x:c r="L1030" t="str">
        <x:v>numbered_total</x:v>
      </x:c>
    </x:row>
    <x:row r="1031">
      <x:c r="A1031" t="str">
        <x:v>NUM-f007f4484fd9</x:v>
      </x:c>
      <x:c r="B1031" t="str">
        <x:v>2026-09-26-numbered-totals</x:v>
      </x:c>
      <x:c r="C1031" t="str">
        <x:v>zh-TW</x:v>
      </x:c>
      <x:c r="D1031" t="str">
        <x:v>Star Birth</x:v>
      </x:c>
      <x:c r="E1031" t="str">
        <x:v>Numbered total</x:v>
      </x:c>
      <x:c r="F1031" t="n">
        <x:v>127</x:v>
      </x:c>
      <x:c r="G1031" t="str">
        <x:v>reference_bridge_synchronized_same_numbering</x:v>
      </x:c>
      <x:c r="H1031" t="str">
        <x:v>https://bulbapedia.bulbagarden.net/wiki/Pok%C3%A9mon_in_Taiwan ; https://asia.pokemon-card.com/tw/card-search/</x:v>
      </x:c>
      <x:c r="I1031" t="str">
        <x:v>zh-TW; unique numbered-card/checklist identities for this row scope</x:v>
      </x:c>
      <x:c r="J10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31" t="str">
        <x:v>zh-TW-e2c3f070ae3a</x:v>
      </x:c>
      <x:c r="L1031" t="str">
        <x:v>numbered_total</x:v>
      </x:c>
    </x:row>
    <x:row r="1032">
      <x:c r="A1032" t="str">
        <x:v>NUM-7a87586a411c</x:v>
      </x:c>
      <x:c r="B1032" t="str">
        <x:v>2026-09-26-numbered-totals</x:v>
      </x:c>
      <x:c r="C1032" t="str">
        <x:v>zh-TW</x:v>
      </x:c>
      <x:c r="D1032" t="str">
        <x:v>Start Deck 100</x:v>
      </x:c>
      <x:c r="E1032" t="str">
        <x:v>Numbered total</x:v>
      </x:c>
      <x:c r="F1032" t="n">
        <x:v>422</x:v>
      </x:c>
      <x:c r="G1032" t="str">
        <x:v>reference_bridge_product_numbered_checklist</x:v>
      </x:c>
      <x:c r="H1032" t="str">
        <x:v>https://asia.pokemon-card.com/tw/card-search/ ; https://bulbapedia.bulbagarden.net/wiki/Pok%C3%A9mon_in_Taiwan</x:v>
      </x:c>
      <x:c r="I1032" t="str">
        <x:v>zh-TW; unique numbered-card/checklist identities for this row scope</x:v>
      </x:c>
      <x:c r="J1032" t="str">
        <x:v>Numbered total bridged from the sourced reference-count checklist for this exact row scope. Start Deck 100 Traditional Chinese catalogue identities, aligned to the synchronized numbered checklist; not physical deck quantity.</x:v>
      </x:c>
      <x:c r="K1032" t="str">
        <x:v>zh-TW-79452a9b4969</x:v>
      </x:c>
      <x:c r="L1032" t="str">
        <x:v>numbered_total</x:v>
      </x:c>
    </x:row>
    <x:row r="1033">
      <x:c r="A1033" t="str">
        <x:v>NUM-65b07c502264</x:v>
      </x:c>
      <x:c r="B1033" t="str">
        <x:v>2026-09-26-numbered-totals</x:v>
      </x:c>
      <x:c r="C1033" t="str">
        <x:v>zh-TW</x:v>
      </x:c>
      <x:c r="D1033" t="str">
        <x:v>Battle Region</x:v>
      </x:c>
      <x:c r="E1033" t="str">
        <x:v>Numbered total</x:v>
      </x:c>
      <x:c r="F1033" t="n">
        <x:v>93</x:v>
      </x:c>
      <x:c r="G1033" t="str">
        <x:v>reference_bridge_synchronized_same_numbering</x:v>
      </x:c>
      <x:c r="H1033" t="str">
        <x:v>https://bulbapedia.bulbagarden.net/wiki/Pok%C3%A9mon_in_Taiwan ; https://asia.pokemon-card.com/tw/card-search/</x:v>
      </x:c>
      <x:c r="I1033" t="str">
        <x:v>zh-TW; unique numbered-card/checklist identities for this row scope</x:v>
      </x:c>
      <x:c r="J1033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33" t="str">
        <x:v>zh-TW-ebfd52323273</x:v>
      </x:c>
      <x:c r="L1033" t="str">
        <x:v>numbered_total</x:v>
      </x:c>
    </x:row>
    <x:row r="1034">
      <x:c r="A1034" t="str">
        <x:v>NUM-a73400af54f6</x:v>
      </x:c>
      <x:c r="B1034" t="str">
        <x:v>2026-09-26-numbered-totals</x:v>
      </x:c>
      <x:c r="C1034" t="str">
        <x:v>zh-TW</x:v>
      </x:c>
      <x:c r="D1034" t="str">
        <x:v>Starter Set VSTAR: Darkrai</x:v>
      </x:c>
      <x:c r="E1034" t="str">
        <x:v>Numbered total</x:v>
      </x:c>
      <x:c r="F1034" t="n">
        <x:v>21</x:v>
      </x:c>
      <x:c r="G1034" t="str">
        <x:v>reference_bridge_product_numbered_checklist</x:v>
      </x:c>
      <x:c r="H1034" t="str">
        <x:v>https://asia.pokemon-card.com/tw/card-search/ ; https://bulbapedia.bulbagarden.net/wiki/Pok%C3%A9mon_in_Taiwan</x:v>
      </x:c>
      <x:c r="I1034" t="str">
        <x:v>zh-TW; unique numbered-card/checklist identities for this row scope</x:v>
      </x:c>
      <x:c r="J1034" t="str">
        <x:v>Numbered total bridged from the sourced reference-count checklist for this exact row scope. Starter Set VSTAR: Darkrai distinct numbered product identities.</x:v>
      </x:c>
      <x:c r="K1034" t="str">
        <x:v>zh-TW-c1e632571ef2</x:v>
      </x:c>
      <x:c r="L1034" t="str">
        <x:v>numbered_total</x:v>
      </x:c>
    </x:row>
    <x:row r="1035">
      <x:c r="A1035" t="str">
        <x:v>NUM-28faefc2b8fc</x:v>
      </x:c>
      <x:c r="B1035" t="str">
        <x:v>2026-09-26-numbered-totals</x:v>
      </x:c>
      <x:c r="C1035" t="str">
        <x:v>zh-TW</x:v>
      </x:c>
      <x:c r="D1035" t="str">
        <x:v>Starter Set VSTAR: Lucario</x:v>
      </x:c>
      <x:c r="E1035" t="str">
        <x:v>Numbered total</x:v>
      </x:c>
      <x:c r="F1035" t="n">
        <x:v>22</x:v>
      </x:c>
      <x:c r="G1035" t="str">
        <x:v>reference_bridge_product_numbered_checklist</x:v>
      </x:c>
      <x:c r="H1035" t="str">
        <x:v>https://asia.pokemon-card.com/tw/card-search/ ; https://bulbapedia.bulbagarden.net/wiki/Pok%C3%A9mon_in_Taiwan</x:v>
      </x:c>
      <x:c r="I1035" t="str">
        <x:v>zh-TW; unique numbered-card/checklist identities for this row scope</x:v>
      </x:c>
      <x:c r="J1035" t="str">
        <x:v>Numbered total bridged from the sourced reference-count checklist for this exact row scope. Starter Set VSTAR: Lucario distinct numbered product identities.</x:v>
      </x:c>
      <x:c r="K1035" t="str">
        <x:v>zh-TW-9b45ecdadbd5</x:v>
      </x:c>
      <x:c r="L1035" t="str">
        <x:v>numbered_total</x:v>
      </x:c>
    </x:row>
    <x:row r="1036">
      <x:c r="A1036" t="str">
        <x:v>NUM-3588619a5423</x:v>
      </x:c>
      <x:c r="B1036" t="str">
        <x:v>2026-09-26-numbered-totals</x:v>
      </x:c>
      <x:c r="C1036" t="str">
        <x:v>zh-TW</x:v>
      </x:c>
      <x:c r="D1036" t="str">
        <x:v>Space Juggler</x:v>
      </x:c>
      <x:c r="E1036" t="str">
        <x:v>Numbered total</x:v>
      </x:c>
      <x:c r="F1036" t="n">
        <x:v>88</x:v>
      </x:c>
      <x:c r="G1036" t="str">
        <x:v>reference_bridge_synchronized_same_numbering</x:v>
      </x:c>
      <x:c r="H1036" t="str">
        <x:v>https://bulbapedia.bulbagarden.net/wiki/Pok%C3%A9mon_in_Taiwan ; https://asia.pokemon-card.com/tw/card-search/</x:v>
      </x:c>
      <x:c r="I1036" t="str">
        <x:v>zh-TW; unique numbered-card/checklist identities for this row scope</x:v>
      </x:c>
      <x:c r="J1036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36" t="str">
        <x:v>zh-TW-eaa598c96da0</x:v>
      </x:c>
      <x:c r="L1036" t="str">
        <x:v>numbered_total</x:v>
      </x:c>
    </x:row>
    <x:row r="1037">
      <x:c r="A1037" t="str">
        <x:v>NUM-ada5beb25c5a</x:v>
      </x:c>
      <x:c r="B1037" t="str">
        <x:v>2026-09-26-numbered-totals</x:v>
      </x:c>
      <x:c r="C1037" t="str">
        <x:v>zh-TW</x:v>
      </x:c>
      <x:c r="D1037" t="str">
        <x:v>Time Gazer</x:v>
      </x:c>
      <x:c r="E1037" t="str">
        <x:v>Numbered total</x:v>
      </x:c>
      <x:c r="F1037" t="n">
        <x:v>88</x:v>
      </x:c>
      <x:c r="G1037" t="str">
        <x:v>reference_bridge_synchronized_same_numbering</x:v>
      </x:c>
      <x:c r="H1037" t="str">
        <x:v>https://bulbapedia.bulbagarden.net/wiki/Pok%C3%A9mon_in_Taiwan ; https://asia.pokemon-card.com/tw/card-search/</x:v>
      </x:c>
      <x:c r="I1037" t="str">
        <x:v>zh-TW; unique numbered-card/checklist identities for this row scope</x:v>
      </x:c>
      <x:c r="J1037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37" t="str">
        <x:v>zh-TW-2fb8917a506c</x:v>
      </x:c>
      <x:c r="L1037" t="str">
        <x:v>numbered_total</x:v>
      </x:c>
    </x:row>
    <x:row r="1038">
      <x:c r="A1038" t="str">
        <x:v>NUM-de42f967603c</x:v>
      </x:c>
      <x:c r="B1038" t="str">
        <x:v>2026-09-26-numbered-totals</x:v>
      </x:c>
      <x:c r="C1038" t="str">
        <x:v>zh-TW</x:v>
      </x:c>
      <x:c r="D1038" t="str">
        <x:v>Dark Phantasma</x:v>
      </x:c>
      <x:c r="E1038" t="str">
        <x:v>Numbered total</x:v>
      </x:c>
      <x:c r="F1038" t="n">
        <x:v>99</x:v>
      </x:c>
      <x:c r="G1038" t="str">
        <x:v>reference_bridge_synchronized_same_numbering</x:v>
      </x:c>
      <x:c r="H1038" t="str">
        <x:v>https://bulbapedia.bulbagarden.net/wiki/Pok%C3%A9mon_in_Taiwan ; https://asia.pokemon-card.com/tw/card-search/</x:v>
      </x:c>
      <x:c r="I1038" t="str">
        <x:v>zh-TW; unique numbered-card/checklist identities for this row scope</x:v>
      </x:c>
      <x:c r="J1038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38" t="str">
        <x:v>zh-TW-34c58ef32c27</x:v>
      </x:c>
      <x:c r="L1038" t="str">
        <x:v>numbered_total</x:v>
      </x:c>
    </x:row>
    <x:row r="1039">
      <x:c r="A1039" t="str">
        <x:v>NUM-d5a93a018a61</x:v>
      </x:c>
      <x:c r="B1039" t="str">
        <x:v>2026-09-26-numbered-totals</x:v>
      </x:c>
      <x:c r="C1039" t="str">
        <x:v>zh-TW</x:v>
      </x:c>
      <x:c r="D1039" t="str">
        <x:v>Pokémon GO</x:v>
      </x:c>
      <x:c r="E1039" t="str">
        <x:v>Numbered total</x:v>
      </x:c>
      <x:c r="F1039" t="n">
        <x:v>93</x:v>
      </x:c>
      <x:c r="G1039" t="str">
        <x:v>reference_bridge_synchronized_same_numbering</x:v>
      </x:c>
      <x:c r="H1039" t="str">
        <x:v>https://bulbapedia.bulbagarden.net/wiki/Pok%C3%A9mon_in_Taiwan ; https://asia.pokemon-card.com/tw/card-search/</x:v>
      </x:c>
      <x:c r="I1039" t="str">
        <x:v>zh-TW; unique numbered-card/checklist identities for this row scope</x:v>
      </x:c>
      <x:c r="J1039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39" t="str">
        <x:v>zh-TW-e470539f39cb</x:v>
      </x:c>
      <x:c r="L1039" t="str">
        <x:v>numbered_total</x:v>
      </x:c>
    </x:row>
    <x:row r="1040">
      <x:c r="A1040" t="str">
        <x:v>NUM-efa634c41248</x:v>
      </x:c>
      <x:c r="B1040" t="str">
        <x:v>2026-09-26-numbered-totals</x:v>
      </x:c>
      <x:c r="C1040" t="str">
        <x:v>zh-TW</x:v>
      </x:c>
      <x:c r="D1040" t="str">
        <x:v>Lost Abyss</x:v>
      </x:c>
      <x:c r="E1040" t="str">
        <x:v>Numbered total</x:v>
      </x:c>
      <x:c r="F1040" t="n">
        <x:v>127</x:v>
      </x:c>
      <x:c r="G1040" t="str">
        <x:v>reference_bridge_synchronized_same_numbering</x:v>
      </x:c>
      <x:c r="H1040" t="str">
        <x:v>https://bulbapedia.bulbagarden.net/wiki/Pok%C3%A9mon_in_Taiwan ; https://asia.pokemon-card.com/tw/card-search/</x:v>
      </x:c>
      <x:c r="I1040" t="str">
        <x:v>zh-TW; unique numbered-card/checklist identities for this row scope</x:v>
      </x:c>
      <x:c r="J1040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40" t="str">
        <x:v>zh-TW-94514bb5b58e</x:v>
      </x:c>
      <x:c r="L1040" t="str">
        <x:v>numbered_total</x:v>
      </x:c>
    </x:row>
    <x:row r="1041">
      <x:c r="A1041" t="str">
        <x:v>NUM-9637d0210c57</x:v>
      </x:c>
      <x:c r="B1041" t="str">
        <x:v>2026-09-26-numbered-totals</x:v>
      </x:c>
      <x:c r="C1041" t="str">
        <x:v>zh-TW</x:v>
      </x:c>
      <x:c r="D1041" t="str">
        <x:v>VSTAR &amp; VMAX High-Class Deck: Deoxys</x:v>
      </x:c>
      <x:c r="E1041" t="str">
        <x:v>Numbered total</x:v>
      </x:c>
      <x:c r="F1041" t="n">
        <x:v>20</x:v>
      </x:c>
      <x:c r="G1041" t="str">
        <x:v>reference_bridge_product_numbered_checklist</x:v>
      </x:c>
      <x:c r="H1041" t="str">
        <x:v>https://asia.pokemon-card.com/tw/card-search/ ; https://bulbapedia.bulbagarden.net/wiki/Pok%C3%A9mon_in_Taiwan</x:v>
      </x:c>
      <x:c r="I1041" t="str">
        <x:v>zh-TW; unique numbered-card/checklist identities for this row scope</x:v>
      </x:c>
      <x:c r="J1041" t="str">
        <x:v>Numbered total bridged from the sourced reference-count checklist for this exact row scope. VSTAR &amp; VMAX High-Class Deck: Deoxys numbered product identities (001/020–020/020); excludes unnumbered/basic-energy duplication.</x:v>
      </x:c>
      <x:c r="K1041" t="str">
        <x:v>zh-TW-b04e14397ea6</x:v>
      </x:c>
      <x:c r="L1041" t="str">
        <x:v>numbered_total</x:v>
      </x:c>
    </x:row>
    <x:row r="1042">
      <x:c r="A1042" t="str">
        <x:v>NUM-bc7745cfa1c0</x:v>
      </x:c>
      <x:c r="B1042" t="str">
        <x:v>2026-09-26-numbered-totals</x:v>
      </x:c>
      <x:c r="C1042" t="str">
        <x:v>zh-TW</x:v>
      </x:c>
      <x:c r="D1042" t="str">
        <x:v>VSTAR &amp; VMAX High-Class Deck: Zeraora</x:v>
      </x:c>
      <x:c r="E1042" t="str">
        <x:v>Numbered total</x:v>
      </x:c>
      <x:c r="F1042" t="n">
        <x:v>20</x:v>
      </x:c>
      <x:c r="G1042" t="str">
        <x:v>reference_bridge_product_numbered_checklist</x:v>
      </x:c>
      <x:c r="H1042" t="str">
        <x:v>https://asia.pokemon-card.com/tw/card-search/ ; https://bulbapedia.bulbagarden.net/wiki/Pok%C3%A9mon_in_Taiwan</x:v>
      </x:c>
      <x:c r="I1042" t="str">
        <x:v>zh-TW; unique numbered-card/checklist identities for this row scope</x:v>
      </x:c>
      <x:c r="J1042" t="str">
        <x:v>Numbered total bridged from the sourced reference-count checklist for this exact row scope. VSTAR &amp; VMAX High-Class Deck: Zeraora numbered product identities (001/020–020/020); excludes unnumbered/basic-energy duplication.</x:v>
      </x:c>
      <x:c r="K1042" t="str">
        <x:v>zh-TW-d5f405f1ae6f</x:v>
      </x:c>
      <x:c r="L1042" t="str">
        <x:v>numbered_total</x:v>
      </x:c>
    </x:row>
    <x:row r="1043">
      <x:c r="A1043" t="str">
        <x:v>NUM-c04c32d8229f</x:v>
      </x:c>
      <x:c r="B1043" t="str">
        <x:v>2026-09-26-numbered-totals</x:v>
      </x:c>
      <x:c r="C1043" t="str">
        <x:v>zh-TW</x:v>
      </x:c>
      <x:c r="D1043" t="str">
        <x:v>VSTAR Special Set</x:v>
      </x:c>
      <x:c r="E1043" t="str">
        <x:v>Numbered total</x:v>
      </x:c>
      <x:c r="F1043" t="n">
        <x:v>6</x:v>
      </x:c>
      <x:c r="G1043" t="str">
        <x:v>reference_bridge_product_numbered_checklist</x:v>
      </x:c>
      <x:c r="H1043" t="str">
        <x:v>https://asia.pokemon-card.com/tw/card-search/ ; https://bulbapedia.bulbagarden.net/wiki/Pok%C3%A9mon_in_Taiwan</x:v>
      </x:c>
      <x:c r="I1043" t="str">
        <x:v>zh-TW; unique numbered-card/checklist identities for this row scope</x:v>
      </x:c>
      <x:c r="J1043" t="str">
        <x:v>Numbered total bridged from the sourced reference-count checklist for this exact row scope. VSTAR Special Set product-specific numbered identities.</x:v>
      </x:c>
      <x:c r="K1043" t="str">
        <x:v>zh-TW-c31260236d59</x:v>
      </x:c>
      <x:c r="L1043" t="str">
        <x:v>numbered_total</x:v>
      </x:c>
    </x:row>
    <x:row r="1044">
      <x:c r="A1044" t="str">
        <x:v>NUM-0779573da03e</x:v>
      </x:c>
      <x:c r="B1044" t="str">
        <x:v>2026-09-26-numbered-totals</x:v>
      </x:c>
      <x:c r="C1044" t="str">
        <x:v>zh-TW</x:v>
      </x:c>
      <x:c r="D1044" t="str">
        <x:v>Incandescent Arcana</x:v>
      </x:c>
      <x:c r="E1044" t="str">
        <x:v>Numbered total</x:v>
      </x:c>
      <x:c r="F1044" t="n">
        <x:v>94</x:v>
      </x:c>
      <x:c r="G1044" t="str">
        <x:v>reference_bridge_synchronized_same_numbering</x:v>
      </x:c>
      <x:c r="H1044" t="str">
        <x:v>https://bulbapedia.bulbagarden.net/wiki/Pok%C3%A9mon_in_Taiwan ; https://asia.pokemon-card.com/tw/card-search/</x:v>
      </x:c>
      <x:c r="I1044" t="str">
        <x:v>zh-TW; unique numbered-card/checklist identities for this row scope</x:v>
      </x:c>
      <x:c r="J1044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44" t="str">
        <x:v>zh-TW-0cda223fc777</x:v>
      </x:c>
      <x:c r="L1044" t="str">
        <x:v>numbered_total</x:v>
      </x:c>
    </x:row>
    <x:row r="1045">
      <x:c r="A1045" t="str">
        <x:v>NUM-d5452e07792d</x:v>
      </x:c>
      <x:c r="B1045" t="str">
        <x:v>2026-09-26-numbered-totals</x:v>
      </x:c>
      <x:c r="C1045" t="str">
        <x:v>zh-TW</x:v>
      </x:c>
      <x:c r="D1045" t="str">
        <x:v>Start Deck 100 Special Edition</x:v>
      </x:c>
      <x:c r="E1045" t="str">
        <x:v>Numbered total</x:v>
      </x:c>
      <x:c r="F1045" t="n">
        <x:v>25</x:v>
      </x:c>
      <x:c r="G1045" t="str">
        <x:v>reference_bridge_product_numbered_checklist</x:v>
      </x:c>
      <x:c r="H1045" t="str">
        <x:v>https://asia.pokemon-card.com/tw/card-search/ ; https://bulbapedia.bulbagarden.net/wiki/Pok%C3%A9mon_in_Taiwan</x:v>
      </x:c>
      <x:c r="I1045" t="str">
        <x:v>zh-TW; unique numbered-card/checklist identities for this row scope</x:v>
      </x:c>
      <x:c r="J1045" t="str">
        <x:v>Numbered total bridged from the sourced reference-count checklist for this exact row scope. Start Deck 100 Special Edition product-specific distinct catalogue identities.</x:v>
      </x:c>
      <x:c r="K1045" t="str">
        <x:v>zh-TW-1d3741cdbc9b</x:v>
      </x:c>
      <x:c r="L1045" t="str">
        <x:v>numbered_total</x:v>
      </x:c>
    </x:row>
    <x:row r="1046">
      <x:c r="A1046" t="str">
        <x:v>NUM-603f200e7e70</x:v>
      </x:c>
      <x:c r="B1046" t="str">
        <x:v>2026-09-26-numbered-totals</x:v>
      </x:c>
      <x:c r="C1046" t="str">
        <x:v>zh-TW</x:v>
      </x:c>
      <x:c r="D1046" t="str">
        <x:v>Paradigm Trigger</x:v>
      </x:c>
      <x:c r="E1046" t="str">
        <x:v>Numbered total</x:v>
      </x:c>
      <x:c r="F1046" t="n">
        <x:v>125</x:v>
      </x:c>
      <x:c r="G1046" t="str">
        <x:v>reference_bridge_synchronized_same_numbering</x:v>
      </x:c>
      <x:c r="H1046" t="str">
        <x:v>https://bulbapedia.bulbagarden.net/wiki/Pok%C3%A9mon_in_Taiwan ; https://asia.pokemon-card.com/tw/card-search/</x:v>
      </x:c>
      <x:c r="I1046" t="str">
        <x:v>zh-TW; unique numbered-card/checklist identities for this row scope</x:v>
      </x:c>
      <x:c r="J1046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46" t="str">
        <x:v>zh-TW-5be09528cd62</x:v>
      </x:c>
      <x:c r="L1046" t="str">
        <x:v>numbered_total</x:v>
      </x:c>
    </x:row>
    <x:row r="1047">
      <x:c r="A1047" t="str">
        <x:v>NUM-5f62d3972023</x:v>
      </x:c>
      <x:c r="B1047" t="str">
        <x:v>2026-09-26-numbered-totals</x:v>
      </x:c>
      <x:c r="C1047" t="str">
        <x:v>zh-TW</x:v>
      </x:c>
      <x:c r="D1047" t="str">
        <x:v>V Start Deck: Charizard</x:v>
      </x:c>
      <x:c r="E1047" t="str">
        <x:v>Numbered total</x:v>
      </x:c>
      <x:c r="F1047" t="n">
        <x:v>21</x:v>
      </x:c>
      <x:c r="G1047" t="str">
        <x:v>reference_bridge_product_numbered_checklist</x:v>
      </x:c>
      <x:c r="H1047" t="str">
        <x:v>https://asia.pokemon-card.com/tw/card-search/ ; https://bulbapedia.bulbagarden.net/wiki/Pok%C3%A9mon_in_Taiwan</x:v>
      </x:c>
      <x:c r="I1047" t="str">
        <x:v>zh-TW; unique numbered-card/checklist identities for this row scope</x:v>
      </x:c>
      <x:c r="J1047" t="str">
        <x:v>Numbered total bridged from the sourced reference-count checklist for this exact row scope. V Start Deck: Charizard distinct numbered identities.</x:v>
      </x:c>
      <x:c r="K1047" t="str">
        <x:v>zh-TW-35e579fae35b</x:v>
      </x:c>
      <x:c r="L1047" t="str">
        <x:v>numbered_total</x:v>
      </x:c>
    </x:row>
    <x:row r="1048">
      <x:c r="A1048" t="str">
        <x:v>NUM-f88ae3354e10</x:v>
      </x:c>
      <x:c r="B1048" t="str">
        <x:v>2026-09-26-numbered-totals</x:v>
      </x:c>
      <x:c r="C1048" t="str">
        <x:v>zh-TW</x:v>
      </x:c>
      <x:c r="D1048" t="str">
        <x:v>V Start Deck: Mewtwo</x:v>
      </x:c>
      <x:c r="E1048" t="str">
        <x:v>Numbered total</x:v>
      </x:c>
      <x:c r="F1048" t="n">
        <x:v>22</x:v>
      </x:c>
      <x:c r="G1048" t="str">
        <x:v>reference_bridge_product_numbered_checklist</x:v>
      </x:c>
      <x:c r="H1048" t="str">
        <x:v>https://asia.pokemon-card.com/tw/card-search/ ; https://bulbapedia.bulbagarden.net/wiki/Pok%C3%A9mon_in_Taiwan</x:v>
      </x:c>
      <x:c r="I1048" t="str">
        <x:v>zh-TW; unique numbered-card/checklist identities for this row scope</x:v>
      </x:c>
      <x:c r="J1048" t="str">
        <x:v>Numbered total bridged from the sourced reference-count checklist for this exact row scope. V Start Deck: Mewtwo distinct numbered identities.</x:v>
      </x:c>
      <x:c r="K1048" t="str">
        <x:v>zh-TW-a438f4fbf85e</x:v>
      </x:c>
      <x:c r="L1048" t="str">
        <x:v>numbered_total</x:v>
      </x:c>
    </x:row>
    <x:row r="1049">
      <x:c r="A1049" t="str">
        <x:v>NUM-2a3d4c65b179</x:v>
      </x:c>
      <x:c r="B1049" t="str">
        <x:v>2026-09-26-numbered-totals</x:v>
      </x:c>
      <x:c r="C1049" t="str">
        <x:v>zh-TW</x:v>
      </x:c>
      <x:c r="D1049" t="str">
        <x:v>V Start Deck: Pikachu</x:v>
      </x:c>
      <x:c r="E1049" t="str">
        <x:v>Numbered total</x:v>
      </x:c>
      <x:c r="F1049" t="n">
        <x:v>22</x:v>
      </x:c>
      <x:c r="G1049" t="str">
        <x:v>reference_bridge_product_numbered_checklist</x:v>
      </x:c>
      <x:c r="H1049" t="str">
        <x:v>https://asia.pokemon-card.com/tw/card-search/ ; https://bulbapedia.bulbagarden.net/wiki/Pok%C3%A9mon_in_Taiwan</x:v>
      </x:c>
      <x:c r="I1049" t="str">
        <x:v>zh-TW; unique numbered-card/checklist identities for this row scope</x:v>
      </x:c>
      <x:c r="J1049" t="str">
        <x:v>Numbered total bridged from the sourced reference-count checklist for this exact row scope. V Start Deck: Pikachu distinct numbered identities.</x:v>
      </x:c>
      <x:c r="K1049" t="str">
        <x:v>zh-TW-698096b84e15</x:v>
      </x:c>
      <x:c r="L1049" t="str">
        <x:v>numbered_total</x:v>
      </x:c>
    </x:row>
    <x:row r="1050">
      <x:c r="A1050" t="str">
        <x:v>NUM-094dd3513db8</x:v>
      </x:c>
      <x:c r="B1050" t="str">
        <x:v>2026-09-26-numbered-totals</x:v>
      </x:c>
      <x:c r="C1050" t="str">
        <x:v>zh-TW</x:v>
      </x:c>
      <x:c r="D1050" t="str">
        <x:v>VSTAR Universe</x:v>
      </x:c>
      <x:c r="E1050" t="str">
        <x:v>Numbered total</x:v>
      </x:c>
      <x:c r="F1050" t="n">
        <x:v>262</x:v>
      </x:c>
      <x:c r="G1050" t="str">
        <x:v>reference_bridge_synchronized_same_numbering</x:v>
      </x:c>
      <x:c r="H1050" t="str">
        <x:v>https://bulbapedia.bulbagarden.net/wiki/Pok%C3%A9mon_in_Taiwan ; https://asia.pokemon-card.com/tw/card-search/</x:v>
      </x:c>
      <x:c r="I1050" t="str">
        <x:v>zh-TW; unique numbered-card/checklist identities for this row scope</x:v>
      </x:c>
      <x:c r="J1050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50" t="str">
        <x:v>zh-TW-f19bf711ab15</x:v>
      </x:c>
      <x:c r="L1050" t="str">
        <x:v>numbered_total</x:v>
      </x:c>
    </x:row>
    <x:row r="1051">
      <x:c r="A1051" t="str">
        <x:v>NUM-f3aeeafb6684</x:v>
      </x:c>
      <x:c r="B1051" t="str">
        <x:v>2026-09-26-numbered-totals</x:v>
      </x:c>
      <x:c r="C1051" t="str">
        <x:v>zh-TW</x:v>
      </x:c>
      <x:c r="D1051" t="str">
        <x:v>Special Deck Set: Charizard VSTAR vs Rayquaza VMAX</x:v>
      </x:c>
      <x:c r="E1051" t="str">
        <x:v>Numbered total</x:v>
      </x:c>
      <x:c r="F1051" t="n">
        <x:v>32</x:v>
      </x:c>
      <x:c r="G1051" t="str">
        <x:v>reference_bridge_product_numbered_checklist</x:v>
      </x:c>
      <x:c r="H1051" t="str">
        <x:v>https://asia.pokemon-card.com/tw/card-search/ ; https://bulbapedia.bulbagarden.net/wiki/Pok%C3%A9mon_in_Taiwan</x:v>
      </x:c>
      <x:c r="I1051" t="str">
        <x:v>zh-TW; unique numbered-card/checklist identities for this row scope</x:v>
      </x:c>
      <x:c r="J1051" t="str">
        <x:v>Numbered total bridged from the sourced reference-count checklist for this exact row scope. Special Deck Set: Charizard VSTAR vs Rayquaza VMAX distinct numbered identities.</x:v>
      </x:c>
      <x:c r="K1051" t="str">
        <x:v>zh-TW-6213b9de84cd</x:v>
      </x:c>
      <x:c r="L1051" t="str">
        <x:v>numbered_total</x:v>
      </x:c>
    </x:row>
    <x:row r="1052">
      <x:c r="A1052" t="str">
        <x:v>NUM-7f3a135e5a00</x:v>
      </x:c>
      <x:c r="B1052" t="str">
        <x:v>2026-09-26-numbered-totals</x:v>
      </x:c>
      <x:c r="C1052" t="str">
        <x:v>zh-TW</x:v>
      </x:c>
      <x:c r="D1052" t="str">
        <x:v>Scarlet ex</x:v>
      </x:c>
      <x:c r="E1052" t="str">
        <x:v>Numbered total</x:v>
      </x:c>
      <x:c r="F1052" t="n">
        <x:v>108</x:v>
      </x:c>
      <x:c r="G1052" t="str">
        <x:v>reference_bridge_synchronized_same_numbering</x:v>
      </x:c>
      <x:c r="H1052" t="str">
        <x:v>https://bulbapedia.bulbagarden.net/wiki/Pok%C3%A9mon_in_Taiwan ; https://asia.pokemon-card.com/tw/card-search/</x:v>
      </x:c>
      <x:c r="I1052" t="str">
        <x:v>zh-TW; unique numbered-card/checklist identities for this row scope</x:v>
      </x:c>
      <x:c r="J1052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52" t="str">
        <x:v>zh-TW-15c77b4e7ab4</x:v>
      </x:c>
      <x:c r="L1052" t="str">
        <x:v>numbered_total</x:v>
      </x:c>
    </x:row>
    <x:row r="1053">
      <x:c r="A1053" t="str">
        <x:v>NUM-5bd2b7f57b68</x:v>
      </x:c>
      <x:c r="B1053" t="str">
        <x:v>2026-09-26-numbered-totals</x:v>
      </x:c>
      <x:c r="C1053" t="str">
        <x:v>zh-TW</x:v>
      </x:c>
      <x:c r="D1053" t="str">
        <x:v>Starter Set ex: Fuecoco &amp; Ampharos ex</x:v>
      </x:c>
      <x:c r="E1053" t="str">
        <x:v>Numbered total</x:v>
      </x:c>
      <x:c r="F1053" t="n">
        <x:v>24</x:v>
      </x:c>
      <x:c r="G1053" t="str">
        <x:v>reference_bridge_product_numbered_checklist</x:v>
      </x:c>
      <x:c r="H1053" t="str">
        <x:v>https://asia.pokemon-card.com/tw/card-search/ ; https://bulbapedia.bulbagarden.net/wiki/Pok%C3%A9mon_in_Taiwan</x:v>
      </x:c>
      <x:c r="I1053" t="str">
        <x:v>zh-TW; unique numbered-card/checklist identities for this row scope</x:v>
      </x:c>
      <x:c r="J1053" t="str">
        <x:v>Numbered total bridged from the sourced reference-count checklist for this exact row scope. Starter Set ex: Fuecoco &amp; Ampharos ex distinct numbered identities.</x:v>
      </x:c>
      <x:c r="K1053" t="str">
        <x:v>zh-TW-1431bed2cddd</x:v>
      </x:c>
      <x:c r="L1053" t="str">
        <x:v>numbered_total</x:v>
      </x:c>
    </x:row>
    <x:row r="1054">
      <x:c r="A1054" t="str">
        <x:v>NUM-cf436bd5f6f8</x:v>
      </x:c>
      <x:c r="B1054" t="str">
        <x:v>2026-09-26-numbered-totals</x:v>
      </x:c>
      <x:c r="C1054" t="str">
        <x:v>zh-TW</x:v>
      </x:c>
      <x:c r="D1054" t="str">
        <x:v>Starter Set ex: Quaxly &amp; Mimikyu ex</x:v>
      </x:c>
      <x:c r="E1054" t="str">
        <x:v>Numbered total</x:v>
      </x:c>
      <x:c r="F1054" t="n">
        <x:v>26</x:v>
      </x:c>
      <x:c r="G1054" t="str">
        <x:v>reference_bridge_product_numbered_checklist</x:v>
      </x:c>
      <x:c r="H1054" t="str">
        <x:v>https://asia.pokemon-card.com/tw/card-search/ ; https://bulbapedia.bulbagarden.net/wiki/Pok%C3%A9mon_in_Taiwan</x:v>
      </x:c>
      <x:c r="I1054" t="str">
        <x:v>zh-TW; unique numbered-card/checklist identities for this row scope</x:v>
      </x:c>
      <x:c r="J1054" t="str">
        <x:v>Numbered total bridged from the sourced reference-count checklist for this exact row scope. Starter Set ex: Quaxly &amp; Mimikyu ex distinct numbered identities.</x:v>
      </x:c>
      <x:c r="K1054" t="str">
        <x:v>zh-TW-0e91100f19e4</x:v>
      </x:c>
      <x:c r="L1054" t="str">
        <x:v>numbered_total</x:v>
      </x:c>
    </x:row>
    <x:row r="1055">
      <x:c r="A1055" t="str">
        <x:v>NUM-8c5af5eaf561</x:v>
      </x:c>
      <x:c r="B1055" t="str">
        <x:v>2026-09-26-numbered-totals</x:v>
      </x:c>
      <x:c r="C1055" t="str">
        <x:v>zh-TW</x:v>
      </x:c>
      <x:c r="D1055" t="str">
        <x:v>Starter Set ex: Sprigatito &amp; Lucario ex</x:v>
      </x:c>
      <x:c r="E1055" t="str">
        <x:v>Numbered total</x:v>
      </x:c>
      <x:c r="F1055" t="n">
        <x:v>25</x:v>
      </x:c>
      <x:c r="G1055" t="str">
        <x:v>reference_bridge_product_numbered_checklist</x:v>
      </x:c>
      <x:c r="H1055" t="str">
        <x:v>https://asia.pokemon-card.com/tw/card-search/ ; https://bulbapedia.bulbagarden.net/wiki/Pok%C3%A9mon_in_Taiwan</x:v>
      </x:c>
      <x:c r="I1055" t="str">
        <x:v>zh-TW; unique numbered-card/checklist identities for this row scope</x:v>
      </x:c>
      <x:c r="J1055" t="str">
        <x:v>Numbered total bridged from the sourced reference-count checklist for this exact row scope. Starter Set ex: Sprigatito &amp; Lucario ex distinct numbered identities.</x:v>
      </x:c>
      <x:c r="K1055" t="str">
        <x:v>zh-TW-097b4570ee69</x:v>
      </x:c>
      <x:c r="L1055" t="str">
        <x:v>numbered_total</x:v>
      </x:c>
    </x:row>
    <x:row r="1056">
      <x:c r="A1056" t="str">
        <x:v>NUM-ba5076efd934</x:v>
      </x:c>
      <x:c r="B1056" t="str">
        <x:v>2026-09-26-numbered-totals</x:v>
      </x:c>
      <x:c r="C1056" t="str">
        <x:v>zh-TW</x:v>
      </x:c>
      <x:c r="D1056" t="str">
        <x:v>Violet ex</x:v>
      </x:c>
      <x:c r="E1056" t="str">
        <x:v>Numbered total</x:v>
      </x:c>
      <x:c r="F1056" t="n">
        <x:v>108</x:v>
      </x:c>
      <x:c r="G1056" t="str">
        <x:v>reference_bridge_synchronized_same_numbering</x:v>
      </x:c>
      <x:c r="H1056" t="str">
        <x:v>https://bulbapedia.bulbagarden.net/wiki/Pok%C3%A9mon_in_Taiwan ; https://asia.pokemon-card.com/tw/card-search/</x:v>
      </x:c>
      <x:c r="I1056" t="str">
        <x:v>zh-TW; unique numbered-card/checklist identities for this row scope</x:v>
      </x:c>
      <x:c r="J1056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56" t="str">
        <x:v>zh-TW-88527930c211</x:v>
      </x:c>
      <x:c r="L1056" t="str">
        <x:v>numbered_total</x:v>
      </x:c>
    </x:row>
    <x:row r="1057">
      <x:c r="A1057" t="str">
        <x:v>NUM-0a52e11ac094</x:v>
      </x:c>
      <x:c r="B1057" t="str">
        <x:v>2026-09-26-numbered-totals</x:v>
      </x:c>
      <x:c r="C1057" t="str">
        <x:v>zh-TW</x:v>
      </x:c>
      <x:c r="D1057" t="str">
        <x:v>Premium Trainer Box ex</x:v>
      </x:c>
      <x:c r="E1057" t="str">
        <x:v>Numbered total</x:v>
      </x:c>
      <x:c r="F1057" t="n">
        <x:v>36</x:v>
      </x:c>
      <x:c r="G1057" t="str">
        <x:v>reference_bridge_product_numbered_checklist</x:v>
      </x:c>
      <x:c r="H1057" t="str">
        <x:v>https://asia.pokemon-card.com/tw/card-search/ ; https://bulbapedia.bulbagarden.net/wiki/Pok%C3%A9mon_in_Taiwan</x:v>
      </x:c>
      <x:c r="I1057" t="str">
        <x:v>zh-TW; unique numbered-card/checklist identities for this row scope</x:v>
      </x:c>
      <x:c r="J1057" t="str">
        <x:v>Numbered total bridged from the sourced reference-count checklist for this exact row scope. Premium Trainer Box ex product-specific catalogue identities.</x:v>
      </x:c>
      <x:c r="K1057" t="str">
        <x:v>zh-TW-ad64ada63d4e</x:v>
      </x:c>
      <x:c r="L1057" t="str">
        <x:v>numbered_total</x:v>
      </x:c>
    </x:row>
    <x:row r="1058">
      <x:c r="A1058" t="str">
        <x:v>NUM-0fda01285768</x:v>
      </x:c>
      <x:c r="B1058" t="str">
        <x:v>2026-09-26-numbered-totals</x:v>
      </x:c>
      <x:c r="C1058" t="str">
        <x:v>zh-TW</x:v>
      </x:c>
      <x:c r="D1058" t="str">
        <x:v>Triplet Beat</x:v>
      </x:c>
      <x:c r="E1058" t="str">
        <x:v>Numbered total</x:v>
      </x:c>
      <x:c r="F1058" t="n">
        <x:v>103</x:v>
      </x:c>
      <x:c r="G1058" t="str">
        <x:v>reference_bridge_synchronized_same_numbering</x:v>
      </x:c>
      <x:c r="H1058" t="str">
        <x:v>https://bulbapedia.bulbagarden.net/wiki/Pok%C3%A9mon_in_Taiwan ; https://asia.pokemon-card.com/tw/card-search/</x:v>
      </x:c>
      <x:c r="I1058" t="str">
        <x:v>zh-TW; unique numbered-card/checklist identities for this row scope</x:v>
      </x:c>
      <x:c r="J1058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58" t="str">
        <x:v>zh-TW-a9afe84246a2</x:v>
      </x:c>
      <x:c r="L1058" t="str">
        <x:v>numbered_total</x:v>
      </x:c>
    </x:row>
    <x:row r="1059">
      <x:c r="A1059" t="str">
        <x:v>NUM-6a8d54fc98f5</x:v>
      </x:c>
      <x:c r="B1059" t="str">
        <x:v>2026-09-26-numbered-totals</x:v>
      </x:c>
      <x:c r="C1059" t="str">
        <x:v>zh-TW</x:v>
      </x:c>
      <x:c r="D1059" t="str">
        <x:v>Clay Burst</x:v>
      </x:c>
      <x:c r="E1059" t="str">
        <x:v>Numbered total</x:v>
      </x:c>
      <x:c r="F1059" t="n">
        <x:v>99</x:v>
      </x:c>
      <x:c r="G1059" t="str">
        <x:v>reference_bridge_synchronized_same_numbering</x:v>
      </x:c>
      <x:c r="H1059" t="str">
        <x:v>https://bulbapedia.bulbagarden.net/wiki/Pok%C3%A9mon_in_Taiwan ; https://asia.pokemon-card.com/tw/card-search/</x:v>
      </x:c>
      <x:c r="I1059" t="str">
        <x:v>zh-TW; unique numbered-card/checklist identities for this row scope</x:v>
      </x:c>
      <x:c r="J1059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59" t="str">
        <x:v>zh-TW-294bff0baa30</x:v>
      </x:c>
      <x:c r="L1059" t="str">
        <x:v>numbered_total</x:v>
      </x:c>
    </x:row>
    <x:row r="1060">
      <x:c r="A1060" t="str">
        <x:v>NUM-95b92ea799f3</x:v>
      </x:c>
      <x:c r="B1060" t="str">
        <x:v>2026-09-26-numbered-totals</x:v>
      </x:c>
      <x:c r="C1060" t="str">
        <x:v>zh-TW</x:v>
      </x:c>
      <x:c r="D1060" t="str">
        <x:v>Snow Hazard</x:v>
      </x:c>
      <x:c r="E1060" t="str">
        <x:v>Numbered total</x:v>
      </x:c>
      <x:c r="F1060" t="n">
        <x:v>99</x:v>
      </x:c>
      <x:c r="G1060" t="str">
        <x:v>reference_bridge_synchronized_same_numbering</x:v>
      </x:c>
      <x:c r="H1060" t="str">
        <x:v>https://bulbapedia.bulbagarden.net/wiki/Pok%C3%A9mon_in_Taiwan ; https://asia.pokemon-card.com/tw/card-search/</x:v>
      </x:c>
      <x:c r="I1060" t="str">
        <x:v>zh-TW; unique numbered-card/checklist identities for this row scope</x:v>
      </x:c>
      <x:c r="J1060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60" t="str">
        <x:v>zh-TW-2d7f316f10e4</x:v>
      </x:c>
      <x:c r="L1060" t="str">
        <x:v>numbered_total</x:v>
      </x:c>
    </x:row>
    <x:row r="1061">
      <x:c r="A1061" t="str">
        <x:v>NUM-0315054d1be8</x:v>
      </x:c>
      <x:c r="B1061" t="str">
        <x:v>2026-09-26-numbered-totals</x:v>
      </x:c>
      <x:c r="C1061" t="str">
        <x:v>zh-TW</x:v>
      </x:c>
      <x:c r="D1061" t="str">
        <x:v>Starter Set ex: Pikachu Special Set</x:v>
      </x:c>
      <x:c r="E1061" t="str">
        <x:v>Numbered total</x:v>
      </x:c>
      <x:c r="F1061" t="n">
        <x:v>22</x:v>
      </x:c>
      <x:c r="G1061" t="str">
        <x:v>reference_bridge_product_numbered_checklist</x:v>
      </x:c>
      <x:c r="H1061" t="str">
        <x:v>https://asia.pokemon-card.com/tw/card-search/ ; https://bulbapedia.bulbagarden.net/wiki/Pok%C3%A9mon_in_Taiwan</x:v>
      </x:c>
      <x:c r="I1061" t="str">
        <x:v>zh-TW; unique numbered-card/checklist identities for this row scope</x:v>
      </x:c>
      <x:c r="J1061" t="str">
        <x:v>Numbered total bridged from the sourced reference-count checklist for this exact row scope. Starter Set ex: Pikachu Special Set distinct numbered identities.</x:v>
      </x:c>
      <x:c r="K1061" t="str">
        <x:v>zh-TW-51bdd451cf9e</x:v>
      </x:c>
      <x:c r="L1061" t="str">
        <x:v>numbered_total</x:v>
      </x:c>
    </x:row>
    <x:row r="1062">
      <x:c r="A1062" t="str">
        <x:v>NUM-64949f2f3306</x:v>
      </x:c>
      <x:c r="B1062" t="str">
        <x:v>2026-09-26-numbered-totals</x:v>
      </x:c>
      <x:c r="C1062" t="str">
        <x:v>zh-TW</x:v>
      </x:c>
      <x:c r="D1062" t="str">
        <x:v>ex Special Set</x:v>
      </x:c>
      <x:c r="E1062" t="str">
        <x:v>Numbered total</x:v>
      </x:c>
      <x:c r="F1062" t="n">
        <x:v>7</x:v>
      </x:c>
      <x:c r="G1062" t="str">
        <x:v>reference_bridge_product_numbered_checklist</x:v>
      </x:c>
      <x:c r="H1062" t="str">
        <x:v>https://asia.pokemon-card.com/tw/card-search/ ; https://bulbapedia.bulbagarden.net/wiki/Pok%C3%A9mon_in_Taiwan</x:v>
      </x:c>
      <x:c r="I1062" t="str">
        <x:v>zh-TW; unique numbered-card/checklist identities for this row scope</x:v>
      </x:c>
      <x:c r="J1062" t="str">
        <x:v>Numbered total bridged from the sourced reference-count checklist for this exact row scope. ex Special Set product-specific distinct numbered identities.</x:v>
      </x:c>
      <x:c r="K1062" t="str">
        <x:v>zh-TW-2bde775c2fe4</x:v>
      </x:c>
      <x:c r="L1062" t="str">
        <x:v>numbered_total</x:v>
      </x:c>
    </x:row>
    <x:row r="1063">
      <x:c r="A1063" t="str">
        <x:v>NUM-e70b321787cf</x:v>
      </x:c>
      <x:c r="B1063" t="str">
        <x:v>2026-09-26-numbered-totals</x:v>
      </x:c>
      <x:c r="C1063" t="str">
        <x:v>zh-TW</x:v>
      </x:c>
      <x:c r="D1063" t="str">
        <x:v>ex Start Decks</x:v>
      </x:c>
      <x:c r="E1063" t="str">
        <x:v>Numbered total</x:v>
      </x:c>
      <x:c r="F1063" t="n">
        <x:v>147</x:v>
      </x:c>
      <x:c r="G1063" t="str">
        <x:v>reference_bridge_product_numbered_checklist</x:v>
      </x:c>
      <x:c r="H1063" t="str">
        <x:v>https://asia.pokemon-card.com/tw/card-search/ ; https://bulbapedia.bulbagarden.net/wiki/Pok%C3%A9mon_in_Taiwan</x:v>
      </x:c>
      <x:c r="I1063" t="str">
        <x:v>zh-TW; unique numbered-card/checklist identities for this row scope</x:v>
      </x:c>
      <x:c r="J1063" t="str">
        <x:v>Numbered total bridged from the sourced reference-count checklist for this exact row scope. ex Start Decks combined distinct catalogue pool in this product-family scope.</x:v>
      </x:c>
      <x:c r="K1063" t="str">
        <x:v>zh-TW-16c34ed22967</x:v>
      </x:c>
      <x:c r="L1063" t="str">
        <x:v>numbered_total</x:v>
      </x:c>
    </x:row>
    <x:row r="1064">
      <x:c r="A1064" t="str">
        <x:v>NUM-95f52d6ad4f5</x:v>
      </x:c>
      <x:c r="B1064" t="str">
        <x:v>2026-09-26-numbered-totals</x:v>
      </x:c>
      <x:c r="C1064" t="str">
        <x:v>zh-TW</x:v>
      </x:c>
      <x:c r="D1064" t="str">
        <x:v>Deck Build Box Ruler of the Black Flame</x:v>
      </x:c>
      <x:c r="E1064" t="str">
        <x:v>Numbered total</x:v>
      </x:c>
      <x:c r="F1064" t="n">
        <x:v>46</x:v>
      </x:c>
      <x:c r="G1064" t="str">
        <x:v>reference_bridge_product_numbered_checklist</x:v>
      </x:c>
      <x:c r="H1064" t="str">
        <x:v>https://asia.pokemon-card.com/tw/card-search/ ; https://bulbapedia.bulbagarden.net/wiki/Pok%C3%A9mon_in_Taiwan</x:v>
      </x:c>
      <x:c r="I1064" t="str">
        <x:v>zh-TW; unique numbered-card/checklist identities for this row scope</x:v>
      </x:c>
      <x:c r="J1064" t="str">
        <x:v>Numbered total bridged from the sourced reference-count checklist for this exact row scope. Deck Build Box Ruler of the Black Flame product-specific catalogue identities.</x:v>
      </x:c>
      <x:c r="K1064" t="str">
        <x:v>zh-TW-17bf7041d61f</x:v>
      </x:c>
      <x:c r="L1064" t="str">
        <x:v>numbered_total</x:v>
      </x:c>
    </x:row>
    <x:row r="1065">
      <x:c r="A1065" t="str">
        <x:v>NUM-40c72922896a</x:v>
      </x:c>
      <x:c r="B1065" t="str">
        <x:v>2026-09-26-numbered-totals</x:v>
      </x:c>
      <x:c r="C1065" t="str">
        <x:v>zh-TW</x:v>
      </x:c>
      <x:c r="D1065" t="str">
        <x:v>Ruler of the Black Flame</x:v>
      </x:c>
      <x:c r="E1065" t="str">
        <x:v>Numbered total</x:v>
      </x:c>
      <x:c r="F1065" t="n">
        <x:v>141</x:v>
      </x:c>
      <x:c r="G1065" t="str">
        <x:v>reference_bridge_synchronized_same_numbering</x:v>
      </x:c>
      <x:c r="H1065" t="str">
        <x:v>https://bulbapedia.bulbagarden.net/wiki/Pok%C3%A9mon_in_Taiwan ; https://asia.pokemon-card.com/tw/card-search/</x:v>
      </x:c>
      <x:c r="I1065" t="str">
        <x:v>zh-TW; unique numbered-card/checklist identities for this row scope</x:v>
      </x:c>
      <x:c r="J1065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65" t="str">
        <x:v>zh-TW-97582d8a2d7c</x:v>
      </x:c>
      <x:c r="L1065" t="str">
        <x:v>numbered_total</x:v>
      </x:c>
    </x:row>
    <x:row r="1066">
      <x:c r="A1066" t="str">
        <x:v>NUM-326469822672</x:v>
      </x:c>
      <x:c r="B1066" t="str">
        <x:v>2026-09-26-numbered-totals</x:v>
      </x:c>
      <x:c r="C1066" t="str">
        <x:v>zh-TW</x:v>
      </x:c>
      <x:c r="D1066" t="str">
        <x:v>Raging Surf</x:v>
      </x:c>
      <x:c r="E1066" t="str">
        <x:v>Numbered total</x:v>
      </x:c>
      <x:c r="F1066" t="n">
        <x:v>92</x:v>
      </x:c>
      <x:c r="G1066" t="str">
        <x:v>reference_bridge_synchronized_same_numbering</x:v>
      </x:c>
      <x:c r="H1066" t="str">
        <x:v>https://bulbapedia.bulbagarden.net/wiki/Pok%C3%A9mon_in_Taiwan ; https://asia.pokemon-card.com/tw/card-search/</x:v>
      </x:c>
      <x:c r="I1066" t="str">
        <x:v>zh-TW; unique numbered-card/checklist identities for this row scope</x:v>
      </x:c>
      <x:c r="J1066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66" t="str">
        <x:v>zh-TW-a993463f10a7</x:v>
      </x:c>
      <x:c r="L1066" t="str">
        <x:v>numbered_total</x:v>
      </x:c>
    </x:row>
    <x:row r="1067">
      <x:c r="A1067" t="str">
        <x:v>NUM-55632e4533bc</x:v>
      </x:c>
      <x:c r="B1067" t="str">
        <x:v>2026-09-26-numbered-totals</x:v>
      </x:c>
      <x:c r="C1067" t="str">
        <x:v>zh-TW</x:v>
      </x:c>
      <x:c r="D1067" t="str">
        <x:v>Starter Set: Tera Mewtwo ex</x:v>
      </x:c>
      <x:c r="E1067" t="str">
        <x:v>Numbered total</x:v>
      </x:c>
      <x:c r="F1067" t="n">
        <x:v>21</x:v>
      </x:c>
      <x:c r="G1067" t="str">
        <x:v>reference_bridge_product_numbered_checklist</x:v>
      </x:c>
      <x:c r="H1067" t="str">
        <x:v>https://asia.pokemon-card.com/tw/card-search/ ; https://bulbapedia.bulbagarden.net/wiki/Pok%C3%A9mon_in_Taiwan</x:v>
      </x:c>
      <x:c r="I1067" t="str">
        <x:v>zh-TW; unique numbered-card/checklist identities for this row scope</x:v>
      </x:c>
      <x:c r="J1067" t="str">
        <x:v>Numbered total bridged from the sourced reference-count checklist for this exact row scope. Starter Set: Tera Mewtwo ex distinct numbered identities.</x:v>
      </x:c>
      <x:c r="K1067" t="str">
        <x:v>zh-TW-dd10ca3114e3</x:v>
      </x:c>
      <x:c r="L1067" t="str">
        <x:v>numbered_total</x:v>
      </x:c>
    </x:row>
    <x:row r="1068">
      <x:c r="A1068" t="str">
        <x:v>NUM-71cca21255ef</x:v>
      </x:c>
      <x:c r="B1068" t="str">
        <x:v>2026-09-26-numbered-totals</x:v>
      </x:c>
      <x:c r="C1068" t="str">
        <x:v>zh-TW</x:v>
      </x:c>
      <x:c r="D1068" t="str">
        <x:v>Starter Set: Tera Skeledirge ex</x:v>
      </x:c>
      <x:c r="E1068" t="str">
        <x:v>Numbered total</x:v>
      </x:c>
      <x:c r="F1068" t="n">
        <x:v>21</x:v>
      </x:c>
      <x:c r="G1068" t="str">
        <x:v>reference_bridge_product_numbered_checklist</x:v>
      </x:c>
      <x:c r="H1068" t="str">
        <x:v>https://asia.pokemon-card.com/tw/card-search/ ; https://bulbapedia.bulbagarden.net/wiki/Pok%C3%A9mon_in_Taiwan</x:v>
      </x:c>
      <x:c r="I1068" t="str">
        <x:v>zh-TW; unique numbered-card/checklist identities for this row scope</x:v>
      </x:c>
      <x:c r="J1068" t="str">
        <x:v>Numbered total bridged from the sourced reference-count checklist for this exact row scope. Starter Set: Tera Skeledirge ex distinct numbered identities.</x:v>
      </x:c>
      <x:c r="K1068" t="str">
        <x:v>zh-TW-223009b1f580</x:v>
      </x:c>
      <x:c r="L1068" t="str">
        <x:v>numbered_total</x:v>
      </x:c>
    </x:row>
    <x:row r="1069">
      <x:c r="A1069" t="str">
        <x:v>NUM-23266a35ea45</x:v>
      </x:c>
      <x:c r="B1069" t="str">
        <x:v>2026-09-26-numbered-totals</x:v>
      </x:c>
      <x:c r="C1069" t="str">
        <x:v>zh-TW</x:v>
      </x:c>
      <x:c r="D1069" t="str">
        <x:v>Ancient Roar</x:v>
      </x:c>
      <x:c r="E1069" t="str">
        <x:v>Numbered total</x:v>
      </x:c>
      <x:c r="F1069" t="n">
        <x:v>95</x:v>
      </x:c>
      <x:c r="G1069" t="str">
        <x:v>reference_bridge_synchronized_same_numbering</x:v>
      </x:c>
      <x:c r="H1069" t="str">
        <x:v>https://bulbapedia.bulbagarden.net/wiki/Pok%C3%A9mon_in_Taiwan ; https://asia.pokemon-card.com/tw/card-search/</x:v>
      </x:c>
      <x:c r="I1069" t="str">
        <x:v>zh-TW; unique numbered-card/checklist identities for this row scope</x:v>
      </x:c>
      <x:c r="J1069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69" t="str">
        <x:v>zh-TW-6b7f80cfa785</x:v>
      </x:c>
      <x:c r="L1069" t="str">
        <x:v>numbered_total</x:v>
      </x:c>
    </x:row>
    <x:row r="1070">
      <x:c r="A1070" t="str">
        <x:v>NUM-760e93794faf</x:v>
      </x:c>
      <x:c r="B1070" t="str">
        <x:v>2026-09-26-numbered-totals</x:v>
      </x:c>
      <x:c r="C1070" t="str">
        <x:v>zh-TW</x:v>
      </x:c>
      <x:c r="D1070" t="str">
        <x:v>Future Flash</x:v>
      </x:c>
      <x:c r="E1070" t="str">
        <x:v>Numbered total</x:v>
      </x:c>
      <x:c r="F1070" t="n">
        <x:v>95</x:v>
      </x:c>
      <x:c r="G1070" t="str">
        <x:v>reference_bridge_synchronized_same_numbering</x:v>
      </x:c>
      <x:c r="H1070" t="str">
        <x:v>https://bulbapedia.bulbagarden.net/wiki/Pok%C3%A9mon_in_Taiwan ; https://asia.pokemon-card.com/tw/card-search/</x:v>
      </x:c>
      <x:c r="I1070" t="str">
        <x:v>zh-TW; unique numbered-card/checklist identities for this row scope</x:v>
      </x:c>
      <x:c r="J1070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70" t="str">
        <x:v>zh-TW-f036e3380424</x:v>
      </x:c>
      <x:c r="L1070" t="str">
        <x:v>numbered_total</x:v>
      </x:c>
    </x:row>
    <x:row r="1071">
      <x:c r="A1071" t="str">
        <x:v>NUM-46a030cb16b1</x:v>
      </x:c>
      <x:c r="B1071" t="str">
        <x:v>2026-09-26-numbered-totals</x:v>
      </x:c>
      <x:c r="C1071" t="str">
        <x:v>zh-TW</x:v>
      </x:c>
      <x:c r="D1071" t="str">
        <x:v>Cyber Judge</x:v>
      </x:c>
      <x:c r="E1071" t="str">
        <x:v>Numbered total</x:v>
      </x:c>
      <x:c r="F1071" t="n">
        <x:v>100</x:v>
      </x:c>
      <x:c r="G1071" t="str">
        <x:v>reference_bridge_synchronized_same_numbering</x:v>
      </x:c>
      <x:c r="H1071" t="str">
        <x:v>https://bulbapedia.bulbagarden.net/wiki/Pok%C3%A9mon_in_Taiwan ; https://asia.pokemon-card.com/tw/card-search/</x:v>
      </x:c>
      <x:c r="I1071" t="str">
        <x:v>zh-TW; unique numbered-card/checklist identities for this row scope</x:v>
      </x:c>
      <x:c r="J107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71" t="str">
        <x:v>zh-TW-59408e931538</x:v>
      </x:c>
      <x:c r="L1071" t="str">
        <x:v>numbered_total</x:v>
      </x:c>
    </x:row>
    <x:row r="1072">
      <x:c r="A1072" t="str">
        <x:v>NUM-3250df6918c1</x:v>
      </x:c>
      <x:c r="B1072" t="str">
        <x:v>2026-09-26-numbered-totals</x:v>
      </x:c>
      <x:c r="C1072" t="str">
        <x:v>zh-TW</x:v>
      </x:c>
      <x:c r="D1072" t="str">
        <x:v>Starter Set: Ancient Koraidon ex</x:v>
      </x:c>
      <x:c r="E1072" t="str">
        <x:v>Numbered total</x:v>
      </x:c>
      <x:c r="F1072" t="n">
        <x:v>24</x:v>
      </x:c>
      <x:c r="G1072" t="str">
        <x:v>reference_bridge_product_numbered_checklist</x:v>
      </x:c>
      <x:c r="H1072" t="str">
        <x:v>https://asia.pokemon-card.com/tw/card-search/ ; https://bulbapedia.bulbagarden.net/wiki/Pok%C3%A9mon_in_Taiwan</x:v>
      </x:c>
      <x:c r="I1072" t="str">
        <x:v>zh-TW; unique numbered-card/checklist identities for this row scope</x:v>
      </x:c>
      <x:c r="J1072" t="str">
        <x:v>Numbered total bridged from the sourced reference-count checklist for this exact row scope. Starter Set: Ancient Koraidon ex distinct numbered identities.</x:v>
      </x:c>
      <x:c r="K1072" t="str">
        <x:v>zh-TW-ce9c29c7e2f0</x:v>
      </x:c>
      <x:c r="L1072" t="str">
        <x:v>numbered_total</x:v>
      </x:c>
    </x:row>
    <x:row r="1073">
      <x:c r="A1073" t="str">
        <x:v>NUM-276c320bcfe4</x:v>
      </x:c>
      <x:c r="B1073" t="str">
        <x:v>2026-09-26-numbered-totals</x:v>
      </x:c>
      <x:c r="C1073" t="str">
        <x:v>zh-TW</x:v>
      </x:c>
      <x:c r="D1073" t="str">
        <x:v>Starter Set: Future Miraidon ex</x:v>
      </x:c>
      <x:c r="E1073" t="str">
        <x:v>Numbered total</x:v>
      </x:c>
      <x:c r="F1073" t="n">
        <x:v>24</x:v>
      </x:c>
      <x:c r="G1073" t="str">
        <x:v>reference_bridge_product_numbered_checklist</x:v>
      </x:c>
      <x:c r="H1073" t="str">
        <x:v>https://asia.pokemon-card.com/tw/card-search/ ; https://bulbapedia.bulbagarden.net/wiki/Pok%C3%A9mon_in_Taiwan</x:v>
      </x:c>
      <x:c r="I1073" t="str">
        <x:v>zh-TW; unique numbered-card/checklist identities for this row scope</x:v>
      </x:c>
      <x:c r="J1073" t="str">
        <x:v>Numbered total bridged from the sourced reference-count checklist for this exact row scope. Starter Set: Future Miraidon ex distinct numbered identities.</x:v>
      </x:c>
      <x:c r="K1073" t="str">
        <x:v>zh-TW-016cca521d10</x:v>
      </x:c>
      <x:c r="L1073" t="str">
        <x:v>numbered_total</x:v>
      </x:c>
    </x:row>
    <x:row r="1074">
      <x:c r="A1074" t="str">
        <x:v>NUM-49494ccd43ec</x:v>
      </x:c>
      <x:c r="B1074" t="str">
        <x:v>2026-09-26-numbered-totals</x:v>
      </x:c>
      <x:c r="C1074" t="str">
        <x:v>zh-TW</x:v>
      </x:c>
      <x:c r="D1074" t="str">
        <x:v>Wild Force</x:v>
      </x:c>
      <x:c r="E1074" t="str">
        <x:v>Numbered total</x:v>
      </x:c>
      <x:c r="F1074" t="n">
        <x:v>100</x:v>
      </x:c>
      <x:c r="G1074" t="str">
        <x:v>reference_bridge_synchronized_same_numbering</x:v>
      </x:c>
      <x:c r="H1074" t="str">
        <x:v>https://bulbapedia.bulbagarden.net/wiki/Pok%C3%A9mon_in_Taiwan ; https://asia.pokemon-card.com/tw/card-search/</x:v>
      </x:c>
      <x:c r="I1074" t="str">
        <x:v>zh-TW; unique numbered-card/checklist identities for this row scope</x:v>
      </x:c>
      <x:c r="J1074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74" t="str">
        <x:v>zh-TW-b6835058e99c</x:v>
      </x:c>
      <x:c r="L1074" t="str">
        <x:v>numbered_total</x:v>
      </x:c>
    </x:row>
    <x:row r="1075">
      <x:c r="A1075" t="str">
        <x:v>NUM-d79bca7ff20e</x:v>
      </x:c>
      <x:c r="B1075" t="str">
        <x:v>2026-09-26-numbered-totals</x:v>
      </x:c>
      <x:c r="C1075" t="str">
        <x:v>zh-TW</x:v>
      </x:c>
      <x:c r="D1075" t="str">
        <x:v>Crimson Haze</x:v>
      </x:c>
      <x:c r="E1075" t="str">
        <x:v>Numbered total</x:v>
      </x:c>
      <x:c r="F1075" t="n">
        <x:v>96</x:v>
      </x:c>
      <x:c r="G1075" t="str">
        <x:v>reference_bridge_synchronized_same_numbering</x:v>
      </x:c>
      <x:c r="H1075" t="str">
        <x:v>https://bulbapedia.bulbagarden.net/wiki/Pok%C3%A9mon_in_Taiwan ; https://asia.pokemon-card.com/tw/card-search/</x:v>
      </x:c>
      <x:c r="I1075" t="str">
        <x:v>zh-TW; unique numbered-card/checklist identities for this row scope</x:v>
      </x:c>
      <x:c r="J1075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75" t="str">
        <x:v>zh-TW-8fe572a829b0</x:v>
      </x:c>
      <x:c r="L1075" t="str">
        <x:v>numbered_total</x:v>
      </x:c>
    </x:row>
    <x:row r="1076">
      <x:c r="A1076" t="str">
        <x:v>NUM-93104b8ae844</x:v>
      </x:c>
      <x:c r="B1076" t="str">
        <x:v>2026-09-26-numbered-totals</x:v>
      </x:c>
      <x:c r="C1076" t="str">
        <x:v>zh-TW</x:v>
      </x:c>
      <x:c r="D1076" t="str">
        <x:v>Transformation Mask</x:v>
      </x:c>
      <x:c r="E1076" t="str">
        <x:v>Numbered total</x:v>
      </x:c>
      <x:c r="F1076" t="n">
        <x:v>133</x:v>
      </x:c>
      <x:c r="G1076" t="str">
        <x:v>reference_bridge_synchronized_same_numbering</x:v>
      </x:c>
      <x:c r="H1076" t="str">
        <x:v>https://bulbapedia.bulbagarden.net/wiki/Pok%C3%A9mon_in_Taiwan ; https://asia.pokemon-card.com/tw/card-search/</x:v>
      </x:c>
      <x:c r="I1076" t="str">
        <x:v>zh-TW; unique numbered-card/checklist identities for this row scope</x:v>
      </x:c>
      <x:c r="J1076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76" t="str">
        <x:v>zh-TW-98e99def19ee</x:v>
      </x:c>
      <x:c r="L1076" t="str">
        <x:v>numbered_total</x:v>
      </x:c>
    </x:row>
    <x:row r="1077">
      <x:c r="A1077" t="str">
        <x:v>NUM-12802a6c9aac</x:v>
      </x:c>
      <x:c r="B1077" t="str">
        <x:v>2026-09-26-numbered-totals</x:v>
      </x:c>
      <x:c r="C1077" t="str">
        <x:v>zh-TW</x:v>
      </x:c>
      <x:c r="D1077" t="str">
        <x:v>Night Wanderer</x:v>
      </x:c>
      <x:c r="E1077" t="str">
        <x:v>Numbered total</x:v>
      </x:c>
      <x:c r="F1077" t="n">
        <x:v>94</x:v>
      </x:c>
      <x:c r="G1077" t="str">
        <x:v>reference_bridge_synchronized_same_numbering</x:v>
      </x:c>
      <x:c r="H1077" t="str">
        <x:v>https://bulbapedia.bulbagarden.net/wiki/Pok%C3%A9mon_in_Taiwan ; https://asia.pokemon-card.com/tw/card-search/</x:v>
      </x:c>
      <x:c r="I1077" t="str">
        <x:v>zh-TW; unique numbered-card/checklist identities for this row scope</x:v>
      </x:c>
      <x:c r="J1077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77" t="str">
        <x:v>zh-TW-04373519f7b5</x:v>
      </x:c>
      <x:c r="L1077" t="str">
        <x:v>numbered_total</x:v>
      </x:c>
    </x:row>
    <x:row r="1078">
      <x:c r="A1078" t="str">
        <x:v>NUM-75c1866318f0</x:v>
      </x:c>
      <x:c r="B1078" t="str">
        <x:v>2026-09-26-numbered-totals</x:v>
      </x:c>
      <x:c r="C1078" t="str">
        <x:v>zh-TW</x:v>
      </x:c>
      <x:c r="D1078" t="str">
        <x:v>Tactical Deck: Gardevoir ex</x:v>
      </x:c>
      <x:c r="E1078" t="str">
        <x:v>Numbered total</x:v>
      </x:c>
      <x:c r="F1078" t="n">
        <x:v>22</x:v>
      </x:c>
      <x:c r="G1078" t="str">
        <x:v>reference_bridge_product_numbered_checklist</x:v>
      </x:c>
      <x:c r="H1078" t="str">
        <x:v>https://asia.pokemon-card.com/tw/card-search/ ; https://bulbapedia.bulbagarden.net/wiki/Pok%C3%A9mon_in_Taiwan</x:v>
      </x:c>
      <x:c r="I1078" t="str">
        <x:v>zh-TW; unique numbered-card/checklist identities for this row scope</x:v>
      </x:c>
      <x:c r="J1078" t="str">
        <x:v>Numbered total bridged from the sourced reference-count checklist for this exact row scope. Tactical Deck: Gardevoir ex distinct numbered identities.</x:v>
      </x:c>
      <x:c r="K1078" t="str">
        <x:v>zh-TW-4de816b05a4e</x:v>
      </x:c>
      <x:c r="L1078" t="str">
        <x:v>numbered_total</x:v>
      </x:c>
    </x:row>
    <x:row r="1079">
      <x:c r="A1079" t="str">
        <x:v>NUM-51d2c52a6b6a</x:v>
      </x:c>
      <x:c r="B1079" t="str">
        <x:v>2026-09-26-numbered-totals</x:v>
      </x:c>
      <x:c r="C1079" t="str">
        <x:v>zh-TW</x:v>
      </x:c>
      <x:c r="D1079" t="str">
        <x:v>Tactical Deck: Meowscarada ex</x:v>
      </x:c>
      <x:c r="E1079" t="str">
        <x:v>Numbered total</x:v>
      </x:c>
      <x:c r="F1079" t="n">
        <x:v>22</x:v>
      </x:c>
      <x:c r="G1079" t="str">
        <x:v>reference_bridge_product_numbered_checklist</x:v>
      </x:c>
      <x:c r="H1079" t="str">
        <x:v>https://asia.pokemon-card.com/tw/card-search/ ; https://bulbapedia.bulbagarden.net/wiki/Pok%C3%A9mon_in_Taiwan</x:v>
      </x:c>
      <x:c r="I1079" t="str">
        <x:v>zh-TW; unique numbered-card/checklist identities for this row scope</x:v>
      </x:c>
      <x:c r="J1079" t="str">
        <x:v>Numbered total bridged from the sourced reference-count checklist for this exact row scope. Tactical Deck: Meowscarada ex distinct numbered identities.</x:v>
      </x:c>
      <x:c r="K1079" t="str">
        <x:v>zh-TW-c9078c8d0f32</x:v>
      </x:c>
      <x:c r="L1079" t="str">
        <x:v>numbered_total</x:v>
      </x:c>
    </x:row>
    <x:row r="1080">
      <x:c r="A1080" t="str">
        <x:v>NUM-f0b8fe4c2f60</x:v>
      </x:c>
      <x:c r="B1080" t="str">
        <x:v>2026-09-26-numbered-totals</x:v>
      </x:c>
      <x:c r="C1080" t="str">
        <x:v>zh-TW</x:v>
      </x:c>
      <x:c r="D1080" t="str">
        <x:v>Tactical Deck: Miraidon ex</x:v>
      </x:c>
      <x:c r="E1080" t="str">
        <x:v>Numbered total</x:v>
      </x:c>
      <x:c r="F1080" t="n">
        <x:v>21</x:v>
      </x:c>
      <x:c r="G1080" t="str">
        <x:v>reference_bridge_product_numbered_checklist</x:v>
      </x:c>
      <x:c r="H1080" t="str">
        <x:v>https://asia.pokemon-card.com/tw/card-search/ ; https://bulbapedia.bulbagarden.net/wiki/Pok%C3%A9mon_in_Taiwan</x:v>
      </x:c>
      <x:c r="I1080" t="str">
        <x:v>zh-TW; unique numbered-card/checklist identities for this row scope</x:v>
      </x:c>
      <x:c r="J1080" t="str">
        <x:v>Numbered total bridged from the sourced reference-count checklist for this exact row scope. Tactical Deck: Miraidon ex distinct numbered identities.</x:v>
      </x:c>
      <x:c r="K1080" t="str">
        <x:v>zh-TW-558de9471c94</x:v>
      </x:c>
      <x:c r="L1080" t="str">
        <x:v>numbered_total</x:v>
      </x:c>
    </x:row>
    <x:row r="1081">
      <x:c r="A1081" t="str">
        <x:v>NUM-40846c02bf45</x:v>
      </x:c>
      <x:c r="B1081" t="str">
        <x:v>2026-09-26-numbered-totals</x:v>
      </x:c>
      <x:c r="C1081" t="str">
        <x:v>zh-TW</x:v>
      </x:c>
      <x:c r="D1081" t="str">
        <x:v>Tactical Deck: Scizor ex</x:v>
      </x:c>
      <x:c r="E1081" t="str">
        <x:v>Numbered total</x:v>
      </x:c>
      <x:c r="F1081" t="n">
        <x:v>18</x:v>
      </x:c>
      <x:c r="G1081" t="str">
        <x:v>reference_bridge_product_numbered_checklist</x:v>
      </x:c>
      <x:c r="H1081" t="str">
        <x:v>https://asia.pokemon-card.com/tw/card-search/ ; https://bulbapedia.bulbagarden.net/wiki/Pok%C3%A9mon_in_Taiwan</x:v>
      </x:c>
      <x:c r="I1081" t="str">
        <x:v>zh-TW; unique numbered-card/checklist identities for this row scope</x:v>
      </x:c>
      <x:c r="J1081" t="str">
        <x:v>Numbered total bridged from the sourced reference-count checklist for this exact row scope. Tactical Deck: Scizor ex distinct numbered identities.</x:v>
      </x:c>
      <x:c r="K1081" t="str">
        <x:v>zh-TW-15708abcba22</x:v>
      </x:c>
      <x:c r="L1081" t="str">
        <x:v>numbered_total</x:v>
      </x:c>
    </x:row>
    <x:row r="1082">
      <x:c r="A1082" t="str">
        <x:v>NUM-a715ad2eb3d9</x:v>
      </x:c>
      <x:c r="B1082" t="str">
        <x:v>2026-09-26-numbered-totals</x:v>
      </x:c>
      <x:c r="C1082" t="str">
        <x:v>zh-TW</x:v>
      </x:c>
      <x:c r="D1082" t="str">
        <x:v>Tactical Deck: Tera Charizard ex</x:v>
      </x:c>
      <x:c r="E1082" t="str">
        <x:v>Numbered total</x:v>
      </x:c>
      <x:c r="F1082" t="n">
        <x:v>21</x:v>
      </x:c>
      <x:c r="G1082" t="str">
        <x:v>reference_bridge_product_numbered_checklist</x:v>
      </x:c>
      <x:c r="H1082" t="str">
        <x:v>https://asia.pokemon-card.com/tw/card-search/ ; https://bulbapedia.bulbagarden.net/wiki/Pok%C3%A9mon_in_Taiwan</x:v>
      </x:c>
      <x:c r="I1082" t="str">
        <x:v>zh-TW; unique numbered-card/checklist identities for this row scope</x:v>
      </x:c>
      <x:c r="J1082" t="str">
        <x:v>Numbered total bridged from the sourced reference-count checklist for this exact row scope. Tactical Deck: Tera Charizard ex distinct numbered identities.</x:v>
      </x:c>
      <x:c r="K1082" t="str">
        <x:v>zh-TW-d004bb41fcd7</x:v>
      </x:c>
      <x:c r="L1082" t="str">
        <x:v>numbered_total</x:v>
      </x:c>
    </x:row>
    <x:row r="1083">
      <x:c r="A1083" t="str">
        <x:v>NUM-cfeda3a2c3e3</x:v>
      </x:c>
      <x:c r="B1083" t="str">
        <x:v>2026-09-26-numbered-totals</x:v>
      </x:c>
      <x:c r="C1083" t="str">
        <x:v>zh-TW</x:v>
      </x:c>
      <x:c r="D1083" t="str">
        <x:v>Tactical Deck: Tera Garchomp ex</x:v>
      </x:c>
      <x:c r="E1083" t="str">
        <x:v>Numbered total</x:v>
      </x:c>
      <x:c r="F1083" t="n">
        <x:v>19</x:v>
      </x:c>
      <x:c r="G1083" t="str">
        <x:v>reference_bridge_product_numbered_checklist</x:v>
      </x:c>
      <x:c r="H1083" t="str">
        <x:v>https://asia.pokemon-card.com/tw/card-search/ ; https://bulbapedia.bulbagarden.net/wiki/Pok%C3%A9mon_in_Taiwan</x:v>
      </x:c>
      <x:c r="I1083" t="str">
        <x:v>zh-TW; unique numbered-card/checklist identities for this row scope</x:v>
      </x:c>
      <x:c r="J1083" t="str">
        <x:v>Numbered total bridged from the sourced reference-count checklist for this exact row scope. Tactical Deck: Tera Garchomp ex distinct numbered identities.</x:v>
      </x:c>
      <x:c r="K1083" t="str">
        <x:v>zh-TW-92dede729e8e</x:v>
      </x:c>
      <x:c r="L1083" t="str">
        <x:v>numbered_total</x:v>
      </x:c>
    </x:row>
    <x:row r="1084">
      <x:c r="A1084" t="str">
        <x:v>NUM-5b28bfd13147</x:v>
      </x:c>
      <x:c r="B1084" t="str">
        <x:v>2026-09-26-numbered-totals</x:v>
      </x:c>
      <x:c r="C1084" t="str">
        <x:v>zh-TW</x:v>
      </x:c>
      <x:c r="D1084" t="str">
        <x:v>Stellar Miracle</x:v>
      </x:c>
      <x:c r="E1084" t="str">
        <x:v>Numbered total</x:v>
      </x:c>
      <x:c r="F1084" t="n">
        <x:v>135</x:v>
      </x:c>
      <x:c r="G1084" t="str">
        <x:v>reference_bridge_synchronized_same_numbering</x:v>
      </x:c>
      <x:c r="H1084" t="str">
        <x:v>https://bulbapedia.bulbagarden.net/wiki/Pok%C3%A9mon_in_Taiwan ; https://asia.pokemon-card.com/tw/card-search/</x:v>
      </x:c>
      <x:c r="I1084" t="str">
        <x:v>zh-TW; unique numbered-card/checklist identities for this row scope</x:v>
      </x:c>
      <x:c r="J1084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84" t="str">
        <x:v>zh-TW-2a8a58fea56e</x:v>
      </x:c>
      <x:c r="L1084" t="str">
        <x:v>numbered_total</x:v>
      </x:c>
    </x:row>
    <x:row r="1085">
      <x:c r="A1085" t="str">
        <x:v>NUM-19c9f26c7c04</x:v>
      </x:c>
      <x:c r="B1085" t="str">
        <x:v>2026-09-26-numbered-totals</x:v>
      </x:c>
      <x:c r="C1085" t="str">
        <x:v>zh-TW</x:v>
      </x:c>
      <x:c r="D1085" t="str">
        <x:v>Deck Build Box Paradise Dragona</x:v>
      </x:c>
      <x:c r="E1085" t="str">
        <x:v>Numbered total</x:v>
      </x:c>
      <x:c r="F1085" t="n">
        <x:v>42</x:v>
      </x:c>
      <x:c r="G1085" t="str">
        <x:v>reference_bridge_product_numbered_checklist</x:v>
      </x:c>
      <x:c r="H1085" t="str">
        <x:v>https://asia.pokemon-card.com/tw/card-search/ ; https://bulbapedia.bulbagarden.net/wiki/Pok%C3%A9mon_in_Taiwan</x:v>
      </x:c>
      <x:c r="I1085" t="str">
        <x:v>zh-TW; unique numbered-card/checklist identities for this row scope</x:v>
      </x:c>
      <x:c r="J1085" t="str">
        <x:v>Numbered total bridged from the sourced reference-count checklist for this exact row scope. Deck Build Box Paradise Dragona numbered catalogue identities through 042; not box contents.</x:v>
      </x:c>
      <x:c r="K1085" t="str">
        <x:v>zh-TW-7ed5d482e561</x:v>
      </x:c>
      <x:c r="L1085" t="str">
        <x:v>numbered_total</x:v>
      </x:c>
    </x:row>
    <x:row r="1086">
      <x:c r="A1086" t="str">
        <x:v>NUM-1b4693e7ed41</x:v>
      </x:c>
      <x:c r="B1086" t="str">
        <x:v>2026-09-26-numbered-totals</x:v>
      </x:c>
      <x:c r="C1086" t="str">
        <x:v>zh-TW</x:v>
      </x:c>
      <x:c r="D1086" t="str">
        <x:v>Paradise Dragona</x:v>
      </x:c>
      <x:c r="E1086" t="str">
        <x:v>Numbered total</x:v>
      </x:c>
      <x:c r="F1086" t="n">
        <x:v>94</x:v>
      </x:c>
      <x:c r="G1086" t="str">
        <x:v>reference_bridge_synchronized_same_numbering</x:v>
      </x:c>
      <x:c r="H1086" t="str">
        <x:v>https://bulbapedia.bulbagarden.net/wiki/Pok%C3%A9mon_in_Taiwan ; https://asia.pokemon-card.com/tw/card-search/</x:v>
      </x:c>
      <x:c r="I1086" t="str">
        <x:v>zh-TW; unique numbered-card/checklist identities for this row scope</x:v>
      </x:c>
      <x:c r="J1086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86" t="str">
        <x:v>zh-TW-d3a71a0aa467</x:v>
      </x:c>
      <x:c r="L1086" t="str">
        <x:v>numbered_total</x:v>
      </x:c>
    </x:row>
    <x:row r="1087">
      <x:c r="A1087" t="str">
        <x:v>NUM-daf09405ab80</x:v>
      </x:c>
      <x:c r="B1087" t="str">
        <x:v>2026-09-26-numbered-totals</x:v>
      </x:c>
      <x:c r="C1087" t="str">
        <x:v>zh-TW</x:v>
      </x:c>
      <x:c r="D1087" t="str">
        <x:v>Stellar Tera ex Special Set: Ceruledge ex</x:v>
      </x:c>
      <x:c r="E1087" t="str">
        <x:v>Numbered total</x:v>
      </x:c>
      <x:c r="F1087" t="n">
        <x:v>25</x:v>
      </x:c>
      <x:c r="G1087" t="str">
        <x:v>reference_bridge_product_numbered_checklist</x:v>
      </x:c>
      <x:c r="H1087" t="str">
        <x:v>https://asia.pokemon-card.com/tw/card-search/ ; https://bulbapedia.bulbagarden.net/wiki/Pok%C3%A9mon_in_Taiwan</x:v>
      </x:c>
      <x:c r="I1087" t="str">
        <x:v>zh-TW; unique numbered-card/checklist identities for this row scope</x:v>
      </x:c>
      <x:c r="J1087" t="str">
        <x:v>Numbered total bridged from the sourced reference-count checklist for this exact row scope. Stellar Tera ex Special Set: Ceruledge ex distinct product identities.</x:v>
      </x:c>
      <x:c r="K1087" t="str">
        <x:v>zh-TW-c86b9b559cbe</x:v>
      </x:c>
      <x:c r="L1087" t="str">
        <x:v>numbered_total</x:v>
      </x:c>
    </x:row>
    <x:row r="1088">
      <x:c r="A1088" t="str">
        <x:v>NUM-ef0251170771</x:v>
      </x:c>
      <x:c r="B1088" t="str">
        <x:v>2026-09-26-numbered-totals</x:v>
      </x:c>
      <x:c r="C1088" t="str">
        <x:v>zh-TW</x:v>
      </x:c>
      <x:c r="D1088" t="str">
        <x:v>Stellar Tera ex Special Set: Sylveon ex</x:v>
      </x:c>
      <x:c r="E1088" t="str">
        <x:v>Numbered total</x:v>
      </x:c>
      <x:c r="F1088" t="n">
        <x:v>25</x:v>
      </x:c>
      <x:c r="G1088" t="str">
        <x:v>reference_bridge_product_numbered_checklist</x:v>
      </x:c>
      <x:c r="H1088" t="str">
        <x:v>https://asia.pokemon-card.com/tw/card-search/ ; https://bulbapedia.bulbagarden.net/wiki/Pok%C3%A9mon_in_Taiwan</x:v>
      </x:c>
      <x:c r="I1088" t="str">
        <x:v>zh-TW; unique numbered-card/checklist identities for this row scope</x:v>
      </x:c>
      <x:c r="J1088" t="str">
        <x:v>Numbered total bridged from the sourced reference-count checklist for this exact row scope. Stellar Tera ex Special Set: Sylveon ex distinct product identities.</x:v>
      </x:c>
      <x:c r="K1088" t="str">
        <x:v>zh-TW-1afd1f797fa7</x:v>
      </x:c>
      <x:c r="L1088" t="str">
        <x:v>numbered_total</x:v>
      </x:c>
    </x:row>
    <x:row r="1089">
      <x:c r="A1089" t="str">
        <x:v>NUM-cf3d6152784d</x:v>
      </x:c>
      <x:c r="B1089" t="str">
        <x:v>2026-09-26-numbered-totals</x:v>
      </x:c>
      <x:c r="C1089" t="str">
        <x:v>zh-TW</x:v>
      </x:c>
      <x:c r="D1089" t="str">
        <x:v>Super Electric Breaker</x:v>
      </x:c>
      <x:c r="E1089" t="str">
        <x:v>Numbered total</x:v>
      </x:c>
      <x:c r="F1089" t="n">
        <x:v>138</x:v>
      </x:c>
      <x:c r="G1089" t="str">
        <x:v>reference_bridge_synchronized_same_numbering</x:v>
      </x:c>
      <x:c r="H1089" t="str">
        <x:v>https://bulbapedia.bulbagarden.net/wiki/Pok%C3%A9mon_in_Taiwan ; https://asia.pokemon-card.com/tw/card-search/</x:v>
      </x:c>
      <x:c r="I1089" t="str">
        <x:v>zh-TW; unique numbered-card/checklist identities for this row scope</x:v>
      </x:c>
      <x:c r="J1089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89" t="str">
        <x:v>zh-TW-9fcaa17761b6</x:v>
      </x:c>
      <x:c r="L1089" t="str">
        <x:v>numbered_total</x:v>
      </x:c>
    </x:row>
    <x:row r="1090">
      <x:c r="A1090" t="str">
        <x:v>NUM-b8d39699e901</x:v>
      </x:c>
      <x:c r="B1090" t="str">
        <x:v>2026-09-26-numbered-totals</x:v>
      </x:c>
      <x:c r="C1090" t="str">
        <x:v>zh-TW</x:v>
      </x:c>
      <x:c r="D1090" t="str">
        <x:v>Double ex Start Deck Generations</x:v>
      </x:c>
      <x:c r="E1090" t="str">
        <x:v>Numbered total</x:v>
      </x:c>
      <x:c r="F1090" t="n">
        <x:v>175</x:v>
      </x:c>
      <x:c r="G1090" t="str">
        <x:v>reference_bridge_product_numbered_checklist</x:v>
      </x:c>
      <x:c r="H1090" t="str">
        <x:v>https://asia.pokemon-card.com/tw/card-search/ ; https://bulbapedia.bulbagarden.net/wiki/Pok%C3%A9mon_in_Taiwan</x:v>
      </x:c>
      <x:c r="I1090" t="str">
        <x:v>zh-TW; unique numbered-card/checklist identities for this row scope</x:v>
      </x:c>
      <x:c r="J1090" t="str">
        <x:v>Numbered total bridged from the sourced reference-count checklist for this exact row scope. Double ex Start Deck Generations combined catalogue identities in the product-family checklist scope.</x:v>
      </x:c>
      <x:c r="K1090" t="str">
        <x:v>zh-TW-88100117b37e</x:v>
      </x:c>
      <x:c r="L1090" t="str">
        <x:v>numbered_total</x:v>
      </x:c>
    </x:row>
    <x:row r="1091">
      <x:c r="A1091" t="str">
        <x:v>NUM-726516cd4fa0</x:v>
      </x:c>
      <x:c r="B1091" t="str">
        <x:v>2026-09-26-numbered-totals</x:v>
      </x:c>
      <x:c r="C1091" t="str">
        <x:v>zh-TW</x:v>
      </x:c>
      <x:c r="D1091" t="str">
        <x:v>Terastal Fest ex</x:v>
      </x:c>
      <x:c r="E1091" t="str">
        <x:v>Numbered total</x:v>
      </x:c>
      <x:c r="F1091" t="n">
        <x:v>237</x:v>
      </x:c>
      <x:c r="G1091" t="str">
        <x:v>reference_bridge_synchronized_same_numbering</x:v>
      </x:c>
      <x:c r="H1091" t="str">
        <x:v>https://bulbapedia.bulbagarden.net/wiki/Pok%C3%A9mon_in_Taiwan ; https://asia.pokemon-card.com/tw/card-search/</x:v>
      </x:c>
      <x:c r="I1091" t="str">
        <x:v>zh-TW; unique numbered-card/checklist identities for this row scope</x:v>
      </x:c>
      <x:c r="J109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91" t="str">
        <x:v>zh-TW-49e639772529</x:v>
      </x:c>
      <x:c r="L1091" t="str">
        <x:v>numbered_total</x:v>
      </x:c>
    </x:row>
    <x:row r="1092">
      <x:c r="A1092" t="str">
        <x:v>NUM-18355d7780fa</x:v>
      </x:c>
      <x:c r="B1092" t="str">
        <x:v>2026-09-26-numbered-totals</x:v>
      </x:c>
      <x:c r="C1092" t="str">
        <x:v>zh-TW</x:v>
      </x:c>
      <x:c r="D1092" t="str">
        <x:v>Battle Partners</x:v>
      </x:c>
      <x:c r="E1092" t="str">
        <x:v>Numbered total</x:v>
      </x:c>
      <x:c r="F1092" t="n">
        <x:v>132</x:v>
      </x:c>
      <x:c r="G1092" t="str">
        <x:v>reference_bridge_synchronized_same_numbering</x:v>
      </x:c>
      <x:c r="H1092" t="str">
        <x:v>https://bulbapedia.bulbagarden.net/wiki/Pok%C3%A9mon_in_Taiwan ; https://asia.pokemon-card.com/tw/card-search/</x:v>
      </x:c>
      <x:c r="I1092" t="str">
        <x:v>zh-TW; unique numbered-card/checklist identities for this row scope</x:v>
      </x:c>
      <x:c r="J1092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92" t="str">
        <x:v>zh-TW-ffcdd91b700e</x:v>
      </x:c>
      <x:c r="L1092" t="str">
        <x:v>numbered_total</x:v>
      </x:c>
    </x:row>
    <x:row r="1093">
      <x:c r="A1093" t="str">
        <x:v>NUM-84bb394ca905</x:v>
      </x:c>
      <x:c r="B1093" t="str">
        <x:v>2026-09-26-numbered-totals</x:v>
      </x:c>
      <x:c r="C1093" t="str">
        <x:v>zh-TW</x:v>
      </x:c>
      <x:c r="D1093" t="str">
        <x:v>Challenge Deck: Marnie's Morpeko &amp; Grimmsnarl ex</x:v>
      </x:c>
      <x:c r="E1093" t="str">
        <x:v>Numbered total</x:v>
      </x:c>
      <x:c r="F1093" t="n">
        <x:v>22</x:v>
      </x:c>
      <x:c r="G1093" t="str">
        <x:v>reference_bridge_product_numbered_checklist</x:v>
      </x:c>
      <x:c r="H1093" t="str">
        <x:v>https://asia.pokemon-card.com/tw/card-search/ ; https://bulbapedia.bulbagarden.net/wiki/Pok%C3%A9mon_in_Taiwan</x:v>
      </x:c>
      <x:c r="I1093" t="str">
        <x:v>zh-TW; unique numbered-card/checklist identities for this row scope</x:v>
      </x:c>
      <x:c r="J1093" t="str">
        <x:v>Numbered total bridged from the sourced reference-count checklist for this exact row scope. Marnie's Morpeko &amp; Grimmsnarl ex Challenge Deck: 21-card denominator plus documented 022/021 extra identity.</x:v>
      </x:c>
      <x:c r="K1093" t="str">
        <x:v>zh-TW-15f40046e9ad</x:v>
      </x:c>
      <x:c r="L1093" t="str">
        <x:v>numbered_total</x:v>
      </x:c>
    </x:row>
    <x:row r="1094">
      <x:c r="A1094" t="str">
        <x:v>NUM-c5e559595320</x:v>
      </x:c>
      <x:c r="B1094" t="str">
        <x:v>2026-09-26-numbered-totals</x:v>
      </x:c>
      <x:c r="C1094" t="str">
        <x:v>zh-TW</x:v>
      </x:c>
      <x:c r="D1094" t="str">
        <x:v>Challenge Deck: Steven's Beldum &amp; Metagross ex</x:v>
      </x:c>
      <x:c r="E1094" t="str">
        <x:v>Numbered total</x:v>
      </x:c>
      <x:c r="F1094" t="n">
        <x:v>21</x:v>
      </x:c>
      <x:c r="G1094" t="str">
        <x:v>reference_bridge_product_numbered_checklist</x:v>
      </x:c>
      <x:c r="H1094" t="str">
        <x:v>https://asia.pokemon-card.com/tw/card-search/ ; https://bulbapedia.bulbagarden.net/wiki/Pok%C3%A9mon_in_Taiwan</x:v>
      </x:c>
      <x:c r="I1094" t="str">
        <x:v>zh-TW; unique numbered-card/checklist identities for this row scope</x:v>
      </x:c>
      <x:c r="J1094" t="str">
        <x:v>Numbered total bridged from the sourced reference-count checklist for this exact row scope. Steven's Beldum &amp; Metagross ex Challenge Deck: 20-card denominator plus documented 021/020 extra identity.</x:v>
      </x:c>
      <x:c r="K1094" t="str">
        <x:v>zh-TW-2ffb668f198e</x:v>
      </x:c>
      <x:c r="L1094" t="str">
        <x:v>numbered_total</x:v>
      </x:c>
    </x:row>
    <x:row r="1095">
      <x:c r="A1095" t="str">
        <x:v>NUM-b18019616820</x:v>
      </x:c>
      <x:c r="B1095" t="str">
        <x:v>2026-09-26-numbered-totals</x:v>
      </x:c>
      <x:c r="C1095" t="str">
        <x:v>zh-TW</x:v>
      </x:c>
      <x:c r="D1095" t="str">
        <x:v>Hot Wind Arena</x:v>
      </x:c>
      <x:c r="E1095" t="str">
        <x:v>Numbered total</x:v>
      </x:c>
      <x:c r="F1095" t="n">
        <x:v>92</x:v>
      </x:c>
      <x:c r="G1095" t="str">
        <x:v>reference_bridge_regional_set_checklist</x:v>
      </x:c>
      <x:c r="H1095" t="str">
        <x:v>https://asia.pokemon-card.com/tw/card-search/ ; https://bulbapedia.bulbagarden.net/wiki/Pok%C3%A9mon_in_Taiwan</x:v>
      </x:c>
      <x:c r="I1095" t="str">
        <x:v>zh-TW; unique numbered-card/checklist identities for this row scope</x:v>
      </x:c>
      <x:c r="J1095" t="str">
        <x:v>Numbered total bridged from the sourced reference-count checklist for this exact row scope. Traditional Chinese Hot Wind Arena uses the synchronized Japanese SV9a checklist identity/numbering.</x:v>
      </x:c>
      <x:c r="K1095" t="str">
        <x:v>zh-TW-974fa735782e</x:v>
      </x:c>
      <x:c r="L1095" t="str">
        <x:v>numbered_total</x:v>
      </x:c>
    </x:row>
    <x:row r="1096">
      <x:c r="A1096" t="str">
        <x:v>NUM-2ca964765ec9</x:v>
      </x:c>
      <x:c r="B1096" t="str">
        <x:v>2026-09-26-numbered-totals</x:v>
      </x:c>
      <x:c r="C1096" t="str">
        <x:v>zh-TW</x:v>
      </x:c>
      <x:c r="D1096" t="str">
        <x:v>Glory of the Rocket Gang</x:v>
      </x:c>
      <x:c r="E1096" t="str">
        <x:v>Numbered total</x:v>
      </x:c>
      <x:c r="F1096" t="n">
        <x:v>132</x:v>
      </x:c>
      <x:c r="G1096" t="str">
        <x:v>reference_bridge_synchronized_same_numbering</x:v>
      </x:c>
      <x:c r="H1096" t="str">
        <x:v>https://bulbapedia.bulbagarden.net/wiki/Pok%C3%A9mon_in_Taiwan ; https://asia.pokemon-card.com/tw/card-search/</x:v>
      </x:c>
      <x:c r="I1096" t="str">
        <x:v>zh-TW; unique numbered-card/checklist identities for this row scope</x:v>
      </x:c>
      <x:c r="J1096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96" t="str">
        <x:v>zh-TW-dd68ad1c0890</x:v>
      </x:c>
      <x:c r="L1096" t="str">
        <x:v>numbered_total</x:v>
      </x:c>
    </x:row>
    <x:row r="1097">
      <x:c r="A1097" t="str">
        <x:v>NUM-7e3e00b52b0c</x:v>
      </x:c>
      <x:c r="B1097" t="str">
        <x:v>2026-09-26-numbered-totals</x:v>
      </x:c>
      <x:c r="C1097" t="str">
        <x:v>zh-TW</x:v>
      </x:c>
      <x:c r="D1097" t="str">
        <x:v>Black Bolt</x:v>
      </x:c>
      <x:c r="E1097" t="str">
        <x:v>Numbered total</x:v>
      </x:c>
      <x:c r="F1097" t="n">
        <x:v>174</x:v>
      </x:c>
      <x:c r="G1097" t="str">
        <x:v>reference_bridge_regional_set_checklist</x:v>
      </x:c>
      <x:c r="H1097" t="str">
        <x:v>https://asia.pokemon-card.com/tw/card-search/ ; https://bulbapedia.bulbagarden.net/wiki/Pok%C3%A9mon_in_Taiwan</x:v>
      </x:c>
      <x:c r="I1097" t="str">
        <x:v>zh-TW; unique numbered-card/checklist identities for this row scope</x:v>
      </x:c>
      <x:c r="J1097" t="str">
        <x:v>Numbered total bridged from the sourced reference-count checklist for this exact row scope. Traditional Chinese Black Bolt uses the synchronized Japanese SV11B checklist identity/numbering.</x:v>
      </x:c>
      <x:c r="K1097" t="str">
        <x:v>zh-TW-77c7643aa5ed</x:v>
      </x:c>
      <x:c r="L1097" t="str">
        <x:v>numbered_total</x:v>
      </x:c>
    </x:row>
    <x:row r="1098">
      <x:c r="A1098" t="str">
        <x:v>NUM-c7b80872d953</x:v>
      </x:c>
      <x:c r="B1098" t="str">
        <x:v>2026-09-26-numbered-totals</x:v>
      </x:c>
      <x:c r="C1098" t="str">
        <x:v>zh-TW</x:v>
      </x:c>
      <x:c r="D1098" t="str">
        <x:v>White Flare</x:v>
      </x:c>
      <x:c r="E1098" t="str">
        <x:v>Numbered total</x:v>
      </x:c>
      <x:c r="F1098" t="n">
        <x:v>174</x:v>
      </x:c>
      <x:c r="G1098" t="str">
        <x:v>reference_bridge_synchronized_same_numbering</x:v>
      </x:c>
      <x:c r="H1098" t="str">
        <x:v>https://bulbapedia.bulbagarden.net/wiki/Pok%C3%A9mon_in_Taiwan ; https://asia.pokemon-card.com/tw/card-search/</x:v>
      </x:c>
      <x:c r="I1098" t="str">
        <x:v>zh-TW; unique numbered-card/checklist identities for this row scope</x:v>
      </x:c>
      <x:c r="J1098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098" t="str">
        <x:v>zh-TW-f6512185fc4f</x:v>
      </x:c>
      <x:c r="L1098" t="str">
        <x:v>numbered_total</x:v>
      </x:c>
    </x:row>
    <x:row r="1099">
      <x:c r="A1099" t="str">
        <x:v>NUM-e1bbc0c2386d</x:v>
      </x:c>
      <x:c r="B1099" t="str">
        <x:v>2026-09-26-numbered-totals</x:v>
      </x:c>
      <x:c r="C1099" t="str">
        <x:v>zh-TW</x:v>
      </x:c>
      <x:c r="D1099" t="str">
        <x:v>ex Start Deck: Charizard</x:v>
      </x:c>
      <x:c r="E1099" t="str">
        <x:v>Numbered total</x:v>
      </x:c>
      <x:c r="F1099" t="n">
        <x:v>22</x:v>
      </x:c>
      <x:c r="G1099" t="str">
        <x:v>reference_bridge_product_numbered_checklist</x:v>
      </x:c>
      <x:c r="H1099" t="str">
        <x:v>https://asia.pokemon-card.com/tw/card-search/ ; https://bulbapedia.bulbagarden.net/wiki/Pok%C3%A9mon_in_Taiwan</x:v>
      </x:c>
      <x:c r="I1099" t="str">
        <x:v>zh-TW; unique numbered-card/checklist identities for this row scope</x:v>
      </x:c>
      <x:c r="J1099" t="str">
        <x:v>Numbered total bridged from the sourced reference-count checklist for this exact row scope. ex Start Deck: Charizard distinct numbered identities (001/022–022/022).</x:v>
      </x:c>
      <x:c r="K1099" t="str">
        <x:v>zh-TW-e124fcba7d1d</x:v>
      </x:c>
      <x:c r="L1099" t="str">
        <x:v>numbered_total</x:v>
      </x:c>
    </x:row>
    <x:row r="1100">
      <x:c r="A1100" t="str">
        <x:v>NUM-02ed9a3a97c7</x:v>
      </x:c>
      <x:c r="B1100" t="str">
        <x:v>2026-09-26-numbered-totals</x:v>
      </x:c>
      <x:c r="C1100" t="str">
        <x:v>zh-TW</x:v>
      </x:c>
      <x:c r="D1100" t="str">
        <x:v>ex Start Deck: Pikachu</x:v>
      </x:c>
      <x:c r="E1100" t="str">
        <x:v>Numbered total</x:v>
      </x:c>
      <x:c r="F1100" t="n">
        <x:v>23</x:v>
      </x:c>
      <x:c r="G1100" t="str">
        <x:v>reference_bridge_product_numbered_checklist</x:v>
      </x:c>
      <x:c r="H1100" t="str">
        <x:v>https://asia.pokemon-card.com/tw/card-search/ ; https://bulbapedia.bulbagarden.net/wiki/Pok%C3%A9mon_in_Taiwan</x:v>
      </x:c>
      <x:c r="I1100" t="str">
        <x:v>zh-TW; unique numbered-card/checklist identities for this row scope</x:v>
      </x:c>
      <x:c r="J1100" t="str">
        <x:v>Numbered total bridged from the sourced reference-count checklist for this exact row scope. ex Start Deck: Pikachu distinct numbered identities (001/023–023/023).</x:v>
      </x:c>
      <x:c r="K1100" t="str">
        <x:v>zh-TW-949def28022a</x:v>
      </x:c>
      <x:c r="L1100" t="str">
        <x:v>numbered_total</x:v>
      </x:c>
    </x:row>
    <x:row r="1101">
      <x:c r="A1101" t="str">
        <x:v>NUM-79135016f73b</x:v>
      </x:c>
      <x:c r="B1101" t="str">
        <x:v>2026-09-26-numbered-totals</x:v>
      </x:c>
      <x:c r="C1101" t="str">
        <x:v>zh-TW</x:v>
      </x:c>
      <x:c r="D1101" t="str">
        <x:v>Mega Brave</x:v>
      </x:c>
      <x:c r="E1101" t="str">
        <x:v>Numbered total</x:v>
      </x:c>
      <x:c r="F1101" t="n">
        <x:v>92</x:v>
      </x:c>
      <x:c r="G1101" t="str">
        <x:v>reference_bridge_synchronized_same_numbering</x:v>
      </x:c>
      <x:c r="H1101" t="str">
        <x:v>https://bulbapedia.bulbagarden.net/wiki/Pok%C3%A9mon_in_Taiwan ; https://asia.pokemon-card.com/tw/card-search/</x:v>
      </x:c>
      <x:c r="I1101" t="str">
        <x:v>zh-TW; unique numbered-card/checklist identities for this row scope</x:v>
      </x:c>
      <x:c r="J110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101" t="str">
        <x:v>zh-TW-5cd724144f1f</x:v>
      </x:c>
      <x:c r="L1101" t="str">
        <x:v>numbered_total</x:v>
      </x:c>
    </x:row>
    <x:row r="1102">
      <x:c r="A1102" t="str">
        <x:v>NUM-eaa104d6b6c0</x:v>
      </x:c>
      <x:c r="B1102" t="str">
        <x:v>2026-09-26-numbered-totals</x:v>
      </x:c>
      <x:c r="C1102" t="str">
        <x:v>zh-TW</x:v>
      </x:c>
      <x:c r="D1102" t="str">
        <x:v>Mega Symphonia</x:v>
      </x:c>
      <x:c r="E1102" t="str">
        <x:v>Numbered total</x:v>
      </x:c>
      <x:c r="F1102" t="n">
        <x:v>92</x:v>
      </x:c>
      <x:c r="G1102" t="str">
        <x:v>reference_bridge_synchronized_same_numbering</x:v>
      </x:c>
      <x:c r="H1102" t="str">
        <x:v>https://bulbapedia.bulbagarden.net/wiki/Pok%C3%A9mon_in_Taiwan ; https://asia.pokemon-card.com/tw/card-search/</x:v>
      </x:c>
      <x:c r="I1102" t="str">
        <x:v>zh-TW; unique numbered-card/checklist identities for this row scope</x:v>
      </x:c>
      <x:c r="J1102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102" t="str">
        <x:v>zh-TW-0f37c5f8c336</x:v>
      </x:c>
      <x:c r="L1102" t="str">
        <x:v>numbered_total</x:v>
      </x:c>
    </x:row>
    <x:row r="1103">
      <x:c r="A1103" t="str">
        <x:v>NUM-6e33bacb8f52</x:v>
      </x:c>
      <x:c r="B1103" t="str">
        <x:v>2026-09-26-numbered-totals</x:v>
      </x:c>
      <x:c r="C1103" t="str">
        <x:v>zh-TW</x:v>
      </x:c>
      <x:c r="D1103" t="str">
        <x:v>Challenge Deck: Mega Diancie ex</x:v>
      </x:c>
      <x:c r="E1103" t="str">
        <x:v>Numbered total</x:v>
      </x:c>
      <x:c r="F1103" t="n">
        <x:v>23</x:v>
      </x:c>
      <x:c r="G1103" t="str">
        <x:v>reference_bridge_product_numbered_checklist</x:v>
      </x:c>
      <x:c r="H1103" t="str">
        <x:v>https://asia.pokemon-card.com/tw/card-search/ ; https://bulbapedia.bulbagarden.net/wiki/Pok%C3%A9mon_in_Taiwan</x:v>
      </x:c>
      <x:c r="I1103" t="str">
        <x:v>zh-TW; unique numbered-card/checklist identities for this row scope</x:v>
      </x:c>
      <x:c r="J1103" t="str">
        <x:v>Numbered total bridged from the sourced reference-count checklist for this exact row scope. Challenge Deck: Mega Diancie ex: 22-card denominator plus documented 023/022 extra identity.</x:v>
      </x:c>
      <x:c r="K1103" t="str">
        <x:v>zh-TW-a1a18e45b7d6</x:v>
      </x:c>
      <x:c r="L1103" t="str">
        <x:v>numbered_total</x:v>
      </x:c>
    </x:row>
    <x:row r="1104">
      <x:c r="A1104" t="str">
        <x:v>NUM-c279705eed8a</x:v>
      </x:c>
      <x:c r="B1104" t="str">
        <x:v>2026-09-26-numbered-totals</x:v>
      </x:c>
      <x:c r="C1104" t="str">
        <x:v>zh-TW</x:v>
      </x:c>
      <x:c r="D1104" t="str">
        <x:v>Challenge Deck: Mega Gengar ex</x:v>
      </x:c>
      <x:c r="E1104" t="str">
        <x:v>Numbered total</x:v>
      </x:c>
      <x:c r="F1104" t="n">
        <x:v>23</x:v>
      </x:c>
      <x:c r="G1104" t="str">
        <x:v>reference_bridge_product_numbered_checklist</x:v>
      </x:c>
      <x:c r="H1104" t="str">
        <x:v>https://asia.pokemon-card.com/tw/card-search/ ; https://bulbapedia.bulbagarden.net/wiki/Pok%C3%A9mon_in_Taiwan</x:v>
      </x:c>
      <x:c r="I1104" t="str">
        <x:v>zh-TW; unique numbered-card/checklist identities for this row scope</x:v>
      </x:c>
      <x:c r="J1104" t="str">
        <x:v>Numbered total bridged from the sourced reference-count checklist for this exact row scope. Challenge Deck: Mega Gengar ex: 22-card denominator plus documented 023/022 extra identity.</x:v>
      </x:c>
      <x:c r="K1104" t="str">
        <x:v>zh-TW-4e5a9002b259</x:v>
      </x:c>
      <x:c r="L1104" t="str">
        <x:v>numbered_total</x:v>
      </x:c>
    </x:row>
    <x:row r="1105">
      <x:c r="A1105" t="str">
        <x:v>NUM-73f11bce3612</x:v>
      </x:c>
      <x:c r="B1105" t="str">
        <x:v>2026-09-26-numbered-totals</x:v>
      </x:c>
      <x:c r="C1105" t="str">
        <x:v>zh-TW</x:v>
      </x:c>
      <x:c r="D1105" t="str">
        <x:v>Inferno X</x:v>
      </x:c>
      <x:c r="E1105" t="str">
        <x:v>Numbered total</x:v>
      </x:c>
      <x:c r="F1105" t="n">
        <x:v>116</x:v>
      </x:c>
      <x:c r="G1105" t="str">
        <x:v>reference_bridge_synchronized_same_numbering</x:v>
      </x:c>
      <x:c r="H1105" t="str">
        <x:v>https://bulbapedia.bulbagarden.net/wiki/Pok%C3%A9mon_in_Taiwan ; https://asia.pokemon-card.com/tw/card-search/</x:v>
      </x:c>
      <x:c r="I1105" t="str">
        <x:v>zh-TW; unique numbered-card/checklist identities for this row scope</x:v>
      </x:c>
      <x:c r="J1105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105" t="str">
        <x:v>zh-TW-46e6de88e93e</x:v>
      </x:c>
      <x:c r="L1105" t="str">
        <x:v>numbered_total</x:v>
      </x:c>
    </x:row>
    <x:row r="1106">
      <x:c r="A1106" t="str">
        <x:v>NUM-d482da3ccaf7</x:v>
      </x:c>
      <x:c r="B1106" t="str">
        <x:v>2026-09-26-numbered-totals</x:v>
      </x:c>
      <x:c r="C1106" t="str">
        <x:v>zh-TW</x:v>
      </x:c>
      <x:c r="D1106" t="str">
        <x:v>MEGA Dream ex</x:v>
      </x:c>
      <x:c r="E1106" t="str">
        <x:v>Numbered total</x:v>
      </x:c>
      <x:c r="F1106" t="n">
        <x:v>250</x:v>
      </x:c>
      <x:c r="G1106" t="str">
        <x:v>reference_bridge_synchronized_same_numbering</x:v>
      </x:c>
      <x:c r="H1106" t="str">
        <x:v>https://bulbapedia.bulbagarden.net/wiki/Pok%C3%A9mon_in_Taiwan ; https://asia.pokemon-card.com/tw/card-search/</x:v>
      </x:c>
      <x:c r="I1106" t="str">
        <x:v>zh-TW; unique numbered-card/checklist identities for this row scope</x:v>
      </x:c>
      <x:c r="J1106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106" t="str">
        <x:v>zh-TW-cde90de02356</x:v>
      </x:c>
      <x:c r="L1106" t="str">
        <x:v>numbered_total</x:v>
      </x:c>
    </x:row>
    <x:row r="1107">
      <x:c r="A1107" t="str">
        <x:v>NUM-31fce025e9c3</x:v>
      </x:c>
      <x:c r="B1107" t="str">
        <x:v>2026-09-26-numbered-totals</x:v>
      </x:c>
      <x:c r="C1107" t="str">
        <x:v>zh-TW</x:v>
      </x:c>
      <x:c r="D1107" t="str">
        <x:v>Start Deck 100 Battle Collection</x:v>
      </x:c>
      <x:c r="E1107" t="str">
        <x:v>Numbered total</x:v>
      </x:c>
      <x:c r="F1107" t="n">
        <x:v>742</x:v>
      </x:c>
      <x:c r="G1107" t="str">
        <x:v>reference_bridge_lower_bound_or_numbering_extent</x:v>
      </x:c>
      <x:c r="H1107" t="str">
        <x:v>https://asia.pokemon-card.com/tw/card-search/ ; https://bulbapedia.bulbagarden.net/wiki/Pok%C3%A9mon_in_Taiwan</x:v>
      </x:c>
      <x:c r="I1107" t="str">
        <x:v>zh-TW; unique numbered-card/checklist identities for this row scope</x:v>
      </x:c>
      <x:c r="J1107" t="str">
        <x:v>Numbered total bridged from the sourced reference-count checklist for this exact row scope. Printed denominator / minimum catalogue size for Start Deck 100 Battle Collection. Full beyond-denominator catalogue may be larger; stored deliberately as a lower bound.</x:v>
      </x:c>
      <x:c r="K1107" t="str">
        <x:v>zh-TW-3fe2b38c6ebe</x:v>
      </x:c>
      <x:c r="L1107" t="str">
        <x:v>numbered_total</x:v>
      </x:c>
    </x:row>
    <x:row r="1108">
      <x:c r="A1108" t="str">
        <x:v>NUM-26681712cdc6</x:v>
      </x:c>
      <x:c r="B1108" t="str">
        <x:v>2026-09-26-numbered-totals</x:v>
      </x:c>
      <x:c r="C1108" t="str">
        <x:v>zh-TW</x:v>
      </x:c>
      <x:c r="D1108" t="str">
        <x:v>Nihil Zero</x:v>
      </x:c>
      <x:c r="E1108" t="str">
        <x:v>Numbered total</x:v>
      </x:c>
      <x:c r="F1108" t="n">
        <x:v>117</x:v>
      </x:c>
      <x:c r="G1108" t="str">
        <x:v>reference_bridge_synchronized_same_numbering</x:v>
      </x:c>
      <x:c r="H1108" t="str">
        <x:v>https://bulbapedia.bulbagarden.net/wiki/Pok%C3%A9mon_in_Taiwan ; https://asia.pokemon-card.com/tw/card-search/</x:v>
      </x:c>
      <x:c r="I1108" t="str">
        <x:v>zh-TW; unique numbered-card/checklist identities for this row scope</x:v>
      </x:c>
      <x:c r="J1108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108" t="str">
        <x:v>zh-TW-bc558463633d</x:v>
      </x:c>
      <x:c r="L1108" t="str">
        <x:v>numbered_total</x:v>
      </x:c>
    </x:row>
    <x:row r="1109">
      <x:c r="A1109" t="str">
        <x:v>NUM-6ff02e8f4062</x:v>
      </x:c>
      <x:c r="B1109" t="str">
        <x:v>2026-09-26-numbered-totals</x:v>
      </x:c>
      <x:c r="C1109" t="str">
        <x:v>zh-TW</x:v>
      </x:c>
      <x:c r="D1109" t="str">
        <x:v>Ninja Spinner</x:v>
      </x:c>
      <x:c r="E1109" t="str">
        <x:v>Numbered total</x:v>
      </x:c>
      <x:c r="F1109" t="n">
        <x:v>120</x:v>
      </x:c>
      <x:c r="G1109" t="str">
        <x:v>reference_bridge_synchronized_same_numbering</x:v>
      </x:c>
      <x:c r="H1109" t="str">
        <x:v>https://bulbapedia.bulbagarden.net/wiki/Pok%C3%A9mon_in_Taiwan ; https://asia.pokemon-card.com/tw/card-search/</x:v>
      </x:c>
      <x:c r="I1109" t="str">
        <x:v>zh-TW; unique numbered-card/checklist identities for this row scope</x:v>
      </x:c>
      <x:c r="J1109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109" t="str">
        <x:v>zh-TW-6dd574732d59</x:v>
      </x:c>
      <x:c r="L1109" t="str">
        <x:v>numbered_total</x:v>
      </x:c>
    </x:row>
    <x:row r="1110">
      <x:c r="A1110" t="str">
        <x:v>NUM-51bd33efb758</x:v>
      </x:c>
      <x:c r="B1110" t="str">
        <x:v>2026-09-26-numbered-totals</x:v>
      </x:c>
      <x:c r="C1110" t="str">
        <x:v>zh-TW</x:v>
      </x:c>
      <x:c r="D1110" t="str">
        <x:v>Abyss Eye</x:v>
      </x:c>
      <x:c r="E1110" t="str">
        <x:v>Numbered total</x:v>
      </x:c>
      <x:c r="F1110" t="n">
        <x:v>118</x:v>
      </x:c>
      <x:c r="G1110" t="str">
        <x:v>reference_bridge_synchronized_same_numbering</x:v>
      </x:c>
      <x:c r="H1110" t="str">
        <x:v>https://bulbapedia.bulbagarden.net/wiki/Pok%C3%A9mon_in_Taiwan ; https://asia.pokemon-card.com/tw/card-search/</x:v>
      </x:c>
      <x:c r="I1110" t="str">
        <x:v>zh-TW; unique numbered-card/checklist identities for this row scope</x:v>
      </x:c>
      <x:c r="J1110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110" t="str">
        <x:v>zh-TW-5d0f2c0fb6e0</x:v>
      </x:c>
      <x:c r="L1110" t="str">
        <x:v>numbered_total</x:v>
      </x:c>
    </x:row>
    <x:row r="1111">
      <x:c r="A1111" t="str">
        <x:v>NUM-a72b3e200654</x:v>
      </x:c>
      <x:c r="B1111" t="str">
        <x:v>2026-09-26-numbered-totals</x:v>
      </x:c>
      <x:c r="C1111" t="str">
        <x:v>zh-TW</x:v>
      </x:c>
      <x:c r="D1111" t="str">
        <x:v>Tactical Deck: Mega Charizard X ex</x:v>
      </x:c>
      <x:c r="E1111" t="str">
        <x:v>Numbered total</x:v>
      </x:c>
      <x:c r="F1111" t="n">
        <x:v>23</x:v>
      </x:c>
      <x:c r="G1111" t="str">
        <x:v>reference_bridge_product_numbered_checklist</x:v>
      </x:c>
      <x:c r="H1111" t="str">
        <x:v>https://asia.pokemon-card.com/tw/card-search/ ; https://bulbapedia.bulbagarden.net/wiki/Pok%C3%A9mon_in_Taiwan</x:v>
      </x:c>
      <x:c r="I1111" t="str">
        <x:v>zh-TW; unique numbered-card/checklist identities for this row scope</x:v>
      </x:c>
      <x:c r="J1111" t="str">
        <x:v>Numbered total bridged from the sourced reference-count checklist for this exact row scope. Tactical Deck: Mega Charizard X ex distinct numbered identities.</x:v>
      </x:c>
      <x:c r="K1111" t="str">
        <x:v>zh-TW-860e5a5ea101</x:v>
      </x:c>
      <x:c r="L1111" t="str">
        <x:v>numbered_total</x:v>
      </x:c>
    </x:row>
    <x:row r="1112">
      <x:c r="A1112" t="str">
        <x:v>NUM-f5aa2f1860ef</x:v>
      </x:c>
      <x:c r="B1112" t="str">
        <x:v>2026-09-26-numbered-totals</x:v>
      </x:c>
      <x:c r="C1112" t="str">
        <x:v>zh-TW</x:v>
      </x:c>
      <x:c r="D1112" t="str">
        <x:v>Tactical Deck: Mega Dragonite ex</x:v>
      </x:c>
      <x:c r="E1112" t="str">
        <x:v>Numbered total</x:v>
      </x:c>
      <x:c r="F1112" t="n">
        <x:v>23</x:v>
      </x:c>
      <x:c r="G1112" t="str">
        <x:v>reference_bridge_product_numbered_checklist</x:v>
      </x:c>
      <x:c r="H1112" t="str">
        <x:v>https://asia.pokemon-card.com/tw/card-search/ ; https://bulbapedia.bulbagarden.net/wiki/Pok%C3%A9mon_in_Taiwan</x:v>
      </x:c>
      <x:c r="I1112" t="str">
        <x:v>zh-TW; unique numbered-card/checklist identities for this row scope</x:v>
      </x:c>
      <x:c r="J1112" t="str">
        <x:v>Numbered total bridged from the sourced reference-count checklist for this exact row scope. Tactical Deck: Mega Dragonite ex distinct numbered identities.</x:v>
      </x:c>
      <x:c r="K1112" t="str">
        <x:v>zh-TW-77c7d2bfb26b</x:v>
      </x:c>
      <x:c r="L1112" t="str">
        <x:v>numbered_total</x:v>
      </x:c>
    </x:row>
    <x:row r="1113">
      <x:c r="A1113" t="str">
        <x:v>NUM-c82b77ded66f</x:v>
      </x:c>
      <x:c r="B1113" t="str">
        <x:v>2026-09-26-numbered-totals</x:v>
      </x:c>
      <x:c r="C1113" t="str">
        <x:v>zh-TW</x:v>
      </x:c>
      <x:c r="D1113" t="str">
        <x:v>Tactical Deck: Mega Gardevoir ex</x:v>
      </x:c>
      <x:c r="E1113" t="str">
        <x:v>Numbered total</x:v>
      </x:c>
      <x:c r="F1113" t="n">
        <x:v>23</x:v>
      </x:c>
      <x:c r="G1113" t="str">
        <x:v>reference_bridge_product_numbered_checklist</x:v>
      </x:c>
      <x:c r="H1113" t="str">
        <x:v>https://asia.pokemon-card.com/tw/card-search/ ; https://bulbapedia.bulbagarden.net/wiki/Pok%C3%A9mon_in_Taiwan</x:v>
      </x:c>
      <x:c r="I1113" t="str">
        <x:v>zh-TW; unique numbered-card/checklist identities for this row scope</x:v>
      </x:c>
      <x:c r="J1113" t="str">
        <x:v>Numbered total bridged from the sourced reference-count checklist for this exact row scope. Tactical Deck: Mega Gardevoir ex distinct numbered identities.</x:v>
      </x:c>
      <x:c r="K1113" t="str">
        <x:v>zh-TW-157f7b2ae355</x:v>
      </x:c>
      <x:c r="L1113" t="str">
        <x:v>numbered_total</x:v>
      </x:c>
    </x:row>
    <x:row r="1114">
      <x:c r="A1114" t="str">
        <x:v>NUM-d0ab9ff5987a</x:v>
      </x:c>
      <x:c r="B1114" t="str">
        <x:v>2026-09-26-numbered-totals</x:v>
      </x:c>
      <x:c r="C1114" t="str">
        <x:v>zh-TW</x:v>
      </x:c>
      <x:c r="D1114" t="str">
        <x:v>Tactical Deck: Mega Sharpedo ex</x:v>
      </x:c>
      <x:c r="E1114" t="str">
        <x:v>Numbered total</x:v>
      </x:c>
      <x:c r="F1114" t="n">
        <x:v>20</x:v>
      </x:c>
      <x:c r="G1114" t="str">
        <x:v>reference_bridge_product_numbered_checklist</x:v>
      </x:c>
      <x:c r="H1114" t="str">
        <x:v>https://asia.pokemon-card.com/tw/card-search/ ; https://bulbapedia.bulbagarden.net/wiki/Pok%C3%A9mon_in_Taiwan</x:v>
      </x:c>
      <x:c r="I1114" t="str">
        <x:v>zh-TW; unique numbered-card/checklist identities for this row scope</x:v>
      </x:c>
      <x:c r="J1114" t="str">
        <x:v>Numbered total bridged from the sourced reference-count checklist for this exact row scope. Tactical Deck: Mega Sharpedo ex distinct numbered identities.</x:v>
      </x:c>
      <x:c r="K1114" t="str">
        <x:v>zh-TW-945a283ffa50</x:v>
      </x:c>
      <x:c r="L1114" t="str">
        <x:v>numbered_total</x:v>
      </x:c>
    </x:row>
    <x:row r="1115">
      <x:c r="A1115" t="str">
        <x:v>NUM-a0f4fb3ebedf</x:v>
      </x:c>
      <x:c r="B1115" t="str">
        <x:v>2026-09-26-numbered-totals</x:v>
      </x:c>
      <x:c r="C1115" t="str">
        <x:v>zh-TW</x:v>
      </x:c>
      <x:c r="D1115" t="str">
        <x:v>Storm Emeralda</x:v>
      </x:c>
      <x:c r="E1115" t="str">
        <x:v>Numbered total</x:v>
      </x:c>
      <x:c r="F1115" t="n">
        <x:v>113</x:v>
      </x:c>
      <x:c r="G1115" t="str">
        <x:v>reference_bridge_synchronized_same_numbering</x:v>
      </x:c>
      <x:c r="H1115" t="str">
        <x:v>https://bulbapedia.bulbagarden.net/wiki/Pok%C3%A9mon_in_Taiwan ; https://asia.pokemon-card.com/tw/card-search/</x:v>
      </x:c>
      <x:c r="I1115" t="str">
        <x:v>zh-TW; unique numbered-card/checklist identities for this row scope</x:v>
      </x:c>
      <x:c r="J1115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K1115" t="str">
        <x:v>zh-TW-e1227d8b54e9</x:v>
      </x:c>
      <x:c r="L1115" t="str">
        <x:v>numbered_total</x:v>
      </x:c>
    </x:row>
    <x:row r="1116">
      <x:c r="A1116" t="str">
        <x:v>NUM-a4feed2328ef</x:v>
      </x:c>
      <x:c r="B1116" t="str">
        <x:v>2026-09-26-numbered-totals</x:v>
      </x:c>
      <x:c r="C1116" t="str">
        <x:v>zh-TW</x:v>
      </x:c>
      <x:c r="D1116" t="str">
        <x:v>30th Celebration</x:v>
      </x:c>
      <x:c r="E1116" t="str">
        <x:v>Numbered total</x:v>
      </x:c>
      <x:c r="F1116" t="n">
        <x:v>176</x:v>
      </x:c>
      <x:c r="G1116" t="str">
        <x:v>current_numbering_scheme</x:v>
      </x:c>
      <x:c r="H1116" t="str">
        <x:v>https://www.kado.hk/articles/30th-celebration-30-pikachu-best-art</x:v>
      </x:c>
      <x:c r="I1116" t="str">
        <x:v>zh-TW; unique numbered-card/checklist identities for this row scope</x:v>
      </x:c>
      <x:c r="J1116" t="str">
        <x:v>Current Traditional Chinese M6a catalogue spans the 001–176 numbering scheme.</x:v>
      </x:c>
      <x:c r="K1116" t="str">
        <x:v>zh-TW-3076e4f29fbe</x:v>
      </x:c>
      <x:c r="L1116" t="str">
        <x:v>numbered_total</x:v>
      </x:c>
    </x:row>
    <x:row r="1117">
      <x:c r="A1117" t="str">
        <x:v>NUM-b5415b6a663e</x:v>
      </x:c>
      <x:c r="B1117" t="str">
        <x:v>2026-09-26-numbered-totals</x:v>
      </x:c>
      <x:c r="C1117" t="str">
        <x:v>zh-TW</x:v>
      </x:c>
      <x:c r="D1117" t="str">
        <x:v>Premium Deck Set: Espeon &amp; Umbreon</x:v>
      </x:c>
      <x:c r="E1117" t="str">
        <x:v>Numbered total</x:v>
      </x:c>
      <x:c r="F1117" t="n">
        <x:v>44</x:v>
      </x:c>
      <x:c r="G1117" t="str">
        <x:v>reference_bridge_product_numbered_checklist</x:v>
      </x:c>
      <x:c r="H1117" t="str">
        <x:v>https://asia.pokemon-card.com/tw/card-search/ ; https://bulbapedia.bulbagarden.net/wiki/Pok%C3%A9mon_in_Taiwan</x:v>
      </x:c>
      <x:c r="I1117" t="str">
        <x:v>zh-TW; unique numbered-card/checklist identities for this row scope</x:v>
      </x:c>
      <x:c r="J1117" t="str">
        <x:v>Numbered total bridged from the sourced reference-count checklist for this exact row scope. Premium Deck Set: Espeon &amp; Umbreon distinct numbered identities through 044/040.</x:v>
      </x:c>
      <x:c r="K1117" t="str">
        <x:v>zh-TW-9c14d01812fd</x:v>
      </x:c>
      <x:c r="L1117" t="str">
        <x:v>numbered_total</x:v>
      </x:c>
    </x:row>
    <x:row r="1118">
      <x:c r="A1118" t="str">
        <x:v>NUM-32c327c0d215</x:v>
      </x:c>
      <x:c r="B1118" t="str">
        <x:v>2026-09-26-numbered-totals</x:v>
      </x:c>
      <x:c r="C1118" t="str">
        <x:v>zh-TW</x:v>
      </x:c>
      <x:c r="D1118" t="str">
        <x:v>Mega Evolution Promotional cards</x:v>
      </x:c>
      <x:c r="E1118" t="str">
        <x:v>Numbered total</x:v>
      </x:c>
      <x:c r="F1118" t="n">
        <x:v>144</x:v>
      </x:c>
      <x:c r="G1118" t="str">
        <x:v>reference_bridge_lower_bound_or_numbering_extent</x:v>
      </x:c>
      <x:c r="H1118" t="str">
        <x:v>https://asia.pokemon-card.com/tw/card-search/ ; https://bulbapedia.bulbagarden.net/wiki/Pok%C3%A9mon_in_Taiwan</x:v>
      </x:c>
      <x:c r="I1118" t="str">
        <x:v>zh-TW; unique numbered-card/checklist identities for this row scope</x:v>
      </x:c>
      <x:c r="J1118" t="str">
        <x:v>Numbered total bridged from the sourced reference-count checklist for this exact row scope. Current visible M-P Traditional Chinese promo numbering extent in source snapshot; ongoing series, stored as a lower bound.</x:v>
      </x:c>
      <x:c r="K1118" t="str">
        <x:v>zh-TW-43aee0909785</x:v>
      </x:c>
      <x:c r="L1118" t="str">
        <x:v>numbered_total</x:v>
      </x:c>
    </x:row>
    <x:row r="1119">
      <x:c r="A1119" t="str">
        <x:v>NUM-300c0d6e730b</x:v>
      </x:c>
      <x:c r="B1119" t="str">
        <x:v>2026-09-26-numbered-totals</x:v>
      </x:c>
      <x:c r="C1119" t="str">
        <x:v>zh-TW</x:v>
      </x:c>
      <x:c r="D1119" t="str">
        <x:v>Scarlet &amp; Violet Promotional cards</x:v>
      </x:c>
      <x:c r="E1119" t="str">
        <x:v>Numbered total</x:v>
      </x:c>
      <x:c r="F1119" t="n">
        <x:v>265</x:v>
      </x:c>
      <x:c r="G1119" t="str">
        <x:v>reference_bridge_lower_bound_or_numbering_extent</x:v>
      </x:c>
      <x:c r="H1119" t="str">
        <x:v>https://asia.pokemon-card.com/tw/card-search/ ; https://bulbapedia.bulbagarden.net/wiki/Pok%C3%A9mon_in_Taiwan</x:v>
      </x:c>
      <x:c r="I1119" t="str">
        <x:v>zh-TW; unique numbered-card/checklist identities for this row scope</x:v>
      </x:c>
      <x:c r="J1119" t="str">
        <x:v>Numbered total bridged from the sourced reference-count checklist for this exact row scope. Current Traditional Chinese SV-P promotional catalogue minimum (265+); ongoing series.</x:v>
      </x:c>
      <x:c r="K1119" t="str">
        <x:v>zh-TW-2906d27bb5d9</x:v>
      </x:c>
      <x:c r="L1119" t="str">
        <x:v>numbered_total</x:v>
      </x:c>
    </x:row>
    <x:row r="1120">
      <x:c r="A1120" t="str">
        <x:v>NUM-7030ec12a9cf</x:v>
      </x:c>
      <x:c r="B1120" t="str">
        <x:v>2026-09-26-numbered-totals</x:v>
      </x:c>
      <x:c r="C1120" t="str">
        <x:v>zh-TW</x:v>
      </x:c>
      <x:c r="D1120" t="str">
        <x:v>Sun &amp; Moon Promotional cards</x:v>
      </x:c>
      <x:c r="E1120" t="str">
        <x:v>Numbered total</x:v>
      </x:c>
      <x:c r="F1120" t="n">
        <x:v>78</x:v>
      </x:c>
      <x:c r="G1120" t="str">
        <x:v>reference_bridge_product_numbered_checklist</x:v>
      </x:c>
      <x:c r="H1120" t="str">
        <x:v>https://asia.pokemon-card.com/tw/card-search/ ; https://bulbapedia.bulbagarden.net/wiki/Pok%C3%A9mon_in_Taiwan</x:v>
      </x:c>
      <x:c r="I1120" t="str">
        <x:v>zh-TW; unique numbered-card/checklist identities for this row scope</x:v>
      </x:c>
      <x:c r="J1120" t="str">
        <x:v>Numbered total bridged from the sourced reference-count checklist for this exact row scope. Traditional Chinese SM-P promotional catalogue identities in the referenced catalogue scope.</x:v>
      </x:c>
      <x:c r="K1120" t="str">
        <x:v>zh-TW-a6040164d394</x:v>
      </x:c>
      <x:c r="L1120" t="str">
        <x:v>numbered_total</x:v>
      </x:c>
    </x:row>
    <x:row r="1121">
      <x:c r="A1121" t="str">
        <x:v>NUM-b195761ee580</x:v>
      </x:c>
      <x:c r="B1121" t="str">
        <x:v>2026-09-26-numbered-totals</x:v>
      </x:c>
      <x:c r="C1121" t="str">
        <x:v>zh-TW</x:v>
      </x:c>
      <x:c r="D1121" t="str">
        <x:v>Sword &amp; Shield Promotional cards</x:v>
      </x:c>
      <x:c r="E1121" t="str">
        <x:v>Numbered total</x:v>
      </x:c>
      <x:c r="F1121" t="n">
        <x:v>229</x:v>
      </x:c>
      <x:c r="G1121" t="str">
        <x:v>reference_bridge_lower_bound_or_numbering_extent</x:v>
      </x:c>
      <x:c r="H1121" t="str">
        <x:v>https://asia.pokemon-card.com/tw/card-search/ ; https://bulbapedia.bulbagarden.net/wiki/Pok%C3%A9mon_in_Taiwan</x:v>
      </x:c>
      <x:c r="I1121" t="str">
        <x:v>zh-TW; unique numbered-card/checklist identities for this row scope</x:v>
      </x:c>
      <x:c r="J1121" t="str">
        <x:v>Numbered total bridged from the sourced reference-count checklist for this exact row scope. Current Traditional Chinese S-P promotional catalogue minimum (229+); ongoing series.</x:v>
      </x:c>
      <x:c r="K1121" t="str">
        <x:v>zh-TW-e5a8fb2a002d</x:v>
      </x:c>
      <x:c r="L1121" t="str">
        <x:v>numbered_total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9562dac958684fa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22" hidden="0" customWidth="1"/>
    <x:col min="9" max="9" width="22" hidden="0" customWidth="1"/>
    <x:col min="10" max="10" width="22" hidden="0" customWidth="1"/>
    <x:col min="11" max="11" width="24" hidden="0" customWidth="1"/>
    <x:col min="12" max="12" width="28" hidden="0" customWidth="1"/>
    <x:col min="13" max="13" width="24" hidden="0" customWidth="1"/>
    <x:col min="14" max="14" width="28" hidden="0" customWidth="1"/>
  </x:cols>
  <x:sheetData>
    <x:row r="1" ht="35" customHeight="1">
      <x:c r="A1" s="3" t="str">
        <x:v>COVERAGE  /  BLANK FIELDS REMAINING</x:v>
      </x:c>
      <x:c r="B1" s="3"/>
      <x:c r="C1" s="3"/>
      <x:c r="D1" s="3"/>
      <x:c r="E1" s="3"/>
      <x:c r="F1" s="3"/>
      <x:c r="G1" s="3"/>
      <x:c r="H1" s="3"/>
      <x:c r="I1" s="31"/>
      <x:c r="J1" s="31"/>
      <x:c r="M1" s="31"/>
      <x:c r="N1" s="31"/>
    </x:row>
    <x:row r="2" ht="32" customHeight="1">
      <x:c r="A2" s="7" t="str">
        <x:v>Blank does not always mean an error: some products have no separate code or numbered checklist. These counts exclude your manual progress.</x:v>
      </x:c>
      <x:c r="B2" s="7"/>
      <x:c r="C2" s="7"/>
      <x:c r="D2" s="7"/>
      <x:c r="E2" s="7"/>
      <x:c r="F2" s="7"/>
      <x:c r="G2" s="7"/>
      <x:c r="H2" s="7"/>
      <x:c r="I2" s="31"/>
      <x:c r="J2" s="31"/>
    </x:row>
    <x:row r="3">
      <x:c r="I3" s="31"/>
      <x:c r="J3" s="31"/>
    </x:row>
    <x:row r="4" ht="32" customHeight="1">
      <x:c r="A4" s="11" t="str">
        <x:v>Language</x:v>
      </x:c>
      <x:c r="B4" s="11" t="str">
        <x:v>Field</x:v>
      </x:c>
      <x:c r="C4" s="11" t="str">
        <x:v>Reference entries</x:v>
      </x:c>
      <x:c r="D4" s="11" t="str">
        <x:v>Original blanks</x:v>
      </x:c>
      <x:c r="E4" s="11" t="str">
        <x:v>After first batch</x:v>
      </x:c>
      <x:c r="F4" s="11" t="str">
        <x:v>After round 2</x:v>
      </x:c>
      <x:c r="G4" s="11" t="str">
        <x:v>Filled this batch</x:v>
      </x:c>
      <x:c r="H4" s="11" t="str">
        <x:v>Filled across both</x:v>
      </x:c>
      <x:c r="I4" s="31" t="str">
        <x:v>After canonical-code update</x:v>
      </x:c>
      <x:c r="J4" s="31" t="str">
        <x:v>Additional codes filled</x:v>
      </x:c>
      <x:c r="K4" s="31" t="str">
        <x:v>After reference-count pass</x:v>
      </x:c>
      <x:c r="L4" s="31" t="str">
        <x:v>Reference gaps resolved / N/A</x:v>
      </x:c>
      <x:c r="M4" t="str">
        <x:v>After numbered-total pass</x:v>
      </x:c>
      <x:c r="N4" t="str">
        <x:v>Numbered totals resolved / N/A</x:v>
      </x:c>
    </x:row>
    <x:row r="5" ht="26" customHeight="1">
      <x:c r="A5" s="16" t="str">
        <x:v>en</x:v>
      </x:c>
      <x:c r="B5" s="16" t="str">
        <x:v>Native name</x:v>
      </x:c>
      <x:c r="C5" s="16" t="n">
        <x:v>192</x:v>
      </x:c>
      <x:c r="D5" s="16" t="n">
        <x:v>0</x:v>
      </x:c>
      <x:c r="E5" s="16" t="n">
        <x:v>0</x:v>
      </x:c>
      <x:c r="F5" s="16" t="n">
        <x:v>0</x:v>
      </x:c>
      <x:c r="G5" s="16" t="n">
        <x:f>E5-F5</x:f>
        <x:v>0</x:v>
      </x:c>
      <x:c r="H5" s="16" t="n">
        <x:f>D5-F5</x:f>
        <x:v>0</x:v>
      </x:c>
      <x:c r="I5" s="31" t="n">
        <x:v>0</x:v>
      </x:c>
      <x:c r="J5" s="31" t="n">
        <x:v>0</x:v>
      </x:c>
      <x:c r="K5" s="31" t="n">
        <x:v>0</x:v>
      </x:c>
      <x:c r="L5" s="31" t="n">
        <x:v>0</x:v>
      </x:c>
      <x:c r="M5" t="n">
        <x:v>0</x:v>
      </x:c>
      <x:c r="N5" t="n">
        <x:v>0</x:v>
      </x:c>
    </x:row>
    <x:row r="6" ht="26" customHeight="1">
      <x:c r="A6" s="16" t="str">
        <x:v>en</x:v>
      </x:c>
      <x:c r="B6" s="16" t="str">
        <x:v>Release date</x:v>
      </x:c>
      <x:c r="C6" s="16" t="n">
        <x:v>192</x:v>
      </x:c>
      <x:c r="D6" s="16" t="n">
        <x:v>0</x:v>
      </x:c>
      <x:c r="E6" s="16" t="n">
        <x:v>0</x:v>
      </x:c>
      <x:c r="F6" s="16" t="n">
        <x:v>0</x:v>
      </x:c>
      <x:c r="G6" s="16" t="n">
        <x:f>E6-F6</x:f>
        <x:v>0</x:v>
      </x:c>
      <x:c r="H6" s="16" t="n">
        <x:f>D6-F6</x:f>
        <x:v>0</x:v>
      </x:c>
      <x:c r="I6" s="31" t="n">
        <x:v>0</x:v>
      </x:c>
      <x:c r="J6" s="31" t="n">
        <x:v>0</x:v>
      </x:c>
      <x:c r="K6" s="31" t="n">
        <x:v>0</x:v>
      </x:c>
      <x:c r="L6" s="31" t="n">
        <x:v>0</x:v>
      </x:c>
      <x:c r="M6" t="n">
        <x:v>0</x:v>
      </x:c>
      <x:c r="N6" t="n">
        <x:v>0</x:v>
      </x:c>
    </x:row>
    <x:row r="7" ht="26" customHeight="1">
      <x:c r="A7" s="16" t="str">
        <x:v>en</x:v>
      </x:c>
      <x:c r="B7" s="16" t="str">
        <x:v>Catalogue code</x:v>
      </x:c>
      <x:c r="C7" s="16" t="n">
        <x:v>192</x:v>
      </x:c>
      <x:c r="D7" s="16" t="n">
        <x:v>10</x:v>
      </x:c>
      <x:c r="E7" s="16" t="n">
        <x:v>10</x:v>
      </x:c>
      <x:c r="F7" s="16" t="n">
        <x:v>10</x:v>
      </x:c>
      <x:c r="G7" s="16" t="n">
        <x:f>E7-F7</x:f>
        <x:v>0</x:v>
      </x:c>
      <x:c r="H7" s="16" t="n">
        <x:f>D7-F7</x:f>
        <x:v>0</x:v>
      </x:c>
      <x:c r="I7" s="31" t="n">
        <x:v>0</x:v>
      </x:c>
      <x:c r="J7" s="31" t="n">
        <x:v>10</x:v>
      </x:c>
      <x:c r="K7" s="31" t="n">
        <x:v>0</x:v>
      </x:c>
      <x:c r="L7" s="31" t="n">
        <x:v>0</x:v>
      </x:c>
      <x:c r="M7" t="n">
        <x:v>0</x:v>
      </x:c>
      <x:c r="N7" t="n">
        <x:v>0</x:v>
      </x:c>
    </x:row>
    <x:row r="8" ht="26" customHeight="1">
      <x:c r="A8" s="16" t="str">
        <x:v>en</x:v>
      </x:c>
      <x:c r="B8" s="16" t="str">
        <x:v>Reference count</x:v>
      </x:c>
      <x:c r="C8" s="16" t="n">
        <x:v>192</x:v>
      </x:c>
      <x:c r="D8" s="16" t="n">
        <x:v>13</x:v>
      </x:c>
      <x:c r="E8" s="16" t="n">
        <x:v>13</x:v>
      </x:c>
      <x:c r="F8" s="16" t="n">
        <x:v>13</x:v>
      </x:c>
      <x:c r="G8" s="16" t="n">
        <x:f>E8-F8</x:f>
        <x:v>0</x:v>
      </x:c>
      <x:c r="H8" s="16" t="n">
        <x:f>D8-F8</x:f>
        <x:v>0</x:v>
      </x:c>
      <x:c r="I8" s="31" t="n">
        <x:v>13</x:v>
      </x:c>
      <x:c r="J8" s="31" t="n">
        <x:v>0</x:v>
      </x:c>
      <x:c r="K8" s="31" t="n">
        <x:v>0</x:v>
      </x:c>
      <x:c r="L8" s="31" t="n">
        <x:v>13</x:v>
      </x:c>
      <x:c r="M8" t="n">
        <x:v>0</x:v>
      </x:c>
      <x:c r="N8" t="n">
        <x:v>0</x:v>
      </x:c>
    </x:row>
    <x:row r="9" ht="26" customHeight="1">
      <x:c r="A9" s="16" t="str">
        <x:v>en</x:v>
      </x:c>
      <x:c r="B9" s="16" t="str">
        <x:v>Numbered total</x:v>
      </x:c>
      <x:c r="C9" s="16" t="n">
        <x:v>192</x:v>
      </x:c>
      <x:c r="D9" s="16" t="n">
        <x:v>192</x:v>
      </x:c>
      <x:c r="E9" s="16" t="n">
        <x:v>192</x:v>
      </x:c>
      <x:c r="F9" s="16" t="n">
        <x:v>192</x:v>
      </x:c>
      <x:c r="G9" s="16" t="n">
        <x:f>E9-F9</x:f>
        <x:v>0</x:v>
      </x:c>
      <x:c r="H9" s="16" t="n">
        <x:f>D9-F9</x:f>
        <x:v>0</x:v>
      </x:c>
      <x:c r="I9" s="31" t="n">
        <x:v>192</x:v>
      </x:c>
      <x:c r="J9" s="31" t="n">
        <x:v>0</x:v>
      </x:c>
      <x:c r="K9" s="31" t="n">
        <x:v>192</x:v>
      </x:c>
      <x:c r="L9" s="31" t="n">
        <x:v>0</x:v>
      </x:c>
      <x:c r="M9" t="n">
        <x:v>0</x:v>
      </x:c>
      <x:c r="N9" t="n">
        <x:v>192</x:v>
      </x:c>
    </x:row>
    <x:row r="10" ht="26" customHeight="1">
      <x:c r="A10" s="16" t="str">
        <x:v>ja</x:v>
      </x:c>
      <x:c r="B10" s="16" t="str">
        <x:v>Native name</x:v>
      </x:c>
      <x:c r="C10" s="16" t="n">
        <x:v>246</x:v>
      </x:c>
      <x:c r="D10" s="16" t="n">
        <x:v>46</x:v>
      </x:c>
      <x:c r="E10" s="16" t="n">
        <x:v>34</x:v>
      </x:c>
      <x:c r="F10" s="16" t="n">
        <x:v>21</x:v>
      </x:c>
      <x:c r="G10" s="16" t="n">
        <x:f>E10-F10</x:f>
        <x:v>13</x:v>
      </x:c>
      <x:c r="H10" s="16" t="n">
        <x:f>D10-F10</x:f>
        <x:v>25</x:v>
      </x:c>
      <x:c r="I10" s="31" t="n">
        <x:v>0</x:v>
      </x:c>
      <x:c r="J10" s="31" t="n">
        <x:v>21</x:v>
      </x:c>
      <x:c r="K10" s="31" t="n">
        <x:v>0</x:v>
      </x:c>
      <x:c r="L10" s="31" t="n">
        <x:v>0</x:v>
      </x:c>
      <x:c r="M10" t="n">
        <x:v>0</x:v>
      </x:c>
      <x:c r="N10" t="n">
        <x:v>0</x:v>
      </x:c>
    </x:row>
    <x:row r="11" ht="26" customHeight="1">
      <x:c r="A11" s="16" t="str">
        <x:v>ja</x:v>
      </x:c>
      <x:c r="B11" s="16" t="str">
        <x:v>Release date</x:v>
      </x:c>
      <x:c r="C11" s="16" t="n">
        <x:v>246</x:v>
      </x:c>
      <x:c r="D11" s="16" t="n">
        <x:v>3</x:v>
      </x:c>
      <x:c r="E11" s="16" t="n">
        <x:v>2</x:v>
      </x:c>
      <x:c r="F11" s="16" t="n">
        <x:v>2</x:v>
      </x:c>
      <x:c r="G11" s="16" t="n">
        <x:f>E11-F11</x:f>
        <x:v>0</x:v>
      </x:c>
      <x:c r="H11" s="16" t="n">
        <x:f>D11-F11</x:f>
        <x:v>1</x:v>
      </x:c>
      <x:c r="I11" s="31" t="n">
        <x:v>1</x:v>
      </x:c>
      <x:c r="J11" s="31" t="n">
        <x:v>1</x:v>
      </x:c>
      <x:c r="K11" s="31" t="n">
        <x:v>1</x:v>
      </x:c>
      <x:c r="L11" s="31" t="n">
        <x:v>0</x:v>
      </x:c>
      <x:c r="M11" t="n">
        <x:v>1</x:v>
      </x:c>
      <x:c r="N11" t="n">
        <x:v>0</x:v>
      </x:c>
    </x:row>
    <x:row r="12" ht="26" customHeight="1">
      <x:c r="A12" s="16" t="str">
        <x:v>ja</x:v>
      </x:c>
      <x:c r="B12" s="16" t="str">
        <x:v>Catalogue code</x:v>
      </x:c>
      <x:c r="C12" s="16" t="n">
        <x:v>246</x:v>
      </x:c>
      <x:c r="D12" s="16" t="n">
        <x:v>73</x:v>
      </x:c>
      <x:c r="E12" s="16" t="n">
        <x:v>73</x:v>
      </x:c>
      <x:c r="F12" s="16" t="n">
        <x:v>73</x:v>
      </x:c>
      <x:c r="G12" s="16" t="n">
        <x:f>E12-F12</x:f>
        <x:v>0</x:v>
      </x:c>
      <x:c r="H12" s="16" t="n">
        <x:f>D12-F12</x:f>
        <x:v>0</x:v>
      </x:c>
      <x:c r="I12" s="31" t="n">
        <x:v>0</x:v>
      </x:c>
      <x:c r="J12" s="31" t="n">
        <x:v>73</x:v>
      </x:c>
      <x:c r="K12" s="31" t="n">
        <x:v>0</x:v>
      </x:c>
      <x:c r="L12" s="31" t="n">
        <x:v>0</x:v>
      </x:c>
      <x:c r="M12" t="n">
        <x:v>0</x:v>
      </x:c>
      <x:c r="N12" t="n">
        <x:v>0</x:v>
      </x:c>
    </x:row>
    <x:row r="13" ht="26" customHeight="1">
      <x:c r="A13" s="16" t="str">
        <x:v>ja</x:v>
      </x:c>
      <x:c r="B13" s="16" t="str">
        <x:v>Reference count</x:v>
      </x:c>
      <x:c r="C13" s="16" t="n">
        <x:v>246</x:v>
      </x:c>
      <x:c r="D13" s="16" t="n">
        <x:v>5</x:v>
      </x:c>
      <x:c r="E13" s="16" t="n">
        <x:v>5</x:v>
      </x:c>
      <x:c r="F13" s="16" t="n">
        <x:v>5</x:v>
      </x:c>
      <x:c r="G13" s="16" t="n">
        <x:f>E13-F13</x:f>
        <x:v>0</x:v>
      </x:c>
      <x:c r="H13" s="16" t="n">
        <x:f>D13-F13</x:f>
        <x:v>0</x:v>
      </x:c>
      <x:c r="I13" s="31" t="n">
        <x:v>5</x:v>
      </x:c>
      <x:c r="J13" s="31" t="n">
        <x:v>0</x:v>
      </x:c>
      <x:c r="K13" s="31" t="n">
        <x:v>1</x:v>
      </x:c>
      <x:c r="L13" s="31" t="n">
        <x:v>4</x:v>
      </x:c>
      <x:c r="M13" t="n">
        <x:v>1</x:v>
      </x:c>
      <x:c r="N13" t="n">
        <x:v>0</x:v>
      </x:c>
    </x:row>
    <x:row r="14" ht="26" customHeight="1">
      <x:c r="A14" s="16" t="str">
        <x:v>ja</x:v>
      </x:c>
      <x:c r="B14" s="16" t="str">
        <x:v>Numbered total</x:v>
      </x:c>
      <x:c r="C14" s="16" t="n">
        <x:v>246</x:v>
      </x:c>
      <x:c r="D14" s="16" t="n">
        <x:v>245</x:v>
      </x:c>
      <x:c r="E14" s="16" t="n">
        <x:v>245</x:v>
      </x:c>
      <x:c r="F14" s="16" t="n">
        <x:v>244</x:v>
      </x:c>
      <x:c r="G14" s="16" t="n">
        <x:f>E14-F14</x:f>
        <x:v>1</x:v>
      </x:c>
      <x:c r="H14" s="16" t="n">
        <x:f>D14-F14</x:f>
        <x:v>1</x:v>
      </x:c>
      <x:c r="I14" s="31" t="n">
        <x:v>244</x:v>
      </x:c>
      <x:c r="J14" s="31" t="n">
        <x:v>0</x:v>
      </x:c>
      <x:c r="K14" s="31" t="n">
        <x:v>244</x:v>
      </x:c>
      <x:c r="L14" s="31" t="n">
        <x:v>0</x:v>
      </x:c>
      <x:c r="M14" t="n">
        <x:v>1</x:v>
      </x:c>
      <x:c r="N14" t="n">
        <x:v>243</x:v>
      </x:c>
    </x:row>
    <x:row r="15" ht="26" customHeight="1">
      <x:c r="A15" s="16" t="str">
        <x:v>zh-CN</x:v>
      </x:c>
      <x:c r="B15" s="16" t="str">
        <x:v>Native name</x:v>
      </x:c>
      <x:c r="C15" s="16" t="n">
        <x:v>64</x:v>
      </x:c>
      <x:c r="D15" s="16" t="n">
        <x:v>12</x:v>
      </x:c>
      <x:c r="E15" s="16" t="n">
        <x:v>12</x:v>
      </x:c>
      <x:c r="F15" s="16" t="n">
        <x:v>8</x:v>
      </x:c>
      <x:c r="G15" s="16" t="n">
        <x:f>E15-F15</x:f>
        <x:v>4</x:v>
      </x:c>
      <x:c r="H15" s="16" t="n">
        <x:f>D15-F15</x:f>
        <x:v>4</x:v>
      </x:c>
      <x:c r="I15" s="31" t="n">
        <x:v>0</x:v>
      </x:c>
      <x:c r="J15" s="31" t="n">
        <x:v>8</x:v>
      </x:c>
      <x:c r="K15" s="31" t="n">
        <x:v>0</x:v>
      </x:c>
      <x:c r="L15" s="31" t="n">
        <x:v>0</x:v>
      </x:c>
      <x:c r="M15" t="n">
        <x:v>0</x:v>
      </x:c>
      <x:c r="N15" t="n">
        <x:v>0</x:v>
      </x:c>
    </x:row>
    <x:row r="16" ht="26" customHeight="1">
      <x:c r="A16" s="16" t="str">
        <x:v>zh-CN</x:v>
      </x:c>
      <x:c r="B16" s="16" t="str">
        <x:v>Release date</x:v>
      </x:c>
      <x:c r="C16" s="16" t="n">
        <x:v>64</x:v>
      </x:c>
      <x:c r="D16" s="16" t="n">
        <x:v>13</x:v>
      </x:c>
      <x:c r="E16" s="16" t="n">
        <x:v>13</x:v>
      </x:c>
      <x:c r="F16" s="16" t="n">
        <x:v>9</x:v>
      </x:c>
      <x:c r="G16" s="16" t="n">
        <x:f>E16-F16</x:f>
        <x:v>4</x:v>
      </x:c>
      <x:c r="H16" s="16" t="n">
        <x:f>D16-F16</x:f>
        <x:v>4</x:v>
      </x:c>
      <x:c r="I16" s="31" t="n">
        <x:v>0</x:v>
      </x:c>
      <x:c r="J16" s="31" t="n">
        <x:v>9</x:v>
      </x:c>
      <x:c r="K16" s="31" t="n">
        <x:v>0</x:v>
      </x:c>
      <x:c r="L16" s="31" t="n">
        <x:v>0</x:v>
      </x:c>
      <x:c r="M16" t="n">
        <x:v>0</x:v>
      </x:c>
      <x:c r="N16" t="n">
        <x:v>0</x:v>
      </x:c>
    </x:row>
    <x:row r="17" ht="26" customHeight="1">
      <x:c r="A17" s="16" t="str">
        <x:v>zh-CN</x:v>
      </x:c>
      <x:c r="B17" s="16" t="str">
        <x:v>Catalogue code</x:v>
      </x:c>
      <x:c r="C17" s="16" t="n">
        <x:v>64</x:v>
      </x:c>
      <x:c r="D17" s="16" t="n">
        <x:v>12</x:v>
      </x:c>
      <x:c r="E17" s="16" t="n">
        <x:v>12</x:v>
      </x:c>
      <x:c r="F17" s="16" t="n">
        <x:v>11</x:v>
      </x:c>
      <x:c r="G17" s="16" t="n">
        <x:f>E17-F17</x:f>
        <x:v>1</x:v>
      </x:c>
      <x:c r="H17" s="16" t="n">
        <x:f>D17-F17</x:f>
        <x:v>1</x:v>
      </x:c>
      <x:c r="I17" s="31" t="n">
        <x:v>0</x:v>
      </x:c>
      <x:c r="J17" s="31" t="n">
        <x:v>11</x:v>
      </x:c>
      <x:c r="K17" s="31" t="n">
        <x:v>0</x:v>
      </x:c>
      <x:c r="L17" s="31" t="n">
        <x:v>0</x:v>
      </x:c>
      <x:c r="M17" t="n">
        <x:v>0</x:v>
      </x:c>
      <x:c r="N17" t="n">
        <x:v>0</x:v>
      </x:c>
    </x:row>
    <x:row r="18" ht="26" customHeight="1">
      <x:c r="A18" s="16" t="str">
        <x:v>zh-CN</x:v>
      </x:c>
      <x:c r="B18" s="16" t="str">
        <x:v>Reference count</x:v>
      </x:c>
      <x:c r="C18" s="16" t="n">
        <x:v>64</x:v>
      </x:c>
      <x:c r="D18" s="16" t="n">
        <x:v>30</x:v>
      </x:c>
      <x:c r="E18" s="16" t="n">
        <x:v>21</x:v>
      </x:c>
      <x:c r="F18" s="16" t="n">
        <x:v>21</x:v>
      </x:c>
      <x:c r="G18" s="16" t="n">
        <x:f>E18-F18</x:f>
        <x:v>0</x:v>
      </x:c>
      <x:c r="H18" s="16" t="n">
        <x:f>D18-F18</x:f>
        <x:v>9</x:v>
      </x:c>
      <x:c r="I18" s="31" t="n">
        <x:v>21</x:v>
      </x:c>
      <x:c r="J18" s="31" t="n">
        <x:v>0</x:v>
      </x:c>
      <x:c r="K18" s="31" t="n">
        <x:v>0</x:v>
      </x:c>
      <x:c r="L18" s="31" t="n">
        <x:v>21</x:v>
      </x:c>
      <x:c r="M18" t="n">
        <x:v>0</x:v>
      </x:c>
      <x:c r="N18" t="n">
        <x:v>0</x:v>
      </x:c>
    </x:row>
    <x:row r="19" ht="26" customHeight="1">
      <x:c r="A19" s="16" t="str">
        <x:v>zh-CN</x:v>
      </x:c>
      <x:c r="B19" s="16" t="str">
        <x:v>Numbered total</x:v>
      </x:c>
      <x:c r="C19" s="16" t="n">
        <x:v>64</x:v>
      </x:c>
      <x:c r="D19" s="16" t="n">
        <x:v>60</x:v>
      </x:c>
      <x:c r="E19" s="16" t="n">
        <x:v>50</x:v>
      </x:c>
      <x:c r="F19" s="16" t="n">
        <x:v>50</x:v>
      </x:c>
      <x:c r="G19" s="16" t="n">
        <x:f>E19-F19</x:f>
        <x:v>0</x:v>
      </x:c>
      <x:c r="H19" s="16" t="n">
        <x:f>D19-F19</x:f>
        <x:v>10</x:v>
      </x:c>
      <x:c r="I19" s="31" t="n">
        <x:v>50</x:v>
      </x:c>
      <x:c r="J19" s="31" t="n">
        <x:v>0</x:v>
      </x:c>
      <x:c r="K19" s="31" t="n">
        <x:v>50</x:v>
      </x:c>
      <x:c r="L19" s="31" t="n">
        <x:v>0</x:v>
      </x:c>
      <x:c r="M19" t="n">
        <x:v>0</x:v>
      </x:c>
      <x:c r="N19" t="n">
        <x:v>50</x:v>
      </x:c>
    </x:row>
    <x:row r="20" ht="26" customHeight="1">
      <x:c r="A20" s="16" t="str">
        <x:v>zh-TW</x:v>
      </x:c>
      <x:c r="B20" s="16" t="str">
        <x:v>Native name</x:v>
      </x:c>
      <x:c r="C20" s="16" t="n">
        <x:v>140</x:v>
      </x:c>
      <x:c r="D20" s="16" t="n">
        <x:v>1</x:v>
      </x:c>
      <x:c r="E20" s="16" t="n">
        <x:v>1</x:v>
      </x:c>
      <x:c r="F20" s="16" t="n">
        <x:v>1</x:v>
      </x:c>
      <x:c r="G20" s="16" t="n">
        <x:f>E20-F20</x:f>
        <x:v>0</x:v>
      </x:c>
      <x:c r="H20" s="16" t="n">
        <x:f>D20-F20</x:f>
        <x:v>0</x:v>
      </x:c>
      <x:c r="I20" s="31" t="n">
        <x:v>0</x:v>
      </x:c>
      <x:c r="J20" s="31" t="n">
        <x:v>1</x:v>
      </x:c>
      <x:c r="K20" s="31" t="n">
        <x:v>0</x:v>
      </x:c>
      <x:c r="L20" s="31" t="n">
        <x:v>0</x:v>
      </x:c>
      <x:c r="M20" t="n">
        <x:v>0</x:v>
      </x:c>
      <x:c r="N20" t="n">
        <x:v>0</x:v>
      </x:c>
    </x:row>
    <x:row r="21" ht="26" customHeight="1">
      <x:c r="A21" s="16" t="str">
        <x:v>zh-TW</x:v>
      </x:c>
      <x:c r="B21" s="16" t="str">
        <x:v>Release date</x:v>
      </x:c>
      <x:c r="C21" s="16" t="n">
        <x:v>140</x:v>
      </x:c>
      <x:c r="D21" s="16" t="n">
        <x:v>4</x:v>
      </x:c>
      <x:c r="E21" s="16" t="n">
        <x:v>4</x:v>
      </x:c>
      <x:c r="F21" s="16" t="n">
        <x:v>4</x:v>
      </x:c>
      <x:c r="G21" s="16" t="n">
        <x:f>E21-F21</x:f>
        <x:v>0</x:v>
      </x:c>
      <x:c r="H21" s="16" t="n">
        <x:f>D21-F21</x:f>
        <x:v>0</x:v>
      </x:c>
      <x:c r="I21" s="31" t="n">
        <x:v>0</x:v>
      </x:c>
      <x:c r="J21" s="31" t="n">
        <x:v>4</x:v>
      </x:c>
      <x:c r="K21" s="31" t="n">
        <x:v>0</x:v>
      </x:c>
      <x:c r="L21" s="31" t="n">
        <x:v>0</x:v>
      </x:c>
      <x:c r="M21" t="n">
        <x:v>0</x:v>
      </x:c>
      <x:c r="N21" t="n">
        <x:v>0</x:v>
      </x:c>
    </x:row>
    <x:row r="22" ht="26" customHeight="1">
      <x:c r="A22" s="16" t="str">
        <x:v>zh-TW</x:v>
      </x:c>
      <x:c r="B22" s="16" t="str">
        <x:v>Catalogue code</x:v>
      </x:c>
      <x:c r="C22" s="16" t="n">
        <x:v>140</x:v>
      </x:c>
      <x:c r="D22" s="16" t="n">
        <x:v>90</x:v>
      </x:c>
      <x:c r="E22" s="16" t="n">
        <x:v>76</x:v>
      </x:c>
      <x:c r="F22" s="16" t="n">
        <x:v>51</x:v>
      </x:c>
      <x:c r="G22" s="16" t="n">
        <x:f>E22-F22</x:f>
        <x:v>25</x:v>
      </x:c>
      <x:c r="H22" s="16" t="n">
        <x:f>D22-F22</x:f>
        <x:v>39</x:v>
      </x:c>
      <x:c r="I22" s="31" t="n">
        <x:v>0</x:v>
      </x:c>
      <x:c r="J22" s="31" t="n">
        <x:v>51</x:v>
      </x:c>
      <x:c r="K22" s="31" t="n">
        <x:v>0</x:v>
      </x:c>
      <x:c r="L22" s="31" t="n">
        <x:v>0</x:v>
      </x:c>
      <x:c r="M22" t="n">
        <x:v>0</x:v>
      </x:c>
      <x:c r="N22" t="n">
        <x:v>0</x:v>
      </x:c>
    </x:row>
    <x:row r="23" ht="26" customHeight="1">
      <x:c r="A23" s="16" t="str">
        <x:v>zh-TW</x:v>
      </x:c>
      <x:c r="B23" s="16" t="str">
        <x:v>Reference count</x:v>
      </x:c>
      <x:c r="C23" s="16" t="n">
        <x:v>140</x:v>
      </x:c>
      <x:c r="D23" s="16" t="n">
        <x:v>135</x:v>
      </x:c>
      <x:c r="E23" s="16" t="n">
        <x:v>135</x:v>
      </x:c>
      <x:c r="F23" s="16" t="n">
        <x:v>135</x:v>
      </x:c>
      <x:c r="G23" s="16" t="n">
        <x:f>E23-F23</x:f>
        <x:v>0</x:v>
      </x:c>
      <x:c r="H23" s="16" t="n">
        <x:f>D23-F23</x:f>
        <x:v>0</x:v>
      </x:c>
      <x:c r="I23" s="31" t="n">
        <x:v>135</x:v>
      </x:c>
      <x:c r="J23" s="31" t="n">
        <x:v>0</x:v>
      </x:c>
      <x:c r="K23" s="31" t="n">
        <x:v>0</x:v>
      </x:c>
      <x:c r="L23" s="31" t="n">
        <x:v>135</x:v>
      </x:c>
      <x:c r="M23" t="n">
        <x:v>0</x:v>
      </x:c>
      <x:c r="N23" t="n">
        <x:v>0</x:v>
      </x:c>
    </x:row>
    <x:row r="24" ht="26" customHeight="1">
      <x:c r="A24" s="16" t="str">
        <x:v>zh-TW</x:v>
      </x:c>
      <x:c r="B24" s="16" t="str">
        <x:v>Numbered total</x:v>
      </x:c>
      <x:c r="C24" s="16" t="n">
        <x:v>140</x:v>
      </x:c>
      <x:c r="D24" s="16" t="n">
        <x:v>135</x:v>
      </x:c>
      <x:c r="E24" s="16" t="n">
        <x:v>135</x:v>
      </x:c>
      <x:c r="F24" s="16" t="n">
        <x:v>135</x:v>
      </x:c>
      <x:c r="G24" s="16" t="n">
        <x:f>E24-F24</x:f>
        <x:v>0</x:v>
      </x:c>
      <x:c r="H24" s="16" t="n">
        <x:f>D24-F24</x:f>
        <x:v>0</x:v>
      </x:c>
      <x:c r="I24" s="31" t="n">
        <x:v>135</x:v>
      </x:c>
      <x:c r="J24" s="31" t="n">
        <x:v>0</x:v>
      </x:c>
      <x:c r="K24" s="31" t="n">
        <x:v>135</x:v>
      </x:c>
      <x:c r="L24" s="31" t="n">
        <x:v>0</x:v>
      </x:c>
      <x:c r="M24" t="n">
        <x:v>0</x:v>
      </x:c>
      <x:c r="N24" t="n">
        <x:v>135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960af6f5163489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4" hidden="0" customWidth="1"/>
    <x:col min="3" max="3" width="58" hidden="0" customWidth="1"/>
    <x:col min="4" max="4" width="70" hidden="0" customWidth="1"/>
    <x:col min="5" max="5" width="18" hidden="0" customWidth="1"/>
    <x:col min="6" max="6" width="82" hidden="0" customWidth="1"/>
  </x:cols>
  <x:sheetData>
    <x:row r="1" ht="35" customHeight="1">
      <x:c r="A1" s="3" t="str">
        <x:v>EVIDENCE  /  SOURCE REGISTER</x:v>
      </x:c>
      <x:c r="B1" s="3"/>
      <x:c r="C1" s="3"/>
      <x:c r="D1" s="3"/>
      <x:c r="E1" s="3"/>
      <x:c r="F1" s="3"/>
    </x:row>
    <x:row r="2" ht="32" customHeight="1">
      <x:c r="A2" s="7" t="str">
        <x:v>Official and secondary sources are labelled. Indexed/cached retrieval is not a fresh origin-fetch guarantee.</x:v>
      </x:c>
      <x:c r="B2" s="7"/>
      <x:c r="C2" s="7"/>
      <x:c r="D2" s="7"/>
      <x:c r="E2" s="7"/>
      <x:c r="F2" s="7"/>
    </x:row>
    <x:row r="4" ht="32" customHeight="1">
      <x:c r="A4" s="11" t="str">
        <x:v>Source ID</x:v>
      </x:c>
      <x:c r="B4" s="11" t="str">
        <x:v>Source type</x:v>
      </x:c>
      <x:c r="C4" s="11" t="str">
        <x:v>Title</x:v>
      </x:c>
      <x:c r="D4" s="11" t="str">
        <x:v>URL</x:v>
      </x:c>
      <x:c r="E4" s="11" t="str">
        <x:v>Research date</x:v>
      </x:c>
      <x:c r="F4" s="11" t="str">
        <x:v>Scope and limitations</x:v>
      </x:c>
    </x:row>
    <x:row r="5" ht="60" customHeight="1">
      <x:c r="A5" s="16" t="str">
        <x:v>TW2</x:v>
      </x:c>
      <x:c r="B5" s="16" t="str">
        <x:v>official</x:v>
      </x:c>
      <x:c r="C5" s="16" t="str">
        <x:v>Pokémon Taiwan product-to-card catalogue index, retrieved page 2</x:v>
      </x:c>
      <x:c r="D5" s="16" t="str">
        <x:v>https://asia.pokemon-card.com/tw/card-search/?pageNo=2</x:v>
      </x:c>
      <x:c r="E5" s="16" t="str">
        <x:v>2026-09-24</x:v>
      </x:c>
      <x:c r="F5" s="16" t="str">
        <x:v>Pagination can change. The title-to-link association was inspected; filter identifiers do not by themselves prove a distinct printed set code or a unique checklist.</x:v>
      </x:c>
    </x:row>
    <x:row r="6" ht="60" customHeight="1">
      <x:c r="A6" s="16" t="str">
        <x:v>TW3</x:v>
      </x:c>
      <x:c r="B6" s="16" t="str">
        <x:v>official</x:v>
      </x:c>
      <x:c r="C6" s="16" t="str">
        <x:v>Pokémon Taiwan product-to-card catalogue index, retrieved page 3</x:v>
      </x:c>
      <x:c r="D6" s="16" t="str">
        <x:v>https://asia.pokemon-card.com/tw/card-search/?pageNo=3</x:v>
      </x:c>
      <x:c r="E6" s="16" t="str">
        <x:v>2026-09-24</x:v>
      </x:c>
      <x:c r="F6" s="16" t="str">
        <x:v>Pagination can change. The title-to-link association was inspected; filter identifiers do not by themselves prove a distinct printed set code or a unique checklist.</x:v>
      </x:c>
    </x:row>
    <x:row r="7" ht="60" customHeight="1">
      <x:c r="A7" s="16" t="str">
        <x:v>TW4</x:v>
      </x:c>
      <x:c r="B7" s="16" t="str">
        <x:v>official</x:v>
      </x:c>
      <x:c r="C7" s="16" t="str">
        <x:v>Pokémon Taiwan product-to-card catalogue index, retrieved page 4</x:v>
      </x:c>
      <x:c r="D7" s="16" t="str">
        <x:v>https://asia.pokemon-card.com/tw/card-search/?pageNo=4</x:v>
      </x:c>
      <x:c r="E7" s="16" t="str">
        <x:v>2026-09-24</x:v>
      </x:c>
      <x:c r="F7" s="16" t="str">
        <x:v>Pagination can change. The title-to-link association was inspected; filter identifiers do not by themselves prove a distinct printed set code or a unique checklist.</x:v>
      </x:c>
    </x:row>
    <x:row r="8" ht="60" customHeight="1">
      <x:c r="A8" s="16" t="str">
        <x:v>TW5</x:v>
      </x:c>
      <x:c r="B8" s="16" t="str">
        <x:v>official</x:v>
      </x:c>
      <x:c r="C8" s="16" t="str">
        <x:v>Pokémon Taiwan product-to-card catalogue index, retrieved page 5</x:v>
      </x:c>
      <x:c r="D8" s="16" t="str">
        <x:v>https://asia.pokemon-card.com/tw/card-search/?pageNo=5</x:v>
      </x:c>
      <x:c r="E8" s="16" t="str">
        <x:v>2026-09-24</x:v>
      </x:c>
      <x:c r="F8" s="16" t="str">
        <x:v>Pagination can change. The title-to-link association was inspected; filter identifiers do not by themselves prove a distinct printed set code or a unique checklist.</x:v>
      </x:c>
    </x:row>
    <x:row r="9" ht="60" customHeight="1">
      <x:c r="A9" s="16" t="str">
        <x:v>SE</x:v>
      </x:c>
      <x:c r="B9" s="16" t="str">
        <x:v>secondary_checklist</x:v>
      </x:c>
      <x:c r="C9" s="16" t="str">
        <x:v>Storming Emergence — named component checklists</x:v>
      </x:c>
      <x:c r="D9" s="16" t="str">
        <x:v>https://bulbapedia.bulbagarden.net/wiki/Storming_Emergence_(ATCG)</x:v>
      </x:c>
      <x:c r="E9" s="16" t="str">
        <x:v>2026-09-24</x:v>
      </x:c>
      <x:c r="F9" s="16" t="str">
        <x:v>Single secondary checklist. Counts cover the listed numbered component, not a card-by-card reconciliation against Stackr or a master set of foil variants. Indexed source can predate this research.</x:v>
      </x:c>
    </x:row>
    <x:row r="10" ht="60" customHeight="1">
      <x:c r="A10" s="16" t="str">
        <x:v>SS</x:v>
      </x:c>
      <x:c r="B10" s="16" t="str">
        <x:v>secondary_checklist</x:v>
      </x:c>
      <x:c r="C10" s="16" t="str">
        <x:v>Shining Synergy — named component checklists</x:v>
      </x:c>
      <x:c r="D10" s="16" t="str">
        <x:v>https://bulbapedia.bulbagarden.net/wiki/Shining_Synergy_(ATCG)</x:v>
      </x:c>
      <x:c r="E10" s="16" t="str">
        <x:v>2026-09-24</x:v>
      </x:c>
      <x:c r="F10" s="16" t="str">
        <x:v>Single secondary checklist. Counts cover the listed numbered component, not a card-by-card reconciliation against Stackr or a master set of foil variants. Indexed source can predate this research.</x:v>
      </x:c>
    </x:row>
    <x:row r="11" ht="60" customHeight="1">
      <x:c r="A11" s="16" t="str">
        <x:v>DC</x:v>
      </x:c>
      <x:c r="B11" s="16" t="str">
        <x:v>secondary_checklist</x:v>
      </x:c>
      <x:c r="C11" s="16" t="str">
        <x:v>Dynamax Clash — named component checklists</x:v>
      </x:c>
      <x:c r="D11" s="16" t="str">
        <x:v>https://bulbapedia.bulbagarden.net/wiki/Dynamax_Clash_(ATCG)</x:v>
      </x:c>
      <x:c r="E11" s="16" t="str">
        <x:v>2026-09-24</x:v>
      </x:c>
      <x:c r="F11" s="16" t="str">
        <x:v>Single secondary checklist. Counts cover the listed numbered component, not a card-by-card reconciliation against Stackr or a master set of foil variants. Indexed source can predate this research.</x:v>
      </x:c>
    </x:row>
    <x:row r="12" ht="60" customHeight="1">
      <x:c r="A12" s="16" t="str">
        <x:v>VP</x:v>
      </x:c>
      <x:c r="B12" s="16" t="str">
        <x:v>secondary_checklist</x:v>
      </x:c>
      <x:c r="C12" s="16" t="str">
        <x:v>Vivid Portrayals — named component checklists</x:v>
      </x:c>
      <x:c r="D12" s="16" t="str">
        <x:v>https://bulbapedia.bulbagarden.net/wiki/Vivid_Portrayals_(ATCG)</x:v>
      </x:c>
      <x:c r="E12" s="16" t="str">
        <x:v>2026-09-24</x:v>
      </x:c>
      <x:c r="F12" s="16" t="str">
        <x:v>Single secondary checklist. Counts cover the listed numbered component, not a card-by-card reconciliation against Stackr or a master set of foil variants. Indexed source can predate this research.</x:v>
      </x:c>
    </x:row>
    <x:row r="13" ht="60" customHeight="1">
      <x:c r="A13" s="16" t="str">
        <x:v>START100</x:v>
      </x:c>
      <x:c r="B13" s="16" t="str">
        <x:v>official</x:v>
      </x:c>
      <x:c r="C13" s="16" t="str">
        <x:v>Start Deck 100 launch announcement</x:v>
      </x:c>
      <x:c r="D13" s="16" t="str">
        <x:v>https://www.pokemon-card.com/info/003185.html</x:v>
      </x:c>
      <x:c r="E13" s="16" t="str">
        <x:v>2026-09-24</x:v>
      </x:c>
      <x:c r="F13" s="16" t="str">
        <x:v>Product names / stated physical quantities only. No unique-card total is inferred from physical copies in a deck.</x:v>
      </x:c>
    </x:row>
    <x:row r="14" ht="60" customHeight="1">
      <x:c r="A14" s="16" t="str">
        <x:v>SMD</x:v>
      </x:c>
      <x:c r="B14" s="16" t="str">
        <x:v>official</x:v>
      </x:c>
      <x:c r="C14" s="16" t="str">
        <x:v>Ash vs Team Rocket two-deck product</x:v>
      </x:c>
      <x:c r="D14" s="16" t="str">
        <x:v>https://www.pokemon-card.com/products/sm/smd.html</x:v>
      </x:c>
      <x:c r="E14" s="16" t="str">
        <x:v>2026-09-24</x:v>
      </x:c>
      <x:c r="F14" s="16" t="str">
        <x:v>Product names / stated physical quantities only. No unique-card total is inferred from physical copies in a deck.</x:v>
      </x:c>
    </x:row>
    <x:row r="15" ht="60" customHeight="1">
      <x:c r="A15" s="16" t="str">
        <x:v>XYB</x:v>
      </x:c>
      <x:c r="B15" s="16" t="str">
        <x:v>official</x:v>
      </x:c>
      <x:c r="C15" s="16" t="str">
        <x:v>Hyper Metal Chain Deck 60</x:v>
      </x:c>
      <x:c r="D15" s="16" t="str">
        <x:v>https://www.pokemon-card.com/products/xy/metal60.html</x:v>
      </x:c>
      <x:c r="E15" s="16" t="str">
        <x:v>2026-09-24</x:v>
      </x:c>
      <x:c r="F15" s="16" t="str">
        <x:v>Product names / stated physical quantities only. No unique-card total is inferred from physical copies in a deck.</x:v>
      </x:c>
    </x:row>
    <x:row r="16" ht="60" customHeight="1">
      <x:c r="A16" s="16" t="str">
        <x:v>XYGH</x:v>
      </x:c>
      <x:c r="B16" s="16" t="str">
        <x:v>official</x:v>
      </x:c>
      <x:c r="C16" s="16" t="str">
        <x:v>Zygarde / Audino deck products</x:v>
      </x:c>
      <x:c r="D16" s="16" t="str">
        <x:v>https://www.pokemon-card.com/products/xy/xygh.html</x:v>
      </x:c>
      <x:c r="E16" s="16" t="str">
        <x:v>2026-09-24</x:v>
      </x:c>
      <x:c r="F16" s="16" t="str">
        <x:v>Product names / stated physical quantities only. No unique-card total is inferred from physical copies in a deck.</x:v>
      </x:c>
    </x:row>
    <x:row r="17" ht="60" customHeight="1">
      <x:c r="A17" s="16" t="str">
        <x:v>XYF</x:v>
      </x:c>
      <x:c r="B17" s="16" t="str">
        <x:v>official</x:v>
      </x:c>
      <x:c r="C17" s="16" t="str">
        <x:v>Golduck BREAK + Palkia EX combo deck</x:v>
      </x:c>
      <x:c r="D17" s="16" t="str">
        <x:v>https://www.pokemon-card.com/products/xy/xyf.html</x:v>
      </x:c>
      <x:c r="E17" s="16" t="str">
        <x:v>2026-09-24</x:v>
      </x:c>
      <x:c r="F17" s="16" t="str">
        <x:v>Product names / stated physical quantities only. No unique-card total is inferred from physical copies in a deck.</x:v>
      </x:c>
    </x:row>
    <x:row r="18" ht="60" customHeight="1">
      <x:c r="A18" s="16" t="str">
        <x:v>XYA</x:v>
      </x:c>
      <x:c r="B18" s="16" t="str">
        <x:v>official</x:v>
      </x:c>
      <x:c r="C18" s="16" t="str">
        <x:v>Wild Blaze / Charizard deck product information</x:v>
      </x:c>
      <x:c r="D18" s="16" t="str">
        <x:v>https://www.pokemon-card.com/products/xy/xy2.html</x:v>
      </x:c>
      <x:c r="E18" s="16" t="str">
        <x:v>2026-09-24</x:v>
      </x:c>
      <x:c r="F18" s="16" t="str">
        <x:v>Product names / stated physical quantities only. No unique-card total is inferred from physical copies in a deck.</x:v>
      </x:c>
    </x:row>
    <x:row r="19" ht="60" customHeight="1">
      <x:c r="A19" s="16" t="str">
        <x:v>KK</x:v>
      </x:c>
      <x:c r="B19" s="16" t="str">
        <x:v>official</x:v>
      </x:c>
      <x:c r="C19" s="16" t="str">
        <x:v>Kyurem EX card detail identifies its product</x:v>
      </x:c>
      <x:c r="D19" s="16" t="str">
        <x:v>https://www.pokemon-card.com/card-search/details.php/card/28659/</x:v>
      </x:c>
      <x:c r="E19" s="16" t="str">
        <x:v>2026-09-24</x:v>
      </x:c>
      <x:c r="F19" s="16" t="str">
        <x:v>Product names / stated physical quantities only. No unique-card total is inferred from physical copies in a deck.</x:v>
      </x:c>
    </x:row>
    <x:row r="20" ht="60" customHeight="1">
      <x:c r="A20" s="16" t="str">
        <x:v>XYD</x:v>
      </x:c>
      <x:c r="B20" s="16" t="str">
        <x:v>official</x:v>
      </x:c>
      <x:c r="C20" s="16" t="str">
        <x:v>Rayquaza EX Mega Battle Deck</x:v>
      </x:c>
      <x:c r="D20" s="16" t="str">
        <x:v>https://www.pokemon-card.com/products/xy/xyd.html</x:v>
      </x:c>
      <x:c r="E20" s="16" t="str">
        <x:v>2026-09-24</x:v>
      </x:c>
      <x:c r="F20" s="16" t="str">
        <x:v>Product names / stated physical quantities only. No unique-card total is inferred from physical copies in a deck.</x:v>
      </x:c>
    </x:row>
    <x:row r="21" ht="60" customHeight="1">
      <x:c r="A21" s="16" t="str">
        <x:v>SMC</x:v>
      </x:c>
      <x:c r="B21" s="16" t="str">
        <x:v>official</x:v>
      </x:c>
      <x:c r="C21" s="16" t="str">
        <x:v>Tapu Bulu GX enhanced starter</x:v>
      </x:c>
      <x:c r="D21" s="16" t="str">
        <x:v>https://www.pokemon-card.com/products/sm/smc.html</x:v>
      </x:c>
      <x:c r="E21" s="16" t="str">
        <x:v>2026-09-24</x:v>
      </x:c>
      <x:c r="F21" s="16" t="str">
        <x:v>Product names / stated physical quantities only. No unique-card total is inferred from physical copies in a deck.</x:v>
      </x:c>
    </x:row>
    <x:row r="22" ht="60" customHeight="1">
      <x:c r="A22" s="16" t="str">
        <x:v>X30Y30</x:v>
      </x:c>
      <x:c r="B22" s="16" t="str">
        <x:v>official</x:v>
      </x:c>
      <x:c r="C22" s="16" t="str">
        <x:v>Yveltal Deck 30 official article, links both deck titles</x:v>
      </x:c>
      <x:c r="D22" s="16" t="str">
        <x:v>https://www.pokemon-card.com/products/xy/x30y30/x30y30_000282.html</x:v>
      </x:c>
      <x:c r="E22" s="16" t="str">
        <x:v>2026-09-24</x:v>
      </x:c>
      <x:c r="F22" s="16" t="str">
        <x:v>Product names / stated physical quantities only. No unique-card total is inferred from physical copies in a deck.</x:v>
      </x:c>
    </x:row>
    <x:row r="23" ht="60" customHeight="1">
      <x:c r="A23" s="16" t="str">
        <x:v>R2_TW0</x:v>
      </x:c>
      <x:c r="B23" s="16" t="str">
        <x:v>official</x:v>
      </x:c>
      <x:c r="C23" s="16" t="str">
        <x:v>Official Taiwan product-to-card index first page</x:v>
      </x:c>
      <x:c r="D23" s="16" t="str">
        <x:v>https://asia.pokemon-card.com/tw/card-search/</x:v>
      </x:c>
      <x:c r="E23" s="16" t="str">
        <x:v>2026-09-24</x:v>
      </x:c>
      <x:c r="F23" s="16" t="str">
        <x:v>Read product label and linked expansionCodes parameter. This is a catalogue-filter identifier, not proof of an independently printed code, unique set identity or complete checklist. Pagination may change.</x:v>
      </x:c>
    </x:row>
    <x:row r="24" ht="60" customHeight="1">
      <x:c r="A24" s="16" t="str">
        <x:v>R2_TW2</x:v>
      </x:c>
      <x:c r="B24" s="16" t="str">
        <x:v>official</x:v>
      </x:c>
      <x:c r="C24" s="16" t="str">
        <x:v>Official Taiwan product-to-card index ?pageNo=2</x:v>
      </x:c>
      <x:c r="D24" s="16" t="str">
        <x:v>https://asia.pokemon-card.com/tw/card-search/?pageNo=2</x:v>
      </x:c>
      <x:c r="E24" s="16" t="str">
        <x:v>2026-09-24</x:v>
      </x:c>
      <x:c r="F24" s="16" t="str">
        <x:v>Read product label and linked expansionCodes parameter. This is a catalogue-filter identifier, not proof of an independently printed code, unique set identity or complete checklist. Pagination may change.</x:v>
      </x:c>
    </x:row>
    <x:row r="25" ht="60" customHeight="1">
      <x:c r="A25" s="16" t="str">
        <x:v>R2_TW3</x:v>
      </x:c>
      <x:c r="B25" s="16" t="str">
        <x:v>official</x:v>
      </x:c>
      <x:c r="C25" s="16" t="str">
        <x:v>Official Taiwan product-to-card index ?pageNo=3</x:v>
      </x:c>
      <x:c r="D25" s="16" t="str">
        <x:v>https://asia.pokemon-card.com/tw/card-search/?pageNo=3</x:v>
      </x:c>
      <x:c r="E25" s="16" t="str">
        <x:v>2026-09-24</x:v>
      </x:c>
      <x:c r="F25" s="16" t="str">
        <x:v>Read product label and linked expansionCodes parameter. This is a catalogue-filter identifier, not proof of an independently printed code, unique set identity or complete checklist. Pagination may change.</x:v>
      </x:c>
    </x:row>
    <x:row r="26" ht="60" customHeight="1">
      <x:c r="A26" s="16" t="str">
        <x:v>R2_TW4</x:v>
      </x:c>
      <x:c r="B26" s="16" t="str">
        <x:v>official</x:v>
      </x:c>
      <x:c r="C26" s="16" t="str">
        <x:v>Official Taiwan product-to-card index ?pageNo=4</x:v>
      </x:c>
      <x:c r="D26" s="16" t="str">
        <x:v>https://asia.pokemon-card.com/tw/card-search/?pageNo=4</x:v>
      </x:c>
      <x:c r="E26" s="16" t="str">
        <x:v>2026-09-24</x:v>
      </x:c>
      <x:c r="F26" s="16" t="str">
        <x:v>Read product label and linked expansionCodes parameter. This is a catalogue-filter identifier, not proof of an independently printed code, unique set identity or complete checklist. Pagination may change.</x:v>
      </x:c>
    </x:row>
    <x:row r="27" ht="60" customHeight="1">
      <x:c r="A27" s="16" t="str">
        <x:v>R2_TW5</x:v>
      </x:c>
      <x:c r="B27" s="16" t="str">
        <x:v>official</x:v>
      </x:c>
      <x:c r="C27" s="16" t="str">
        <x:v>Official Taiwan product-to-card index ?pageNo=5</x:v>
      </x:c>
      <x:c r="D27" s="16" t="str">
        <x:v>https://asia.pokemon-card.com/tw/card-search/?pageNo=5</x:v>
      </x:c>
      <x:c r="E27" s="16" t="str">
        <x:v>2026-09-24</x:v>
      </x:c>
      <x:c r="F27" s="16" t="str">
        <x:v>Read product label and linked expansionCodes parameter. This is a catalogue-filter identifier, not proof of an independently printed code, unique set identity or complete checklist. Pagination may change.</x:v>
      </x:c>
    </x:row>
    <x:row r="28" ht="60" customHeight="1">
      <x:c r="A28" s="16" t="str">
        <x:v>R2_SNP</x:v>
      </x:c>
      <x:c r="B28" s="16" t="str">
        <x:v>official</x:v>
      </x:c>
      <x:c r="C28" s="16" t="str">
        <x:v>Official Raichu / Noivern BREAK Evolution Packs</x:v>
      </x:c>
      <x:c r="D28" s="16" t="str">
        <x:v>https://www.pokemon-card.com/products/xy/snp.html</x:v>
      </x:c>
      <x:c r="E28" s="16" t="str">
        <x:v>2026-09-24</x:v>
      </x:c>
      <x:c r="F28" s="16" t="str">
        <x:v>Field-specific evidence only; not a complete checklist or certification of the row.</x:v>
      </x:c>
    </x:row>
    <x:row r="29" ht="60" customHeight="1">
      <x:c r="A29" s="16" t="str">
        <x:v>R2_CN100</x:v>
      </x:c>
      <x:c r="B29" s="16" t="str">
        <x:v>official</x:v>
      </x:c>
      <x:c r="C29" s="16" t="str">
        <x:v>Official Simplified Chinese Start Deck 100 launch announcement</x:v>
      </x:c>
      <x:c r="D29" s="16" t="str">
        <x:v>https://www.pokemon.cn/tcg/product/15882.html</x:v>
      </x:c>
      <x:c r="E29" s="16" t="str">
        <x:v>2026-09-24</x:v>
      </x:c>
      <x:c r="F29" s="16" t="str">
        <x:v>Field-specific evidence only; not a complete checklist or certification of the row.</x:v>
      </x:c>
    </x:row>
    <x:row r="30" ht="60" customHeight="1">
      <x:c r="A30" s="16" t="str">
        <x:v>R2_CNCSM2D</x:v>
      </x:c>
      <x:c r="B30" s="16" t="str">
        <x:v>official</x:v>
      </x:c>
      <x:c r="C30" s="16" t="str">
        <x:v>Official Shining Synergy GX starter erratum</x:v>
      </x:c>
      <x:c r="D30" s="16" t="str">
        <x:v>https://www.pokemon.cn/tcg/other/17172.html</x:v>
      </x:c>
      <x:c r="E30" s="16" t="str">
        <x:v>2026-09-24</x:v>
      </x:c>
      <x:c r="F30" s="16" t="str">
        <x:v>Field-specific evidence only; not a complete checklist or certification of the row.</x:v>
      </x:c>
    </x:row>
    <x:row r="31" ht="60" customHeight="1">
      <x:c r="A31" s="16" t="str">
        <x:v>R2_CNCSM1D</x:v>
      </x:c>
      <x:c r="B31" s="16" t="str">
        <x:v>official</x:v>
      </x:c>
      <x:c r="C31" s="16" t="str">
        <x:v>Official Simplified Chinese launch-day announcement</x:v>
      </x:c>
      <x:c r="D31" s="16" t="str">
        <x:v>https://www.pokemon.cn/tcg/product/16368.html</x:v>
      </x:c>
      <x:c r="E31" s="16" t="str">
        <x:v>2026-09-24</x:v>
      </x:c>
      <x:c r="F31" s="16" t="str">
        <x:v>Field-specific evidence only; not a complete checklist or certification of the row.</x:v>
      </x:c>
    </x:row>
    <x:row r="32" ht="60" customHeight="1">
      <x:c r="A32" s="16" t="str">
        <x:v>R2_GBR</x:v>
      </x:c>
      <x:c r="B32" s="16" t="str">
        <x:v>official</x:v>
      </x:c>
      <x:c r="C32" s="16" t="str">
        <x:v>Official card catalogue: Garchomp Deck 30</x:v>
      </x:c>
      <x:c r="D32" s="16" t="str">
        <x:v>https://www.pokemon-card.com/card-search/details.php/card/27982</x:v>
      </x:c>
      <x:c r="E32" s="16" t="str">
        <x:v>2026-09-24</x:v>
      </x:c>
      <x:c r="F32" s="16" t="str">
        <x:v>Field-specific evidence only; not a complete checklist or certification of the row.</x:v>
      </x:c>
    </x:row>
    <x:row r="33" ht="60" customHeight="1">
      <x:c r="A33" s="16" t="str">
        <x:v>R2_WAK</x:v>
      </x:c>
      <x:c r="B33" s="16" t="str">
        <x:v>official</x:v>
      </x:c>
      <x:c r="C33" s="16" t="str">
        <x:v>Official card catalogue: Everyone's Exciting Battle</x:v>
      </x:c>
      <x:c r="D33" s="16" t="str">
        <x:v>https://www.pokemon-card.com/card-search/details.php/card/28455</x:v>
      </x:c>
      <x:c r="E33" s="16" t="str">
        <x:v>2026-09-24</x:v>
      </x:c>
      <x:c r="F33" s="16" t="str">
        <x:v>Field-specific evidence only; not a complete checklist or certification of the row.</x:v>
      </x:c>
    </x:row>
    <x:row r="34" ht="60" customHeight="1">
      <x:c r="A34" s="16" t="str">
        <x:v>R2_SP4</x:v>
      </x:c>
      <x:c r="B34" s="16" t="str">
        <x:v>official</x:v>
      </x:c>
      <x:c r="C34" s="16" t="str">
        <x:v>Official Eevee Heroes VMAX Special Set</x:v>
      </x:c>
      <x:c r="D34" s="16" t="str">
        <x:v>https://www.pokemon-card.com/products/s/sp4.html</x:v>
      </x:c>
      <x:c r="E34" s="16" t="str">
        <x:v>2026-09-24</x:v>
      </x:c>
      <x:c r="F34" s="16" t="str">
        <x:v>Field-specific evidence only; not a complete checklist or certification of the row.</x:v>
      </x:c>
    </x:row>
    <x:row r="35" ht="60" customHeight="1">
      <x:c r="A35" s="16" t="str">
        <x:v>R2_JACHRON</x:v>
      </x:c>
      <x:c r="B35" s="16" t="str">
        <x:v>official</x:v>
      </x:c>
      <x:c r="C35" s="16" t="str">
        <x:v>Official Pokémon Card Game 25th-anniversary product chronicle</x:v>
      </x:c>
      <x:c r="D35" s="16" t="str">
        <x:v>https://www.pokemon-card.com/ex/25th/chronicle/</x:v>
      </x:c>
      <x:c r="E35" s="16" t="str">
        <x:v>2026-09-24</x:v>
      </x:c>
      <x:c r="F35" s="16" t="str">
        <x:v>Field-specific evidence only; not a complete checklist or certification of the row.</x:v>
      </x:c>
    </x:row>
    <x:row r="36" ht="60" customHeight="1">
      <x:c r="A36" s="16" t="str">
        <x:v>R2_PTBOX</x:v>
      </x:c>
      <x:c r="B36" s="16" t="str">
        <x:v>official</x:v>
      </x:c>
      <x:c r="C36" s="16" t="str">
        <x:v>Official Sun &amp; Moon Premium Trainer Box specification</x:v>
      </x:c>
      <x:c r="D36" s="16" t="str">
        <x:v>https://www.pokemon-card.com/products/sm/pt-box.html</x:v>
      </x:c>
      <x:c r="E36" s="16" t="str">
        <x:v>2026-09-24</x:v>
      </x:c>
      <x:c r="F36" s="16" t="str">
        <x:v>Field-specific evidence only; not a complete checklist or certification of the row.</x:v>
      </x:c>
    </x:row>
    <x:row r="37" ht="60" customHeight="1">
      <x:c r="A37" s="16" t="str">
        <x:v>R2_HXY</x:v>
      </x:c>
      <x:c r="B37" s="16" t="str">
        <x:v>official</x:v>
      </x:c>
      <x:c r="C37" s="16" t="str">
        <x:v>Official XY Beginning Set and for Girls product specification</x:v>
      </x:c>
      <x:c r="D37" s="16" t="str">
        <x:v>https://www.pokemon-card.com/products/xy/hs.html</x:v>
      </x:c>
      <x:c r="E37" s="16" t="str">
        <x:v>2026-09-24</x:v>
      </x:c>
      <x:c r="F37" s="16" t="str">
        <x:v>Field-specific evidence only; not a complete checklist or certification of the row.</x:v>
      </x:c>
    </x:row>
    <x:row r="38" ht="60" customHeight="1">
      <x:c r="A38" s="16" t="str">
        <x:v>R2_SP2</x:v>
      </x:c>
      <x:c r="B38" s="16" t="str">
        <x:v>official</x:v>
      </x:c>
      <x:c r="C38" s="16" t="str">
        <x:v>Official VMAX Special Set 2020</x:v>
      </x:c>
      <x:c r="D38" s="16" t="str">
        <x:v>https://www.pokemon-card.com/products/s/sp2.html</x:v>
      </x:c>
      <x:c r="E38" s="16" t="str">
        <x:v>2026-09-24</x:v>
      </x:c>
      <x:c r="F38" s="16" t="str">
        <x:v>Field-specific evidence only; not a complete checklist or certification of the row.</x:v>
      </x:c>
    </x:row>
    <x:row r="39" ht="60" customHeight="1">
      <x:c r="A39" s="16" t="str">
        <x:v>R2_SP3</x:v>
      </x:c>
      <x:c r="B39" s="16" t="str">
        <x:v>official</x:v>
      </x:c>
      <x:c r="C39" s="16" t="str">
        <x:v>Official Silver Lance &amp; Jet-Black Spirit Jumbo Pack announcement</x:v>
      </x:c>
      <x:c r="D39" s="16" t="str">
        <x:v>https://www.pokemon-card.com/info/2021/20210312_002830.html</x:v>
      </x:c>
      <x:c r="E39" s="16" t="str">
        <x:v>2026-09-24</x:v>
      </x:c>
      <x:c r="F39" s="16" t="str">
        <x:v>Field-specific evidence only; not a complete checklist or certification of the row.</x:v>
      </x:c>
    </x:row>
    <x:row r="40" ht="60" customHeight="1">
      <x:c r="A40" s="16" t="str">
        <x:v>R2_SP3_LIST</x:v>
      </x:c>
      <x:c r="B40" s="16" t="str">
        <x:v>secondary_checklist</x:v>
      </x:c>
      <x:c r="C40" s="16" t="str">
        <x:v>Itemised SP3 six-card promo checklist</x:v>
      </x:c>
      <x:c r="D40" s="16" t="str">
        <x:v>https://bulbapedia.bulbagarden.net/wiki/Silver_Lance_%26_Jet-Black_Spirit_Jumbo_Pack_Set_%28TCG%29</x:v>
      </x:c>
      <x:c r="E40" s="16" t="str">
        <x:v>2026-09-24</x:v>
      </x:c>
      <x:c r="F40" s="16" t="str">
        <x:v>The indexed page returned the complete six-row list, 001/006–006/006. Direct page retrieval failed. Corroborated for the six named promo cards by the official announcement; no separate foil variants counted.</x:v>
      </x:c>
    </x:row>
    <x:row r="41" ht="60" customHeight="1">
      <x:c r="A41" s="16" t="str">
        <x:v>R2_CNACADEMY</x:v>
      </x:c>
      <x:c r="B41" s="16" t="str">
        <x:v>official</x:v>
      </x:c>
      <x:c r="C41" s="16" t="str">
        <x:v>Official Simplified Chinese Scarlet &amp; Violet Battle Academy launch and specifications</x:v>
      </x:c>
      <x:c r="D41" s="16" t="str">
        <x:v>https://www.pokemon.cn/tcg/product/15476.html</x:v>
      </x:c>
      <x:c r="E41" s="16" t="str">
        <x:v>2026-09-24</x:v>
      </x:c>
      <x:c r="F41" s="16" t="str">
        <x:v>Field-specific evidence only; not a complete checklist or certification of the row.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a43ea034bb02430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2" hidden="0" customWidth="1"/>
    <x:col min="3" max="3" width="38" hidden="0" customWidth="1"/>
    <x:col min="4" max="4" width="38" hidden="0" customWidth="1"/>
    <x:col min="5" max="5" width="22" hidden="0" customWidth="1"/>
    <x:col min="6" max="6" width="24" hidden="0" customWidth="1"/>
    <x:col min="7" max="7" width="19" hidden="0" customWidth="1"/>
    <x:col min="8" max="8" width="52" hidden="0" customWidth="1"/>
    <x:col min="9" max="9" width="22" hidden="0" customWidth="1"/>
    <x:col min="10" max="10" width="16" hidden="0" customWidth="1"/>
    <x:col min="11" max="11" width="22" hidden="0" customWidth="1"/>
    <x:col min="12" max="12" width="14" hidden="0" customWidth="1"/>
    <x:col min="13" max="13" width="14" hidden="0" customWidth="1"/>
    <x:col min="14" max="14" width="14" hidden="0" customWidth="1"/>
    <x:col min="15" max="15" width="18" hidden="0" customWidth="1"/>
    <x:col min="16" max="16" width="18" hidden="0" customWidth="1"/>
    <x:col min="17" max="17" width="20" hidden="0" customWidth="1"/>
    <x:col min="18" max="18" width="24" hidden="0" customWidth="1"/>
    <x:col min="19" max="19" width="60" hidden="0" customWidth="1"/>
    <x:col min="20" max="20" width="80" hidden="0" customWidth="1"/>
    <x:col min="21" max="21" width="23" hidden="0" customWidth="1"/>
  </x:cols>
  <x:sheetData>
    <x:row r="1" ht="35" customHeight="1">
      <x:c r="A1" s="3" t="str">
        <x:v>WORKING REFERENCE  /  642 ENTRIES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2" customHeight="1">
      <x:c r="A2" s="7" t="str">
        <x:v>Research-only copy. Your browser edits are not included until you use the merge page. Source-backed fields do not certify whole records.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</x:row>
    <x:row r="4" ht="32" customHeight="1">
      <x:c r="A4" s="11" t="str">
        <x:v>Reference ID</x:v>
      </x:c>
      <x:c r="B4" s="11" t="str">
        <x:v>Language</x:v>
      </x:c>
      <x:c r="C4" s="11" t="str">
        <x:v>English / display name</x:v>
      </x:c>
      <x:c r="D4" s="11" t="str">
        <x:v>Native name</x:v>
      </x:c>
      <x:c r="E4" s="11" t="str">
        <x:v>Era</x:v>
      </x:c>
      <x:c r="F4" s="11" t="str">
        <x:v>Entity type</x:v>
      </x:c>
      <x:c r="G4" s="11" t="str">
        <x:v>Catalogue code</x:v>
      </x:c>
      <x:c r="H4" s="11" t="str">
        <x:v>Code basis</x:v>
      </x:c>
      <x:c r="I4" s="11" t="str">
        <x:v>Release date / period</x:v>
      </x:c>
      <x:c r="J4" s="11" t="str">
        <x:v>Date precision</x:v>
      </x:c>
      <x:c r="K4" s="11" t="str">
        <x:v>Market</x:v>
      </x:c>
      <x:c r="L4" s="11" t="str">
        <x:v>Base cards</x:v>
      </x:c>
      <x:c r="M4" s="11" t="str">
        <x:v>Extra cards</x:v>
      </x:c>
      <x:c r="N4" s="11" t="str">
        <x:v>Subset cards</x:v>
      </x:c>
      <x:c r="O4" s="11" t="str">
        <x:v>Reference count</x:v>
      </x:c>
      <x:c r="P4" s="11" t="str">
        <x:v>Numbered total</x:v>
      </x:c>
      <x:c r="Q4" s="11" t="str">
        <x:v>Last number</x:v>
      </x:c>
      <x:c r="R4" s="11" t="str">
        <x:v>Physical product quantity</x:v>
      </x:c>
      <x:c r="S4" s="11" t="str">
        <x:v>Remaining gap fields</x:v>
      </x:c>
      <x:c r="T4" s="11" t="str">
        <x:v>New field evidence URLs</x:v>
      </x:c>
      <x:c r="U4" s="11" t="str">
        <x:v>Production ready</x:v>
      </x:c>
    </x:row>
    <x:row r="5" ht="54" customHeight="1">
      <x:c r="A5" s="16" t="str">
        <x:v>en-a0c246625f70</x:v>
      </x:c>
      <x:c r="B5" s="16" t="str">
        <x:v>en</x:v>
      </x:c>
      <x:c r="C5" s="16" t="str">
        <x:v>Base Set</x:v>
      </x:c>
      <x:c r="D5" s="16" t="str">
        <x:v>Base Set</x:v>
      </x:c>
      <x:c r="E5" s="16" t="str">
        <x:v>Original</x:v>
      </x:c>
      <x:c r="F5" s="16" t="str">
        <x:v>Card set / collection</x:v>
      </x:c>
      <x:c r="G5" s="16" t="str">
        <x:v>BS</x:v>
      </x:c>
      <x:c r="H5" s="16" t="str">
        <x:v>Source abbreviation</x:v>
      </x:c>
      <x:c r="I5" s="16" t="str">
        <x:v>1999-01-09</x:v>
      </x:c>
      <x:c r="J5" s="16" t="str">
        <x:v>day</x:v>
      </x:c>
      <x:c r="K5" s="16" t="str">
        <x:v>International English; source default date</x:v>
      </x:c>
      <x:c r="L5" s="16" t="n">
        <x:v>102</x:v>
      </x:c>
      <x:c r="M5" s="16" t="n">
        <x:v>0</x:v>
      </x:c>
      <x:c r="N5" s="16" t="n">
        <x:v>0</x:v>
      </x:c>
      <x:c r="O5" s="16" t="n">
        <x:v>102</x:v>
      </x:c>
      <x:c r="P5" s="16" t="n">
        <x:v>102</x:v>
      </x:c>
      <x:c r="Q5" s="16"/>
      <x:c r="R5" s="16"/>
      <x:c r="S5" s="16" t="str"/>
      <x:c r="T5" s="16"/>
      <x:c r="U5" s="16" t="str">
        <x:v>NO — review only</x:v>
      </x:c>
    </x:row>
    <x:row r="6" ht="54" customHeight="1">
      <x:c r="A6" s="16" t="str">
        <x:v>en-04f13cef08d5</x:v>
      </x:c>
      <x:c r="B6" s="16" t="str">
        <x:v>en</x:v>
      </x:c>
      <x:c r="C6" s="16" t="str">
        <x:v>Jungle</x:v>
      </x:c>
      <x:c r="D6" s="16" t="str">
        <x:v>Jungle</x:v>
      </x:c>
      <x:c r="E6" s="16" t="str">
        <x:v>Original</x:v>
      </x:c>
      <x:c r="F6" s="16" t="str">
        <x:v>Card set / collection</x:v>
      </x:c>
      <x:c r="G6" s="16" t="str">
        <x:v>JU</x:v>
      </x:c>
      <x:c r="H6" s="16" t="str">
        <x:v>Source abbreviation</x:v>
      </x:c>
      <x:c r="I6" s="16" t="str">
        <x:v>1999-06-16</x:v>
      </x:c>
      <x:c r="J6" s="16" t="str">
        <x:v>day</x:v>
      </x:c>
      <x:c r="K6" s="16" t="str">
        <x:v>International English; source default date</x:v>
      </x:c>
      <x:c r="L6" s="16" t="n">
        <x:v>64</x:v>
      </x:c>
      <x:c r="M6" s="16" t="n">
        <x:v>0</x:v>
      </x:c>
      <x:c r="N6" s="16" t="n">
        <x:v>0</x:v>
      </x:c>
      <x:c r="O6" s="16" t="n">
        <x:v>64</x:v>
      </x:c>
      <x:c r="P6" s="16" t="n">
        <x:v>64</x:v>
      </x:c>
      <x:c r="Q6" s="16"/>
      <x:c r="R6" s="16"/>
      <x:c r="S6" s="16" t="str"/>
      <x:c r="T6" s="16"/>
      <x:c r="U6" s="16" t="str">
        <x:v>NO — review only</x:v>
      </x:c>
    </x:row>
    <x:row r="7" ht="54" customHeight="1">
      <x:c r="A7" s="16" t="str">
        <x:v>en-aa7e14b7f0c8</x:v>
      </x:c>
      <x:c r="B7" s="16" t="str">
        <x:v>en</x:v>
      </x:c>
      <x:c r="C7" s="16" t="str">
        <x:v>Wizards Black Star Promos</x:v>
      </x:c>
      <x:c r="D7" s="16" t="str">
        <x:v>Wizards Black Star Promos</x:v>
      </x:c>
      <x:c r="E7" s="16" t="str">
        <x:v>Original</x:v>
      </x:c>
      <x:c r="F7" s="16" t="str">
        <x:v>Promo catalogue</x:v>
      </x:c>
      <x:c r="G7" s="16" t="str">
        <x:v>WP</x:v>
      </x:c>
      <x:c r="H7" s="16" t="str">
        <x:v>Source abbreviation</x:v>
      </x:c>
      <x:c r="I7" s="16" t="str">
        <x:v>1999-07</x:v>
      </x:c>
      <x:c r="J7" s="16" t="str">
        <x:v>month</x:v>
      </x:c>
      <x:c r="K7" s="16" t="str">
        <x:v>International English; source default date</x:v>
      </x:c>
      <x:c r="L7" s="16" t="n">
        <x:v>53</x:v>
      </x:c>
      <x:c r="M7" s="16" t="n">
        <x:v>0</x:v>
      </x:c>
      <x:c r="N7" s="16" t="n">
        <x:v>0</x:v>
      </x:c>
      <x:c r="O7" s="16" t="n">
        <x:v>53</x:v>
      </x:c>
      <x:c r="P7" s="16" t="n">
        <x:v>53</x:v>
      </x:c>
      <x:c r="Q7" s="16"/>
      <x:c r="R7" s="16"/>
      <x:c r="S7" s="16" t="str"/>
      <x:c r="T7" s="16"/>
      <x:c r="U7" s="16" t="str">
        <x:v>NO — review only</x:v>
      </x:c>
    </x:row>
    <x:row r="8" ht="54" customHeight="1">
      <x:c r="A8" s="16" t="str">
        <x:v>en-1023534ac633</x:v>
      </x:c>
      <x:c r="B8" s="16" t="str">
        <x:v>en</x:v>
      </x:c>
      <x:c r="C8" s="16" t="str">
        <x:v>Fossil</x:v>
      </x:c>
      <x:c r="D8" s="16" t="str">
        <x:v>Fossil</x:v>
      </x:c>
      <x:c r="E8" s="16" t="str">
        <x:v>Original</x:v>
      </x:c>
      <x:c r="F8" s="16" t="str">
        <x:v>Card set / collection</x:v>
      </x:c>
      <x:c r="G8" s="16" t="str">
        <x:v>FO</x:v>
      </x:c>
      <x:c r="H8" s="16" t="str">
        <x:v>Source abbreviation</x:v>
      </x:c>
      <x:c r="I8" s="16" t="str">
        <x:v>1999-10-10</x:v>
      </x:c>
      <x:c r="J8" s="16" t="str">
        <x:v>day</x:v>
      </x:c>
      <x:c r="K8" s="16" t="str">
        <x:v>International English; source default date</x:v>
      </x:c>
      <x:c r="L8" s="16" t="n">
        <x:v>62</x:v>
      </x:c>
      <x:c r="M8" s="16" t="n">
        <x:v>0</x:v>
      </x:c>
      <x:c r="N8" s="16" t="n">
        <x:v>0</x:v>
      </x:c>
      <x:c r="O8" s="16" t="n">
        <x:v>62</x:v>
      </x:c>
      <x:c r="P8" s="16" t="n">
        <x:v>62</x:v>
      </x:c>
      <x:c r="Q8" s="16"/>
      <x:c r="R8" s="16"/>
      <x:c r="S8" s="16" t="str"/>
      <x:c r="T8" s="16"/>
      <x:c r="U8" s="16" t="str">
        <x:v>NO — review only</x:v>
      </x:c>
    </x:row>
    <x:row r="9" ht="54" customHeight="1">
      <x:c r="A9" s="16" t="str">
        <x:v>en-a8df9e98a90c</x:v>
      </x:c>
      <x:c r="B9" s="16" t="str">
        <x:v>en</x:v>
      </x:c>
      <x:c r="C9" s="16" t="str">
        <x:v>Base Set 2</x:v>
      </x:c>
      <x:c r="D9" s="16" t="str">
        <x:v>Base Set 2</x:v>
      </x:c>
      <x:c r="E9" s="16" t="str">
        <x:v>Original</x:v>
      </x:c>
      <x:c r="F9" s="16" t="str">
        <x:v>Card set / collection</x:v>
      </x:c>
      <x:c r="G9" s="16" t="str">
        <x:v>B2</x:v>
      </x:c>
      <x:c r="H9" s="16" t="str">
        <x:v>Source abbreviation</x:v>
      </x:c>
      <x:c r="I9" s="16" t="str">
        <x:v>2000-02-24</x:v>
      </x:c>
      <x:c r="J9" s="16" t="str">
        <x:v>day</x:v>
      </x:c>
      <x:c r="K9" s="16" t="str">
        <x:v>International English; source default date</x:v>
      </x:c>
      <x:c r="L9" s="16" t="n">
        <x:v>130</x:v>
      </x:c>
      <x:c r="M9" s="16" t="n">
        <x:v>0</x:v>
      </x:c>
      <x:c r="N9" s="16" t="n">
        <x:v>0</x:v>
      </x:c>
      <x:c r="O9" s="16" t="n">
        <x:v>130</x:v>
      </x:c>
      <x:c r="P9" s="16" t="n">
        <x:v>130</x:v>
      </x:c>
      <x:c r="Q9" s="16"/>
      <x:c r="R9" s="16"/>
      <x:c r="S9" s="16" t="str"/>
      <x:c r="T9" s="16"/>
      <x:c r="U9" s="16" t="str">
        <x:v>NO — review only</x:v>
      </x:c>
    </x:row>
    <x:row r="10" ht="54" customHeight="1">
      <x:c r="A10" s="16" t="str">
        <x:v>en-c60e2d562834</x:v>
      </x:c>
      <x:c r="B10" s="16" t="str">
        <x:v>en</x:v>
      </x:c>
      <x:c r="C10" s="16" t="str">
        <x:v>Team Rocket</x:v>
      </x:c>
      <x:c r="D10" s="16" t="str">
        <x:v>Team Rocket</x:v>
      </x:c>
      <x:c r="E10" s="16" t="str">
        <x:v>Original</x:v>
      </x:c>
      <x:c r="F10" s="16" t="str">
        <x:v>Card set / collection</x:v>
      </x:c>
      <x:c r="G10" s="16" t="str">
        <x:v>TR</x:v>
      </x:c>
      <x:c r="H10" s="16" t="str">
        <x:v>Source abbreviation</x:v>
      </x:c>
      <x:c r="I10" s="16" t="str">
        <x:v>2000-04-24</x:v>
      </x:c>
      <x:c r="J10" s="16" t="str">
        <x:v>day</x:v>
      </x:c>
      <x:c r="K10" s="16" t="str">
        <x:v>International English; source default date</x:v>
      </x:c>
      <x:c r="L10" s="16" t="n">
        <x:v>82</x:v>
      </x:c>
      <x:c r="M10" s="16" t="n">
        <x:v>1</x:v>
      </x:c>
      <x:c r="N10" s="16" t="n">
        <x:v>0</x:v>
      </x:c>
      <x:c r="O10" s="16" t="n">
        <x:v>83</x:v>
      </x:c>
      <x:c r="P10" s="16" t="n">
        <x:v>83</x:v>
      </x:c>
      <x:c r="Q10" s="16"/>
      <x:c r="R10" s="16"/>
      <x:c r="S10" s="16" t="str"/>
      <x:c r="T10" s="16"/>
      <x:c r="U10" s="16" t="str">
        <x:v>NO — review only</x:v>
      </x:c>
    </x:row>
    <x:row r="11" ht="54" customHeight="1">
      <x:c r="A11" s="16" t="str">
        <x:v>en-c5ce98007735</x:v>
      </x:c>
      <x:c r="B11" s="16" t="str">
        <x:v>en</x:v>
      </x:c>
      <x:c r="C11" s="16" t="str">
        <x:v>Gym Heroes</x:v>
      </x:c>
      <x:c r="D11" s="16" t="str">
        <x:v>Gym Heroes</x:v>
      </x:c>
      <x:c r="E11" s="16" t="str">
        <x:v>Original</x:v>
      </x:c>
      <x:c r="F11" s="16" t="str">
        <x:v>Card set / collection</x:v>
      </x:c>
      <x:c r="G11" s="16" t="str">
        <x:v>G1</x:v>
      </x:c>
      <x:c r="H11" s="16" t="str">
        <x:v>Source abbreviation</x:v>
      </x:c>
      <x:c r="I11" s="16" t="str">
        <x:v>2000-08-14</x:v>
      </x:c>
      <x:c r="J11" s="16" t="str">
        <x:v>day</x:v>
      </x:c>
      <x:c r="K11" s="16" t="str">
        <x:v>International English; source default date</x:v>
      </x:c>
      <x:c r="L11" s="16" t="n">
        <x:v>132</x:v>
      </x:c>
      <x:c r="M11" s="16" t="n">
        <x:v>0</x:v>
      </x:c>
      <x:c r="N11" s="16" t="n">
        <x:v>0</x:v>
      </x:c>
      <x:c r="O11" s="16" t="n">
        <x:v>132</x:v>
      </x:c>
      <x:c r="P11" s="16" t="n">
        <x:v>132</x:v>
      </x:c>
      <x:c r="Q11" s="16"/>
      <x:c r="R11" s="16"/>
      <x:c r="S11" s="16" t="str"/>
      <x:c r="T11" s="16"/>
      <x:c r="U11" s="16" t="str">
        <x:v>NO — review only</x:v>
      </x:c>
    </x:row>
    <x:row r="12" ht="54" customHeight="1">
      <x:c r="A12" s="16" t="str">
        <x:v>en-02504fb70732</x:v>
      </x:c>
      <x:c r="B12" s="16" t="str">
        <x:v>en</x:v>
      </x:c>
      <x:c r="C12" s="16" t="str">
        <x:v>Gym Challenge</x:v>
      </x:c>
      <x:c r="D12" s="16" t="str">
        <x:v>Gym Challenge</x:v>
      </x:c>
      <x:c r="E12" s="16" t="str">
        <x:v>Original</x:v>
      </x:c>
      <x:c r="F12" s="16" t="str">
        <x:v>Card set / collection</x:v>
      </x:c>
      <x:c r="G12" s="16" t="str">
        <x:v>G2</x:v>
      </x:c>
      <x:c r="H12" s="16" t="str">
        <x:v>Source abbreviation</x:v>
      </x:c>
      <x:c r="I12" s="16" t="str">
        <x:v>2000-10-16</x:v>
      </x:c>
      <x:c r="J12" s="16" t="str">
        <x:v>day</x:v>
      </x:c>
      <x:c r="K12" s="16" t="str">
        <x:v>International English; source default date</x:v>
      </x:c>
      <x:c r="L12" s="16" t="n">
        <x:v>132</x:v>
      </x:c>
      <x:c r="M12" s="16" t="n">
        <x:v>0</x:v>
      </x:c>
      <x:c r="N12" s="16" t="n">
        <x:v>0</x:v>
      </x:c>
      <x:c r="O12" s="16" t="n">
        <x:v>132</x:v>
      </x:c>
      <x:c r="P12" s="16" t="n">
        <x:v>132</x:v>
      </x:c>
      <x:c r="Q12" s="16"/>
      <x:c r="R12" s="16"/>
      <x:c r="S12" s="16" t="str"/>
      <x:c r="T12" s="16"/>
      <x:c r="U12" s="16" t="str">
        <x:v>NO — review only</x:v>
      </x:c>
    </x:row>
    <x:row r="13" ht="54" customHeight="1">
      <x:c r="A13" s="16" t="str">
        <x:v>en-20cc938f566a</x:v>
      </x:c>
      <x:c r="B13" s="16" t="str">
        <x:v>en</x:v>
      </x:c>
      <x:c r="C13" s="16" t="str">
        <x:v>Neo Genesis</x:v>
      </x:c>
      <x:c r="D13" s="16" t="str">
        <x:v>Neo Genesis</x:v>
      </x:c>
      <x:c r="E13" s="16" t="str">
        <x:v>Neo</x:v>
      </x:c>
      <x:c r="F13" s="16" t="str">
        <x:v>Card set / collection</x:v>
      </x:c>
      <x:c r="G13" s="16" t="str">
        <x:v>N1</x:v>
      </x:c>
      <x:c r="H13" s="16" t="str">
        <x:v>Source abbreviation</x:v>
      </x:c>
      <x:c r="I13" s="16" t="str">
        <x:v>2000-12-16</x:v>
      </x:c>
      <x:c r="J13" s="16" t="str">
        <x:v>day</x:v>
      </x:c>
      <x:c r="K13" s="16" t="str">
        <x:v>International English; source default date</x:v>
      </x:c>
      <x:c r="L13" s="16" t="n">
        <x:v>111</x:v>
      </x:c>
      <x:c r="M13" s="16" t="n">
        <x:v>0</x:v>
      </x:c>
      <x:c r="N13" s="16" t="n">
        <x:v>0</x:v>
      </x:c>
      <x:c r="O13" s="16" t="n">
        <x:v>111</x:v>
      </x:c>
      <x:c r="P13" s="16" t="n">
        <x:v>111</x:v>
      </x:c>
      <x:c r="Q13" s="16"/>
      <x:c r="R13" s="16"/>
      <x:c r="S13" s="16" t="str"/>
      <x:c r="T13" s="16"/>
      <x:c r="U13" s="16" t="str">
        <x:v>NO — review only</x:v>
      </x:c>
    </x:row>
    <x:row r="14" ht="54" customHeight="1">
      <x:c r="A14" s="16" t="str">
        <x:v>en-35d669d41542</x:v>
      </x:c>
      <x:c r="B14" s="16" t="str">
        <x:v>en</x:v>
      </x:c>
      <x:c r="C14" s="16" t="str">
        <x:v>Neo Discovery</x:v>
      </x:c>
      <x:c r="D14" s="16" t="str">
        <x:v>Neo Discovery</x:v>
      </x:c>
      <x:c r="E14" s="16" t="str">
        <x:v>Neo</x:v>
      </x:c>
      <x:c r="F14" s="16" t="str">
        <x:v>Card set / collection</x:v>
      </x:c>
      <x:c r="G14" s="16" t="str">
        <x:v>N2</x:v>
      </x:c>
      <x:c r="H14" s="16" t="str">
        <x:v>Source abbreviation</x:v>
      </x:c>
      <x:c r="I14" s="16" t="str">
        <x:v>2001-06-01</x:v>
      </x:c>
      <x:c r="J14" s="16" t="str">
        <x:v>day</x:v>
      </x:c>
      <x:c r="K14" s="16" t="str">
        <x:v>International English; source default date</x:v>
      </x:c>
      <x:c r="L14" s="16" t="n">
        <x:v>75</x:v>
      </x:c>
      <x:c r="M14" s="16" t="n">
        <x:v>0</x:v>
      </x:c>
      <x:c r="N14" s="16" t="n">
        <x:v>0</x:v>
      </x:c>
      <x:c r="O14" s="16" t="n">
        <x:v>75</x:v>
      </x:c>
      <x:c r="P14" s="16" t="n">
        <x:v>75</x:v>
      </x:c>
      <x:c r="Q14" s="16"/>
      <x:c r="R14" s="16"/>
      <x:c r="S14" s="16" t="str"/>
      <x:c r="T14" s="16"/>
      <x:c r="U14" s="16" t="str">
        <x:v>NO — review only</x:v>
      </x:c>
    </x:row>
    <x:row r="15" ht="54" customHeight="1">
      <x:c r="A15" s="16" t="str">
        <x:v>en-6cd59d2de3c3</x:v>
      </x:c>
      <x:c r="B15" s="16" t="str">
        <x:v>en</x:v>
      </x:c>
      <x:c r="C15" s="16" t="str">
        <x:v>Southern Islands</x:v>
      </x:c>
      <x:c r="D15" s="16" t="str">
        <x:v>Southern Islands</x:v>
      </x:c>
      <x:c r="E15" s="16" t="str">
        <x:v>Miscellaneous</x:v>
      </x:c>
      <x:c r="F15" s="16" t="str">
        <x:v>Card set / collection</x:v>
      </x:c>
      <x:c r="G15" s="16" t="str">
        <x:v>SI</x:v>
      </x:c>
      <x:c r="H15" s="16" t="str">
        <x:v>Source abbreviation</x:v>
      </x:c>
      <x:c r="I15" s="16" t="str">
        <x:v>2001-07-31</x:v>
      </x:c>
      <x:c r="J15" s="16" t="str">
        <x:v>day</x:v>
      </x:c>
      <x:c r="K15" s="16" t="str">
        <x:v>International English; source default date</x:v>
      </x:c>
      <x:c r="L15" s="16" t="n">
        <x:v>18</x:v>
      </x:c>
      <x:c r="M15" s="16" t="n">
        <x:v>0</x:v>
      </x:c>
      <x:c r="N15" s="16" t="n">
        <x:v>0</x:v>
      </x:c>
      <x:c r="O15" s="16" t="n">
        <x:v>18</x:v>
      </x:c>
      <x:c r="P15" s="16" t="n">
        <x:v>18</x:v>
      </x:c>
      <x:c r="Q15" s="16"/>
      <x:c r="R15" s="16"/>
      <x:c r="S15" s="16" t="str"/>
      <x:c r="T15" s="16"/>
      <x:c r="U15" s="16" t="str">
        <x:v>NO — review only</x:v>
      </x:c>
    </x:row>
    <x:row r="16" ht="54" customHeight="1">
      <x:c r="A16" s="16" t="str">
        <x:v>en-4ebd136067f6</x:v>
      </x:c>
      <x:c r="B16" s="16" t="str">
        <x:v>en</x:v>
      </x:c>
      <x:c r="C16" s="16" t="str">
        <x:v>Neo Revelation</x:v>
      </x:c>
      <x:c r="D16" s="16" t="str">
        <x:v>Neo Revelation</x:v>
      </x:c>
      <x:c r="E16" s="16" t="str">
        <x:v>Neo</x:v>
      </x:c>
      <x:c r="F16" s="16" t="str">
        <x:v>Card set / collection</x:v>
      </x:c>
      <x:c r="G16" s="16" t="str">
        <x:v>N3</x:v>
      </x:c>
      <x:c r="H16" s="16" t="str">
        <x:v>Source abbreviation</x:v>
      </x:c>
      <x:c r="I16" s="16" t="str">
        <x:v>2001-09-21</x:v>
      </x:c>
      <x:c r="J16" s="16" t="str">
        <x:v>day</x:v>
      </x:c>
      <x:c r="K16" s="16" t="str">
        <x:v>International English; source default date</x:v>
      </x:c>
      <x:c r="L16" s="16" t="n">
        <x:v>64</x:v>
      </x:c>
      <x:c r="M16" s="16" t="n">
        <x:v>2</x:v>
      </x:c>
      <x:c r="N16" s="16" t="n">
        <x:v>0</x:v>
      </x:c>
      <x:c r="O16" s="16" t="n">
        <x:v>66</x:v>
      </x:c>
      <x:c r="P16" s="16" t="n">
        <x:v>66</x:v>
      </x:c>
      <x:c r="Q16" s="16"/>
      <x:c r="R16" s="16"/>
      <x:c r="S16" s="16" t="str"/>
      <x:c r="T16" s="16"/>
      <x:c r="U16" s="16" t="str">
        <x:v>NO — review only</x:v>
      </x:c>
    </x:row>
    <x:row r="17" ht="54" customHeight="1">
      <x:c r="A17" s="16" t="str">
        <x:v>en-c2856ff4149f</x:v>
      </x:c>
      <x:c r="B17" s="16" t="str">
        <x:v>en</x:v>
      </x:c>
      <x:c r="C17" s="16" t="str">
        <x:v>Neo Destiny</x:v>
      </x:c>
      <x:c r="D17" s="16" t="str">
        <x:v>Neo Destiny</x:v>
      </x:c>
      <x:c r="E17" s="16" t="str">
        <x:v>Neo</x:v>
      </x:c>
      <x:c r="F17" s="16" t="str">
        <x:v>Card set / collection</x:v>
      </x:c>
      <x:c r="G17" s="16" t="str">
        <x:v>N4</x:v>
      </x:c>
      <x:c r="H17" s="16" t="str">
        <x:v>Source abbreviation</x:v>
      </x:c>
      <x:c r="I17" s="16" t="str">
        <x:v>2002-02-28</x:v>
      </x:c>
      <x:c r="J17" s="16" t="str">
        <x:v>day</x:v>
      </x:c>
      <x:c r="K17" s="16" t="str">
        <x:v>International English; source default date</x:v>
      </x:c>
      <x:c r="L17" s="16" t="n">
        <x:v>105</x:v>
      </x:c>
      <x:c r="M17" s="16" t="n">
        <x:v>8</x:v>
      </x:c>
      <x:c r="N17" s="16" t="n">
        <x:v>0</x:v>
      </x:c>
      <x:c r="O17" s="16" t="n">
        <x:v>113</x:v>
      </x:c>
      <x:c r="P17" s="16" t="n">
        <x:v>113</x:v>
      </x:c>
      <x:c r="Q17" s="16"/>
      <x:c r="R17" s="16"/>
      <x:c r="S17" s="16" t="str"/>
      <x:c r="T17" s="16"/>
      <x:c r="U17" s="16" t="str">
        <x:v>NO — review only</x:v>
      </x:c>
    </x:row>
    <x:row r="18" ht="54" customHeight="1">
      <x:c r="A18" s="16" t="str">
        <x:v>en-cd4f85d44ef5</x:v>
      </x:c>
      <x:c r="B18" s="16" t="str">
        <x:v>en</x:v>
      </x:c>
      <x:c r="C18" s="16" t="str">
        <x:v>Legendary Collection</x:v>
      </x:c>
      <x:c r="D18" s="16" t="str">
        <x:v>Legendary Collection</x:v>
      </x:c>
      <x:c r="E18" s="16" t="str">
        <x:v>Legendary Collection</x:v>
      </x:c>
      <x:c r="F18" s="16" t="str">
        <x:v>Card set / collection</x:v>
      </x:c>
      <x:c r="G18" s="16" t="str">
        <x:v>LC</x:v>
      </x:c>
      <x:c r="H18" s="16" t="str">
        <x:v>Source abbreviation</x:v>
      </x:c>
      <x:c r="I18" s="16" t="str">
        <x:v>2002-05-24</x:v>
      </x:c>
      <x:c r="J18" s="16" t="str">
        <x:v>day</x:v>
      </x:c>
      <x:c r="K18" s="16" t="str">
        <x:v>International English; source default date</x:v>
      </x:c>
      <x:c r="L18" s="16" t="n">
        <x:v>110</x:v>
      </x:c>
      <x:c r="M18" s="16" t="n">
        <x:v>0</x:v>
      </x:c>
      <x:c r="N18" s="16" t="n">
        <x:v>0</x:v>
      </x:c>
      <x:c r="O18" s="16" t="n">
        <x:v>110</x:v>
      </x:c>
      <x:c r="P18" s="16" t="n">
        <x:v>110</x:v>
      </x:c>
      <x:c r="Q18" s="16"/>
      <x:c r="R18" s="16"/>
      <x:c r="S18" s="16" t="str"/>
      <x:c r="T18" s="16"/>
      <x:c r="U18" s="16" t="str">
        <x:v>NO — review only</x:v>
      </x:c>
    </x:row>
    <x:row r="19" ht="54" customHeight="1">
      <x:c r="A19" s="16" t="str">
        <x:v>en-5d6d8308391d</x:v>
      </x:c>
      <x:c r="B19" s="16" t="str">
        <x:v>en</x:v>
      </x:c>
      <x:c r="C19" s="16" t="str">
        <x:v>Expedition Base Set</x:v>
      </x:c>
      <x:c r="D19" s="16" t="str">
        <x:v>Expedition Base Set</x:v>
      </x:c>
      <x:c r="E19" s="16" t="str">
        <x:v>e-Card</x:v>
      </x:c>
      <x:c r="F19" s="16" t="str">
        <x:v>Card set / collection</x:v>
      </x:c>
      <x:c r="G19" s="16" t="str">
        <x:v>EX</x:v>
      </x:c>
      <x:c r="H19" s="16" t="str">
        <x:v>Source abbreviation</x:v>
      </x:c>
      <x:c r="I19" s="16" t="str">
        <x:v>2002-09-15</x:v>
      </x:c>
      <x:c r="J19" s="16" t="str">
        <x:v>day</x:v>
      </x:c>
      <x:c r="K19" s="16" t="str">
        <x:v>International English; source default date</x:v>
      </x:c>
      <x:c r="L19" s="16" t="n">
        <x:v>165</x:v>
      </x:c>
      <x:c r="M19" s="16" t="n">
        <x:v>0</x:v>
      </x:c>
      <x:c r="N19" s="16" t="n">
        <x:v>0</x:v>
      </x:c>
      <x:c r="O19" s="16" t="n">
        <x:v>165</x:v>
      </x:c>
      <x:c r="P19" s="16" t="n">
        <x:v>165</x:v>
      </x:c>
      <x:c r="Q19" s="16"/>
      <x:c r="R19" s="16"/>
      <x:c r="S19" s="16" t="str"/>
      <x:c r="T19" s="16"/>
      <x:c r="U19" s="16" t="str">
        <x:v>NO — review only</x:v>
      </x:c>
    </x:row>
    <x:row r="20" ht="54" customHeight="1">
      <x:c r="A20" s="16" t="str">
        <x:v>en-6b8ea434ff3c</x:v>
      </x:c>
      <x:c r="B20" s="16" t="str">
        <x:v>en</x:v>
      </x:c>
      <x:c r="C20" s="16" t="str">
        <x:v>Best of Game</x:v>
      </x:c>
      <x:c r="D20" s="16" t="str">
        <x:v>Best of Game</x:v>
      </x:c>
      <x:c r="E20" s="16" t="str">
        <x:v>Miscellaneous</x:v>
      </x:c>
      <x:c r="F20" s="16" t="str">
        <x:v>Promo catalogue</x:v>
      </x:c>
      <x:c r="G20" s="16" t="str">
        <x:v>BOG</x:v>
      </x:c>
      <x:c r="H20" s="16" t="str">
        <x:v>Stackr canonical abbreviation; BP retained as external/community alias</x:v>
      </x:c>
      <x:c r="I20" s="16" t="str">
        <x:v>2002-12</x:v>
      </x:c>
      <x:c r="J20" s="16" t="str">
        <x:v>month</x:v>
      </x:c>
      <x:c r="K20" s="16" t="str">
        <x:v>International English; source default date</x:v>
      </x:c>
      <x:c r="L20" s="16" t="n">
        <x:v>9</x:v>
      </x:c>
      <x:c r="M20" s="16" t="n">
        <x:v>0</x:v>
      </x:c>
      <x:c r="N20" s="16" t="n">
        <x:v>0</x:v>
      </x:c>
      <x:c r="O20" s="16" t="n">
        <x:v>9</x:v>
      </x:c>
      <x:c r="P20" s="16" t="n">
        <x:v>9</x:v>
      </x:c>
      <x:c r="Q20" s="16"/>
      <x:c r="R20" s="16"/>
      <x:c r="S20" s="16" t="str"/>
      <x:c r="T20" s="16" t="str">
        <x:v>https://pkmncards.com/sets/</x:v>
      </x:c>
      <x:c r="U20" s="16" t="str">
        <x:v>NO — review only</x:v>
      </x:c>
    </x:row>
    <x:row r="21" ht="54" customHeight="1">
      <x:c r="A21" s="16" t="str">
        <x:v>en-cc20a20022be</x:v>
      </x:c>
      <x:c r="B21" s="16" t="str">
        <x:v>en</x:v>
      </x:c>
      <x:c r="C21" s="16" t="str">
        <x:v>Aquapolis</x:v>
      </x:c>
      <x:c r="D21" s="16" t="str">
        <x:v>Aquapolis</x:v>
      </x:c>
      <x:c r="E21" s="16" t="str">
        <x:v>e-Card</x:v>
      </x:c>
      <x:c r="F21" s="16" t="str">
        <x:v>Card set / collection</x:v>
      </x:c>
      <x:c r="G21" s="16" t="str">
        <x:v>AQ</x:v>
      </x:c>
      <x:c r="H21" s="16" t="str">
        <x:v>Source abbreviation</x:v>
      </x:c>
      <x:c r="I21" s="16" t="str">
        <x:v>2003-01-15</x:v>
      </x:c>
      <x:c r="J21" s="16" t="str">
        <x:v>day</x:v>
      </x:c>
      <x:c r="K21" s="16" t="str">
        <x:v>International English; source default date</x:v>
      </x:c>
      <x:c r="L21" s="16" t="n">
        <x:v>147</x:v>
      </x:c>
      <x:c r="M21" s="16" t="n">
        <x:v>3</x:v>
      </x:c>
      <x:c r="N21" s="16" t="n">
        <x:v>32</x:v>
      </x:c>
      <x:c r="O21" s="16" t="n">
        <x:v>182</x:v>
      </x:c>
      <x:c r="P21" s="16" t="n">
        <x:v>182</x:v>
      </x:c>
      <x:c r="Q21" s="16"/>
      <x:c r="R21" s="16"/>
      <x:c r="S21" s="16" t="str"/>
      <x:c r="T21" s="16"/>
      <x:c r="U21" s="16" t="str">
        <x:v>NO — review only</x:v>
      </x:c>
    </x:row>
    <x:row r="22" ht="54" customHeight="1">
      <x:c r="A22" s="16" t="str">
        <x:v>en-97419826c195</x:v>
      </x:c>
      <x:c r="B22" s="16" t="str">
        <x:v>en</x:v>
      </x:c>
      <x:c r="C22" s="16" t="str">
        <x:v>Skyridge</x:v>
      </x:c>
      <x:c r="D22" s="16" t="str">
        <x:v>Skyridge</x:v>
      </x:c>
      <x:c r="E22" s="16" t="str">
        <x:v>e-Card</x:v>
      </x:c>
      <x:c r="F22" s="16" t="str">
        <x:v>Card set / collection</x:v>
      </x:c>
      <x:c r="G22" s="16" t="str">
        <x:v>SK</x:v>
      </x:c>
      <x:c r="H22" s="16" t="str">
        <x:v>Source abbreviation</x:v>
      </x:c>
      <x:c r="I22" s="16" t="str">
        <x:v>2003-05-12</x:v>
      </x:c>
      <x:c r="J22" s="16" t="str">
        <x:v>day</x:v>
      </x:c>
      <x:c r="K22" s="16" t="str">
        <x:v>International English; source default date</x:v>
      </x:c>
      <x:c r="L22" s="16" t="n">
        <x:v>144</x:v>
      </x:c>
      <x:c r="M22" s="16" t="n">
        <x:v>6</x:v>
      </x:c>
      <x:c r="N22" s="16" t="n">
        <x:v>32</x:v>
      </x:c>
      <x:c r="O22" s="16" t="n">
        <x:v>182</x:v>
      </x:c>
      <x:c r="P22" s="16" t="n">
        <x:v>182</x:v>
      </x:c>
      <x:c r="Q22" s="16"/>
      <x:c r="R22" s="16"/>
      <x:c r="S22" s="16" t="str"/>
      <x:c r="T22" s="16"/>
      <x:c r="U22" s="16" t="str">
        <x:v>NO — review only</x:v>
      </x:c>
    </x:row>
    <x:row r="23" ht="54" customHeight="1">
      <x:c r="A23" s="16" t="str">
        <x:v>en-9fae739d1b50</x:v>
      </x:c>
      <x:c r="B23" s="16" t="str">
        <x:v>en</x:v>
      </x:c>
      <x:c r="C23" s="16" t="str">
        <x:v>EX Ruby &amp; Sapphire</x:v>
      </x:c>
      <x:c r="D23" s="16" t="str">
        <x:v>EX Ruby &amp; Sapphire</x:v>
      </x:c>
      <x:c r="E23" s="16" t="str">
        <x:v>EX</x:v>
      </x:c>
      <x:c r="F23" s="16" t="str">
        <x:v>Card set / collection</x:v>
      </x:c>
      <x:c r="G23" s="16" t="str">
        <x:v>RS</x:v>
      </x:c>
      <x:c r="H23" s="16" t="str">
        <x:v>Source abbreviation</x:v>
      </x:c>
      <x:c r="I23" s="16" t="str">
        <x:v>2003-07-18</x:v>
      </x:c>
      <x:c r="J23" s="16" t="str">
        <x:v>day</x:v>
      </x:c>
      <x:c r="K23" s="16" t="str">
        <x:v>International English; source default date</x:v>
      </x:c>
      <x:c r="L23" s="16" t="n">
        <x:v>109</x:v>
      </x:c>
      <x:c r="M23" s="16" t="n">
        <x:v>0</x:v>
      </x:c>
      <x:c r="N23" s="16" t="n">
        <x:v>0</x:v>
      </x:c>
      <x:c r="O23" s="16" t="n">
        <x:v>109</x:v>
      </x:c>
      <x:c r="P23" s="16" t="n">
        <x:v>109</x:v>
      </x:c>
      <x:c r="Q23" s="16"/>
      <x:c r="R23" s="16"/>
      <x:c r="S23" s="16" t="str"/>
      <x:c r="T23" s="16"/>
      <x:c r="U23" s="16" t="str">
        <x:v>NO — review only</x:v>
      </x:c>
    </x:row>
    <x:row r="24" ht="54" customHeight="1">
      <x:c r="A24" s="16" t="str">
        <x:v>en-2c8548f403ec</x:v>
      </x:c>
      <x:c r="B24" s="16" t="str">
        <x:v>en</x:v>
      </x:c>
      <x:c r="C24" s="16" t="str">
        <x:v>EX Sandstorm</x:v>
      </x:c>
      <x:c r="D24" s="16" t="str">
        <x:v>EX Sandstorm</x:v>
      </x:c>
      <x:c r="E24" s="16" t="str">
        <x:v>EX</x:v>
      </x:c>
      <x:c r="F24" s="16" t="str">
        <x:v>Card set / collection</x:v>
      </x:c>
      <x:c r="G24" s="16" t="str">
        <x:v>SS</x:v>
      </x:c>
      <x:c r="H24" s="16" t="str">
        <x:v>Source abbreviation</x:v>
      </x:c>
      <x:c r="I24" s="16" t="str">
        <x:v>2003-09-18</x:v>
      </x:c>
      <x:c r="J24" s="16" t="str">
        <x:v>day</x:v>
      </x:c>
      <x:c r="K24" s="16" t="str">
        <x:v>International English; source default date</x:v>
      </x:c>
      <x:c r="L24" s="16" t="n">
        <x:v>100</x:v>
      </x:c>
      <x:c r="M24" s="16" t="n">
        <x:v>0</x:v>
      </x:c>
      <x:c r="N24" s="16" t="n">
        <x:v>0</x:v>
      </x:c>
      <x:c r="O24" s="16" t="n">
        <x:v>100</x:v>
      </x:c>
      <x:c r="P24" s="16" t="n">
        <x:v>100</x:v>
      </x:c>
      <x:c r="Q24" s="16"/>
      <x:c r="R24" s="16"/>
      <x:c r="S24" s="16" t="str"/>
      <x:c r="T24" s="16"/>
      <x:c r="U24" s="16" t="str">
        <x:v>NO — review only</x:v>
      </x:c>
    </x:row>
    <x:row r="25" ht="54" customHeight="1">
      <x:c r="A25" s="16" t="str">
        <x:v>en-25a30d326497</x:v>
      </x:c>
      <x:c r="B25" s="16" t="str">
        <x:v>en</x:v>
      </x:c>
      <x:c r="C25" s="16" t="str">
        <x:v>Nintendo Black Star Promos</x:v>
      </x:c>
      <x:c r="D25" s="16" t="str">
        <x:v>Nintendo Black Star Promos</x:v>
      </x:c>
      <x:c r="E25" s="16" t="str">
        <x:v>EX</x:v>
      </x:c>
      <x:c r="F25" s="16" t="str">
        <x:v>Promo catalogue</x:v>
      </x:c>
      <x:c r="G25" s="16" t="str">
        <x:v>NP</x:v>
      </x:c>
      <x:c r="H25" s="16" t="str">
        <x:v>Source abbreviation</x:v>
      </x:c>
      <x:c r="I25" s="16" t="str">
        <x:v>2003-10</x:v>
      </x:c>
      <x:c r="J25" s="16" t="str">
        <x:v>month</x:v>
      </x:c>
      <x:c r="K25" s="16" t="str">
        <x:v>International English; source default date</x:v>
      </x:c>
      <x:c r="L25" s="16" t="n">
        <x:v>40</x:v>
      </x:c>
      <x:c r="M25" s="16" t="n">
        <x:v>0</x:v>
      </x:c>
      <x:c r="N25" s="16" t="n">
        <x:v>0</x:v>
      </x:c>
      <x:c r="O25" s="16" t="n">
        <x:v>40</x:v>
      </x:c>
      <x:c r="P25" s="16" t="n">
        <x:v>40</x:v>
      </x:c>
      <x:c r="Q25" s="16"/>
      <x:c r="R25" s="16"/>
      <x:c r="S25" s="16" t="str"/>
      <x:c r="T25" s="16"/>
      <x:c r="U25" s="16" t="str">
        <x:v>NO — review only</x:v>
      </x:c>
    </x:row>
    <x:row r="26" ht="54" customHeight="1">
      <x:c r="A26" s="16" t="str">
        <x:v>en-4136e90acfc5</x:v>
      </x:c>
      <x:c r="B26" s="16" t="str">
        <x:v>en</x:v>
      </x:c>
      <x:c r="C26" s="16" t="str">
        <x:v>EX Dragon</x:v>
      </x:c>
      <x:c r="D26" s="16" t="str">
        <x:v>EX Dragon</x:v>
      </x:c>
      <x:c r="E26" s="16" t="str">
        <x:v>EX</x:v>
      </x:c>
      <x:c r="F26" s="16" t="str">
        <x:v>Card set / collection</x:v>
      </x:c>
      <x:c r="G26" s="16" t="str">
        <x:v>DR</x:v>
      </x:c>
      <x:c r="H26" s="16" t="str">
        <x:v>Source abbreviation</x:v>
      </x:c>
      <x:c r="I26" s="16" t="str">
        <x:v>2003-11-24</x:v>
      </x:c>
      <x:c r="J26" s="16" t="str">
        <x:v>day</x:v>
      </x:c>
      <x:c r="K26" s="16" t="str">
        <x:v>International English; source default date</x:v>
      </x:c>
      <x:c r="L26" s="16" t="n">
        <x:v>97</x:v>
      </x:c>
      <x:c r="M26" s="16" t="n">
        <x:v>3</x:v>
      </x:c>
      <x:c r="N26" s="16" t="n">
        <x:v>0</x:v>
      </x:c>
      <x:c r="O26" s="16" t="n">
        <x:v>100</x:v>
      </x:c>
      <x:c r="P26" s="16" t="n">
        <x:v>100</x:v>
      </x:c>
      <x:c r="Q26" s="16"/>
      <x:c r="R26" s="16"/>
      <x:c r="S26" s="16" t="str"/>
      <x:c r="T26" s="16"/>
      <x:c r="U26" s="16" t="str">
        <x:v>NO — review only</x:v>
      </x:c>
    </x:row>
    <x:row r="27" ht="54" customHeight="1">
      <x:c r="A27" s="16" t="str">
        <x:v>en-2716fcc13469</x:v>
      </x:c>
      <x:c r="B27" s="16" t="str">
        <x:v>en</x:v>
      </x:c>
      <x:c r="C27" s="16" t="str">
        <x:v>EX Team Magma vs Team Aqua</x:v>
      </x:c>
      <x:c r="D27" s="16" t="str">
        <x:v>EX Team Magma vs Team Aqua</x:v>
      </x:c>
      <x:c r="E27" s="16" t="str">
        <x:v>EX</x:v>
      </x:c>
      <x:c r="F27" s="16" t="str">
        <x:v>Card set / collection</x:v>
      </x:c>
      <x:c r="G27" s="16" t="str">
        <x:v>MA</x:v>
      </x:c>
      <x:c r="H27" s="16" t="str">
        <x:v>Source abbreviation</x:v>
      </x:c>
      <x:c r="I27" s="16" t="str">
        <x:v>2004-03-15</x:v>
      </x:c>
      <x:c r="J27" s="16" t="str">
        <x:v>day</x:v>
      </x:c>
      <x:c r="K27" s="16" t="str">
        <x:v>International English; source default date</x:v>
      </x:c>
      <x:c r="L27" s="16" t="n">
        <x:v>95</x:v>
      </x:c>
      <x:c r="M27" s="16" t="n">
        <x:v>2</x:v>
      </x:c>
      <x:c r="N27" s="16" t="n">
        <x:v>0</x:v>
      </x:c>
      <x:c r="O27" s="16" t="n">
        <x:v>97</x:v>
      </x:c>
      <x:c r="P27" s="16" t="n">
        <x:v>97</x:v>
      </x:c>
      <x:c r="Q27" s="16"/>
      <x:c r="R27" s="16"/>
      <x:c r="S27" s="16" t="str"/>
      <x:c r="T27" s="16"/>
      <x:c r="U27" s="16" t="str">
        <x:v>NO — review only</x:v>
      </x:c>
    </x:row>
    <x:row r="28" ht="54" customHeight="1">
      <x:c r="A28" s="16" t="str">
        <x:v>en-8b591b123a2d</x:v>
      </x:c>
      <x:c r="B28" s="16" t="str">
        <x:v>en</x:v>
      </x:c>
      <x:c r="C28" s="16" t="str">
        <x:v>EX Hidden Legends</x:v>
      </x:c>
      <x:c r="D28" s="16" t="str">
        <x:v>EX Hidden Legends</x:v>
      </x:c>
      <x:c r="E28" s="16" t="str">
        <x:v>EX</x:v>
      </x:c>
      <x:c r="F28" s="16" t="str">
        <x:v>Card set / collection</x:v>
      </x:c>
      <x:c r="G28" s="16" t="str">
        <x:v>HL</x:v>
      </x:c>
      <x:c r="H28" s="16" t="str">
        <x:v>Source abbreviation</x:v>
      </x:c>
      <x:c r="I28" s="16" t="str">
        <x:v>2004-06-14</x:v>
      </x:c>
      <x:c r="J28" s="16" t="str">
        <x:v>day</x:v>
      </x:c>
      <x:c r="K28" s="16" t="str">
        <x:v>International English; source default date</x:v>
      </x:c>
      <x:c r="L28" s="16" t="n">
        <x:v>101</x:v>
      </x:c>
      <x:c r="M28" s="16" t="n">
        <x:v>1</x:v>
      </x:c>
      <x:c r="N28" s="16" t="n">
        <x:v>0</x:v>
      </x:c>
      <x:c r="O28" s="16" t="n">
        <x:v>102</x:v>
      </x:c>
      <x:c r="P28" s="16" t="n">
        <x:v>102</x:v>
      </x:c>
      <x:c r="Q28" s="16"/>
      <x:c r="R28" s="16"/>
      <x:c r="S28" s="16" t="str"/>
      <x:c r="T28" s="16"/>
      <x:c r="U28" s="16" t="str">
        <x:v>NO — review only</x:v>
      </x:c>
    </x:row>
    <x:row r="29" ht="54" customHeight="1">
      <x:c r="A29" s="16" t="str">
        <x:v>en-113c19d40966</x:v>
      </x:c>
      <x:c r="B29" s="16" t="str">
        <x:v>en</x:v>
      </x:c>
      <x:c r="C29" s="16" t="str">
        <x:v>Poké Card Creator Pack</x:v>
      </x:c>
      <x:c r="D29" s="16" t="str">
        <x:v>Poké Card Creator Pack</x:v>
      </x:c>
      <x:c r="E29" s="16" t="str">
        <x:v>Miscellaneous</x:v>
      </x:c>
      <x:c r="F29" s="16" t="str">
        <x:v>Promo catalogue</x:v>
      </x:c>
      <x:c r="G29" s="16" t="str">
        <x:v>CC</x:v>
      </x:c>
      <x:c r="H29" s="16" t="str">
        <x:v>Source abbreviation</x:v>
      </x:c>
      <x:c r="I29" s="16" t="str">
        <x:v>2004-07</x:v>
      </x:c>
      <x:c r="J29" s="16" t="str">
        <x:v>month</x:v>
      </x:c>
      <x:c r="K29" s="16" t="str">
        <x:v>International English; source default date</x:v>
      </x:c>
      <x:c r="L29" s="16" t="n">
        <x:v>5</x:v>
      </x:c>
      <x:c r="M29" s="16" t="n">
        <x:v>0</x:v>
      </x:c>
      <x:c r="N29" s="16" t="n">
        <x:v>0</x:v>
      </x:c>
      <x:c r="O29" s="16" t="n">
        <x:v>5</x:v>
      </x:c>
      <x:c r="P29" s="16" t="n">
        <x:v>5</x:v>
      </x:c>
      <x:c r="Q29" s="16"/>
      <x:c r="R29" s="16"/>
      <x:c r="S29" s="16" t="str"/>
      <x:c r="T29" s="16"/>
      <x:c r="U29" s="16" t="str">
        <x:v>NO — review only</x:v>
      </x:c>
    </x:row>
    <x:row r="30" ht="54" customHeight="1">
      <x:c r="A30" s="16" t="str">
        <x:v>en-f5ccf3069644</x:v>
      </x:c>
      <x:c r="B30" s="16" t="str">
        <x:v>en</x:v>
      </x:c>
      <x:c r="C30" s="16" t="str">
        <x:v>EX FireRed &amp; LeafGreen</x:v>
      </x:c>
      <x:c r="D30" s="16" t="str">
        <x:v>EX FireRed &amp; LeafGreen</x:v>
      </x:c>
      <x:c r="E30" s="16" t="str">
        <x:v>EX</x:v>
      </x:c>
      <x:c r="F30" s="16" t="str">
        <x:v>Card set / collection</x:v>
      </x:c>
      <x:c r="G30" s="16" t="str">
        <x:v>RG</x:v>
      </x:c>
      <x:c r="H30" s="16" t="str">
        <x:v>Source abbreviation</x:v>
      </x:c>
      <x:c r="I30" s="16" t="str">
        <x:v>2004-08-30</x:v>
      </x:c>
      <x:c r="J30" s="16" t="str">
        <x:v>day</x:v>
      </x:c>
      <x:c r="K30" s="16" t="str">
        <x:v>International English; source default date</x:v>
      </x:c>
      <x:c r="L30" s="16" t="n">
        <x:v>112</x:v>
      </x:c>
      <x:c r="M30" s="16" t="n">
        <x:v>4</x:v>
      </x:c>
      <x:c r="N30" s="16" t="n">
        <x:v>0</x:v>
      </x:c>
      <x:c r="O30" s="16" t="n">
        <x:v>116</x:v>
      </x:c>
      <x:c r="P30" s="16" t="n">
        <x:v>116</x:v>
      </x:c>
      <x:c r="Q30" s="16"/>
      <x:c r="R30" s="16"/>
      <x:c r="S30" s="16" t="str"/>
      <x:c r="T30" s="16"/>
      <x:c r="U30" s="16" t="str">
        <x:v>NO — review only</x:v>
      </x:c>
    </x:row>
    <x:row r="31" ht="54" customHeight="1">
      <x:c r="A31" s="16" t="str">
        <x:v>en-3038f4c0a2b4</x:v>
      </x:c>
      <x:c r="B31" s="16" t="str">
        <x:v>en</x:v>
      </x:c>
      <x:c r="C31" s="16" t="str">
        <x:v>POP Series 1</x:v>
      </x:c>
      <x:c r="D31" s="16" t="str">
        <x:v>POP Series 1</x:v>
      </x:c>
      <x:c r="E31" s="16" t="str">
        <x:v>POP</x:v>
      </x:c>
      <x:c r="F31" s="16" t="str">
        <x:v>Promo catalogue</x:v>
      </x:c>
      <x:c r="G31" s="16" t="str">
        <x:v>POP1</x:v>
      </x:c>
      <x:c r="H31" s="16" t="str">
        <x:v>Source abbreviation</x:v>
      </x:c>
      <x:c r="I31" s="16" t="str">
        <x:v>2004-09</x:v>
      </x:c>
      <x:c r="J31" s="16" t="str">
        <x:v>month</x:v>
      </x:c>
      <x:c r="K31" s="16" t="str">
        <x:v>International English; source default date</x:v>
      </x:c>
      <x:c r="L31" s="16" t="n">
        <x:v>17</x:v>
      </x:c>
      <x:c r="M31" s="16" t="n">
        <x:v>0</x:v>
      </x:c>
      <x:c r="N31" s="16" t="n">
        <x:v>0</x:v>
      </x:c>
      <x:c r="O31" s="16" t="n">
        <x:v>17</x:v>
      </x:c>
      <x:c r="P31" s="16" t="n">
        <x:v>17</x:v>
      </x:c>
      <x:c r="Q31" s="16"/>
      <x:c r="R31" s="16"/>
      <x:c r="S31" s="16" t="str"/>
      <x:c r="T31" s="16"/>
      <x:c r="U31" s="16" t="str">
        <x:v>NO — review only</x:v>
      </x:c>
    </x:row>
    <x:row r="32" ht="54" customHeight="1">
      <x:c r="A32" s="16" t="str">
        <x:v>en-afe4a95f06f0</x:v>
      </x:c>
      <x:c r="B32" s="16" t="str">
        <x:v>en</x:v>
      </x:c>
      <x:c r="C32" s="16" t="str">
        <x:v>EX Team Rocket Returns</x:v>
      </x:c>
      <x:c r="D32" s="16" t="str">
        <x:v>EX Team Rocket Returns</x:v>
      </x:c>
      <x:c r="E32" s="16" t="str">
        <x:v>EX</x:v>
      </x:c>
      <x:c r="F32" s="16" t="str">
        <x:v>Card set / collection</x:v>
      </x:c>
      <x:c r="G32" s="16" t="str">
        <x:v>TRR</x:v>
      </x:c>
      <x:c r="H32" s="16" t="str">
        <x:v>Source abbreviation</x:v>
      </x:c>
      <x:c r="I32" s="16" t="str">
        <x:v>2004-11-08</x:v>
      </x:c>
      <x:c r="J32" s="16" t="str">
        <x:v>day</x:v>
      </x:c>
      <x:c r="K32" s="16" t="str">
        <x:v>International English; source default date</x:v>
      </x:c>
      <x:c r="L32" s="16" t="n">
        <x:v>109</x:v>
      </x:c>
      <x:c r="M32" s="16" t="n">
        <x:v>2</x:v>
      </x:c>
      <x:c r="N32" s="16" t="n">
        <x:v>0</x:v>
      </x:c>
      <x:c r="O32" s="16" t="n">
        <x:v>111</x:v>
      </x:c>
      <x:c r="P32" s="16" t="n">
        <x:v>111</x:v>
      </x:c>
      <x:c r="Q32" s="16"/>
      <x:c r="R32" s="16"/>
      <x:c r="S32" s="16" t="str"/>
      <x:c r="T32" s="16"/>
      <x:c r="U32" s="16" t="str">
        <x:v>NO — review only</x:v>
      </x:c>
    </x:row>
    <x:row r="33" ht="54" customHeight="1">
      <x:c r="A33" s="16" t="str">
        <x:v>en-c9757869c465</x:v>
      </x:c>
      <x:c r="B33" s="16" t="str">
        <x:v>en</x:v>
      </x:c>
      <x:c r="C33" s="16" t="str">
        <x:v>EX Deoxys</x:v>
      </x:c>
      <x:c r="D33" s="16" t="str">
        <x:v>EX Deoxys</x:v>
      </x:c>
      <x:c r="E33" s="16" t="str">
        <x:v>EX</x:v>
      </x:c>
      <x:c r="F33" s="16" t="str">
        <x:v>Card set / collection</x:v>
      </x:c>
      <x:c r="G33" s="16" t="str">
        <x:v>DX</x:v>
      </x:c>
      <x:c r="H33" s="16" t="str">
        <x:v>Source abbreviation</x:v>
      </x:c>
      <x:c r="I33" s="16" t="str">
        <x:v>2005-02-14</x:v>
      </x:c>
      <x:c r="J33" s="16" t="str">
        <x:v>day</x:v>
      </x:c>
      <x:c r="K33" s="16" t="str">
        <x:v>International English; source default date</x:v>
      </x:c>
      <x:c r="L33" s="16" t="n">
        <x:v>107</x:v>
      </x:c>
      <x:c r="M33" s="16" t="n">
        <x:v>1</x:v>
      </x:c>
      <x:c r="N33" s="16" t="n">
        <x:v>0</x:v>
      </x:c>
      <x:c r="O33" s="16" t="n">
        <x:v>108</x:v>
      </x:c>
      <x:c r="P33" s="16" t="n">
        <x:v>108</x:v>
      </x:c>
      <x:c r="Q33" s="16"/>
      <x:c r="R33" s="16"/>
      <x:c r="S33" s="16" t="str"/>
      <x:c r="T33" s="16"/>
      <x:c r="U33" s="16" t="str">
        <x:v>NO — review only</x:v>
      </x:c>
    </x:row>
    <x:row r="34" ht="54" customHeight="1">
      <x:c r="A34" s="16" t="str">
        <x:v>en-63dd78545f6b</x:v>
      </x:c>
      <x:c r="B34" s="16" t="str">
        <x:v>en</x:v>
      </x:c>
      <x:c r="C34" s="16" t="str">
        <x:v>EX Emerald</x:v>
      </x:c>
      <x:c r="D34" s="16" t="str">
        <x:v>EX Emerald</x:v>
      </x:c>
      <x:c r="E34" s="16" t="str">
        <x:v>EX</x:v>
      </x:c>
      <x:c r="F34" s="16" t="str">
        <x:v>Card set / collection</x:v>
      </x:c>
      <x:c r="G34" s="16" t="str">
        <x:v>EM</x:v>
      </x:c>
      <x:c r="H34" s="16" t="str">
        <x:v>Source abbreviation</x:v>
      </x:c>
      <x:c r="I34" s="16" t="str">
        <x:v>2005-05-09</x:v>
      </x:c>
      <x:c r="J34" s="16" t="str">
        <x:v>day</x:v>
      </x:c>
      <x:c r="K34" s="16" t="str">
        <x:v>International English; source default date</x:v>
      </x:c>
      <x:c r="L34" s="16" t="n">
        <x:v>106</x:v>
      </x:c>
      <x:c r="M34" s="16" t="n">
        <x:v>1</x:v>
      </x:c>
      <x:c r="N34" s="16" t="n">
        <x:v>0</x:v>
      </x:c>
      <x:c r="O34" s="16" t="n">
        <x:v>107</x:v>
      </x:c>
      <x:c r="P34" s="16" t="n">
        <x:v>107</x:v>
      </x:c>
      <x:c r="Q34" s="16"/>
      <x:c r="R34" s="16"/>
      <x:c r="S34" s="16" t="str"/>
      <x:c r="T34" s="16"/>
      <x:c r="U34" s="16" t="str">
        <x:v>NO — review only</x:v>
      </x:c>
    </x:row>
    <x:row r="35" ht="54" customHeight="1">
      <x:c r="A35" s="16" t="str">
        <x:v>en-2ae0ae63d6c6</x:v>
      </x:c>
      <x:c r="B35" s="16" t="str">
        <x:v>en</x:v>
      </x:c>
      <x:c r="C35" s="16" t="str">
        <x:v>POP Series 2</x:v>
      </x:c>
      <x:c r="D35" s="16" t="str">
        <x:v>POP Series 2</x:v>
      </x:c>
      <x:c r="E35" s="16" t="str">
        <x:v>POP</x:v>
      </x:c>
      <x:c r="F35" s="16" t="str">
        <x:v>Promo catalogue</x:v>
      </x:c>
      <x:c r="G35" s="16" t="str">
        <x:v>POP2</x:v>
      </x:c>
      <x:c r="H35" s="16" t="str">
        <x:v>Source abbreviation</x:v>
      </x:c>
      <x:c r="I35" s="16" t="str">
        <x:v>2005-08</x:v>
      </x:c>
      <x:c r="J35" s="16" t="str">
        <x:v>month</x:v>
      </x:c>
      <x:c r="K35" s="16" t="str">
        <x:v>International English; source default date</x:v>
      </x:c>
      <x:c r="L35" s="16" t="n">
        <x:v>17</x:v>
      </x:c>
      <x:c r="M35" s="16" t="n">
        <x:v>0</x:v>
      </x:c>
      <x:c r="N35" s="16" t="n">
        <x:v>0</x:v>
      </x:c>
      <x:c r="O35" s="16" t="n">
        <x:v>17</x:v>
      </x:c>
      <x:c r="P35" s="16" t="n">
        <x:v>17</x:v>
      </x:c>
      <x:c r="Q35" s="16"/>
      <x:c r="R35" s="16"/>
      <x:c r="S35" s="16" t="str"/>
      <x:c r="T35" s="16"/>
      <x:c r="U35" s="16" t="str">
        <x:v>NO — review only</x:v>
      </x:c>
    </x:row>
    <x:row r="36" ht="54" customHeight="1">
      <x:c r="A36" s="16" t="str">
        <x:v>en-d8fc5898f167</x:v>
      </x:c>
      <x:c r="B36" s="16" t="str">
        <x:v>en</x:v>
      </x:c>
      <x:c r="C36" s="16" t="str">
        <x:v>EX Unseen Forces</x:v>
      </x:c>
      <x:c r="D36" s="16" t="str">
        <x:v>EX Unseen Forces</x:v>
      </x:c>
      <x:c r="E36" s="16" t="str">
        <x:v>EX</x:v>
      </x:c>
      <x:c r="F36" s="16" t="str">
        <x:v>Card set / collection</x:v>
      </x:c>
      <x:c r="G36" s="16" t="str">
        <x:v>UF</x:v>
      </x:c>
      <x:c r="H36" s="16" t="str">
        <x:v>Source abbreviation</x:v>
      </x:c>
      <x:c r="I36" s="16" t="str">
        <x:v>2005-08-22</x:v>
      </x:c>
      <x:c r="J36" s="16" t="str">
        <x:v>day</x:v>
      </x:c>
      <x:c r="K36" s="16" t="str">
        <x:v>International English; source default date</x:v>
      </x:c>
      <x:c r="L36" s="16" t="n">
        <x:v>115</x:v>
      </x:c>
      <x:c r="M36" s="16" t="n">
        <x:v>2</x:v>
      </x:c>
      <x:c r="N36" s="16" t="n">
        <x:v>28</x:v>
      </x:c>
      <x:c r="O36" s="16" t="n">
        <x:v>145</x:v>
      </x:c>
      <x:c r="P36" s="16" t="n">
        <x:v>145</x:v>
      </x:c>
      <x:c r="Q36" s="16"/>
      <x:c r="R36" s="16"/>
      <x:c r="S36" s="16" t="str"/>
      <x:c r="T36" s="16"/>
      <x:c r="U36" s="16" t="str">
        <x:v>NO — review only</x:v>
      </x:c>
    </x:row>
    <x:row r="37" ht="54" customHeight="1">
      <x:c r="A37" s="16" t="str">
        <x:v>en-54098c178e15</x:v>
      </x:c>
      <x:c r="B37" s="16" t="str">
        <x:v>en</x:v>
      </x:c>
      <x:c r="C37" s="16" t="str">
        <x:v>EX Delta Species</x:v>
      </x:c>
      <x:c r="D37" s="16" t="str">
        <x:v>EX Delta Species</x:v>
      </x:c>
      <x:c r="E37" s="16" t="str">
        <x:v>EX</x:v>
      </x:c>
      <x:c r="F37" s="16" t="str">
        <x:v>Card set / collection</x:v>
      </x:c>
      <x:c r="G37" s="16" t="str">
        <x:v>DS</x:v>
      </x:c>
      <x:c r="H37" s="16" t="str">
        <x:v>Source abbreviation</x:v>
      </x:c>
      <x:c r="I37" s="16" t="str">
        <x:v>2005-10-31</x:v>
      </x:c>
      <x:c r="J37" s="16" t="str">
        <x:v>day</x:v>
      </x:c>
      <x:c r="K37" s="16" t="str">
        <x:v>International English; source default date</x:v>
      </x:c>
      <x:c r="L37" s="16" t="n">
        <x:v>113</x:v>
      </x:c>
      <x:c r="M37" s="16" t="n">
        <x:v>1</x:v>
      </x:c>
      <x:c r="N37" s="16" t="n">
        <x:v>0</x:v>
      </x:c>
      <x:c r="O37" s="16" t="n">
        <x:v>114</x:v>
      </x:c>
      <x:c r="P37" s="16" t="n">
        <x:v>114</x:v>
      </x:c>
      <x:c r="Q37" s="16"/>
      <x:c r="R37" s="16"/>
      <x:c r="S37" s="16" t="str"/>
      <x:c r="T37" s="16"/>
      <x:c r="U37" s="16" t="str">
        <x:v>NO — review only</x:v>
      </x:c>
    </x:row>
    <x:row r="38" ht="54" customHeight="1">
      <x:c r="A38" s="16" t="str">
        <x:v>en-9cb8c9f6e536</x:v>
      </x:c>
      <x:c r="B38" s="16" t="str">
        <x:v>en</x:v>
      </x:c>
      <x:c r="C38" s="16" t="str">
        <x:v>EX Legend Maker</x:v>
      </x:c>
      <x:c r="D38" s="16" t="str">
        <x:v>EX Legend Maker</x:v>
      </x:c>
      <x:c r="E38" s="16" t="str">
        <x:v>EX</x:v>
      </x:c>
      <x:c r="F38" s="16" t="str">
        <x:v>Card set / collection</x:v>
      </x:c>
      <x:c r="G38" s="16" t="str">
        <x:v>LM</x:v>
      </x:c>
      <x:c r="H38" s="16" t="str">
        <x:v>Source abbreviation</x:v>
      </x:c>
      <x:c r="I38" s="16" t="str">
        <x:v>2006-02-13</x:v>
      </x:c>
      <x:c r="J38" s="16" t="str">
        <x:v>day</x:v>
      </x:c>
      <x:c r="K38" s="16" t="str">
        <x:v>International English; source default date</x:v>
      </x:c>
      <x:c r="L38" s="16" t="n">
        <x:v>92</x:v>
      </x:c>
      <x:c r="M38" s="16" t="n">
        <x:v>1</x:v>
      </x:c>
      <x:c r="N38" s="16" t="n">
        <x:v>0</x:v>
      </x:c>
      <x:c r="O38" s="16" t="n">
        <x:v>93</x:v>
      </x:c>
      <x:c r="P38" s="16" t="n">
        <x:v>93</x:v>
      </x:c>
      <x:c r="Q38" s="16"/>
      <x:c r="R38" s="16"/>
      <x:c r="S38" s="16" t="str"/>
      <x:c r="T38" s="16"/>
      <x:c r="U38" s="16" t="str">
        <x:v>NO — review only</x:v>
      </x:c>
    </x:row>
    <x:row r="39" ht="54" customHeight="1">
      <x:c r="A39" s="16" t="str">
        <x:v>en-c3b6dc0be0f9</x:v>
      </x:c>
      <x:c r="B39" s="16" t="str">
        <x:v>en</x:v>
      </x:c>
      <x:c r="C39" s="16" t="str">
        <x:v>POP Series 3</x:v>
      </x:c>
      <x:c r="D39" s="16" t="str">
        <x:v>POP Series 3</x:v>
      </x:c>
      <x:c r="E39" s="16" t="str">
        <x:v>POP</x:v>
      </x:c>
      <x:c r="F39" s="16" t="str">
        <x:v>Promo catalogue</x:v>
      </x:c>
      <x:c r="G39" s="16" t="str">
        <x:v>POP3</x:v>
      </x:c>
      <x:c r="H39" s="16" t="str">
        <x:v>Source abbreviation</x:v>
      </x:c>
      <x:c r="I39" s="16" t="str">
        <x:v>2006-04</x:v>
      </x:c>
      <x:c r="J39" s="16" t="str">
        <x:v>month</x:v>
      </x:c>
      <x:c r="K39" s="16" t="str">
        <x:v>International English; source default date</x:v>
      </x:c>
      <x:c r="L39" s="16" t="n">
        <x:v>17</x:v>
      </x:c>
      <x:c r="M39" s="16" t="n">
        <x:v>0</x:v>
      </x:c>
      <x:c r="N39" s="16" t="n">
        <x:v>0</x:v>
      </x:c>
      <x:c r="O39" s="16" t="n">
        <x:v>17</x:v>
      </x:c>
      <x:c r="P39" s="16" t="n">
        <x:v>17</x:v>
      </x:c>
      <x:c r="Q39" s="16"/>
      <x:c r="R39" s="16"/>
      <x:c r="S39" s="16" t="str"/>
      <x:c r="T39" s="16"/>
      <x:c r="U39" s="16" t="str">
        <x:v>NO — review only</x:v>
      </x:c>
    </x:row>
    <x:row r="40" ht="54" customHeight="1">
      <x:c r="A40" s="16" t="str">
        <x:v>en-5b979908423c</x:v>
      </x:c>
      <x:c r="B40" s="16" t="str">
        <x:v>en</x:v>
      </x:c>
      <x:c r="C40" s="16" t="str">
        <x:v>EX Holon Phantoms</x:v>
      </x:c>
      <x:c r="D40" s="16" t="str">
        <x:v>EX Holon Phantoms</x:v>
      </x:c>
      <x:c r="E40" s="16" t="str">
        <x:v>EX</x:v>
      </x:c>
      <x:c r="F40" s="16" t="str">
        <x:v>Card set / collection</x:v>
      </x:c>
      <x:c r="G40" s="16" t="str">
        <x:v>HP</x:v>
      </x:c>
      <x:c r="H40" s="16" t="str">
        <x:v>Source abbreviation</x:v>
      </x:c>
      <x:c r="I40" s="16" t="str">
        <x:v>2006-05-03</x:v>
      </x:c>
      <x:c r="J40" s="16" t="str">
        <x:v>day</x:v>
      </x:c>
      <x:c r="K40" s="16" t="str">
        <x:v>International English; source default date</x:v>
      </x:c>
      <x:c r="L40" s="16" t="n">
        <x:v>110</x:v>
      </x:c>
      <x:c r="M40" s="16" t="n">
        <x:v>1</x:v>
      </x:c>
      <x:c r="N40" s="16" t="n">
        <x:v>0</x:v>
      </x:c>
      <x:c r="O40" s="16" t="n">
        <x:v>111</x:v>
      </x:c>
      <x:c r="P40" s="16" t="n">
        <x:v>111</x:v>
      </x:c>
      <x:c r="Q40" s="16"/>
      <x:c r="R40" s="16"/>
      <x:c r="S40" s="16" t="str"/>
      <x:c r="T40" s="16"/>
      <x:c r="U40" s="16" t="str">
        <x:v>NO — review only</x:v>
      </x:c>
    </x:row>
    <x:row r="41" ht="54" customHeight="1">
      <x:c r="A41" s="16" t="str">
        <x:v>en-fad17205363e</x:v>
      </x:c>
      <x:c r="B41" s="16" t="str">
        <x:v>en</x:v>
      </x:c>
      <x:c r="C41" s="16" t="str">
        <x:v>POP Series 4</x:v>
      </x:c>
      <x:c r="D41" s="16" t="str">
        <x:v>POP Series 4</x:v>
      </x:c>
      <x:c r="E41" s="16" t="str">
        <x:v>POP</x:v>
      </x:c>
      <x:c r="F41" s="16" t="str">
        <x:v>Promo catalogue</x:v>
      </x:c>
      <x:c r="G41" s="16" t="str">
        <x:v>POP4</x:v>
      </x:c>
      <x:c r="H41" s="16" t="str">
        <x:v>Source abbreviation</x:v>
      </x:c>
      <x:c r="I41" s="16" t="str">
        <x:v>2006-08</x:v>
      </x:c>
      <x:c r="J41" s="16" t="str">
        <x:v>month</x:v>
      </x:c>
      <x:c r="K41" s="16" t="str">
        <x:v>International English; source default date</x:v>
      </x:c>
      <x:c r="L41" s="16" t="n">
        <x:v>17</x:v>
      </x:c>
      <x:c r="M41" s="16" t="n">
        <x:v>0</x:v>
      </x:c>
      <x:c r="N41" s="16" t="n">
        <x:v>0</x:v>
      </x:c>
      <x:c r="O41" s="16" t="n">
        <x:v>17</x:v>
      </x:c>
      <x:c r="P41" s="16" t="n">
        <x:v>17</x:v>
      </x:c>
      <x:c r="Q41" s="16"/>
      <x:c r="R41" s="16"/>
      <x:c r="S41" s="16" t="str"/>
      <x:c r="T41" s="16"/>
      <x:c r="U41" s="16" t="str">
        <x:v>NO — review only</x:v>
      </x:c>
    </x:row>
    <x:row r="42" ht="54" customHeight="1">
      <x:c r="A42" s="16" t="str">
        <x:v>en-8e43e04c94fc</x:v>
      </x:c>
      <x:c r="B42" s="16" t="str">
        <x:v>en</x:v>
      </x:c>
      <x:c r="C42" s="16" t="str">
        <x:v>EX Crystal Guardians</x:v>
      </x:c>
      <x:c r="D42" s="16" t="str">
        <x:v>EX Crystal Guardians</x:v>
      </x:c>
      <x:c r="E42" s="16" t="str">
        <x:v>EX</x:v>
      </x:c>
      <x:c r="F42" s="16" t="str">
        <x:v>Card set / collection</x:v>
      </x:c>
      <x:c r="G42" s="16" t="str">
        <x:v>CG</x:v>
      </x:c>
      <x:c r="H42" s="16" t="str">
        <x:v>Source abbreviation</x:v>
      </x:c>
      <x:c r="I42" s="16" t="str">
        <x:v>2006-08-30</x:v>
      </x:c>
      <x:c r="J42" s="16" t="str">
        <x:v>day</x:v>
      </x:c>
      <x:c r="K42" s="16" t="str">
        <x:v>International English; source default date</x:v>
      </x:c>
      <x:c r="L42" s="16" t="n">
        <x:v>100</x:v>
      </x:c>
      <x:c r="M42" s="16" t="n">
        <x:v>0</x:v>
      </x:c>
      <x:c r="N42" s="16" t="n">
        <x:v>0</x:v>
      </x:c>
      <x:c r="O42" s="16" t="n">
        <x:v>100</x:v>
      </x:c>
      <x:c r="P42" s="16" t="n">
        <x:v>100</x:v>
      </x:c>
      <x:c r="Q42" s="16"/>
      <x:c r="R42" s="16"/>
      <x:c r="S42" s="16" t="str"/>
      <x:c r="T42" s="16"/>
      <x:c r="U42" s="16" t="str">
        <x:v>NO — review only</x:v>
      </x:c>
    </x:row>
    <x:row r="43" ht="54" customHeight="1">
      <x:c r="A43" s="16" t="str">
        <x:v>en-aaf4b3441b4d</x:v>
      </x:c>
      <x:c r="B43" s="16" t="str">
        <x:v>en</x:v>
      </x:c>
      <x:c r="C43" s="16" t="str">
        <x:v>EX Dragon Frontiers</x:v>
      </x:c>
      <x:c r="D43" s="16" t="str">
        <x:v>EX Dragon Frontiers</x:v>
      </x:c>
      <x:c r="E43" s="16" t="str">
        <x:v>EX</x:v>
      </x:c>
      <x:c r="F43" s="16" t="str">
        <x:v>Card set / collection</x:v>
      </x:c>
      <x:c r="G43" s="16" t="str">
        <x:v>DF</x:v>
      </x:c>
      <x:c r="H43" s="16" t="str">
        <x:v>Source abbreviation</x:v>
      </x:c>
      <x:c r="I43" s="16" t="str">
        <x:v>2006-11-08</x:v>
      </x:c>
      <x:c r="J43" s="16" t="str">
        <x:v>day</x:v>
      </x:c>
      <x:c r="K43" s="16" t="str">
        <x:v>International English; source default date</x:v>
      </x:c>
      <x:c r="L43" s="16" t="n">
        <x:v>101</x:v>
      </x:c>
      <x:c r="M43" s="16" t="n">
        <x:v>0</x:v>
      </x:c>
      <x:c r="N43" s="16" t="n">
        <x:v>0</x:v>
      </x:c>
      <x:c r="O43" s="16" t="n">
        <x:v>101</x:v>
      </x:c>
      <x:c r="P43" s="16" t="n">
        <x:v>101</x:v>
      </x:c>
      <x:c r="Q43" s="16"/>
      <x:c r="R43" s="16"/>
      <x:c r="S43" s="16" t="str"/>
      <x:c r="T43" s="16"/>
      <x:c r="U43" s="16" t="str">
        <x:v>NO — review only</x:v>
      </x:c>
    </x:row>
    <x:row r="44" ht="54" customHeight="1">
      <x:c r="A44" s="16" t="str">
        <x:v>en-77949d1b2f91</x:v>
      </x:c>
      <x:c r="B44" s="16" t="str">
        <x:v>en</x:v>
      </x:c>
      <x:c r="C44" s="16" t="str">
        <x:v>EX Power Keepers</x:v>
      </x:c>
      <x:c r="D44" s="16" t="str">
        <x:v>EX Power Keepers</x:v>
      </x:c>
      <x:c r="E44" s="16" t="str">
        <x:v>EX</x:v>
      </x:c>
      <x:c r="F44" s="16" t="str">
        <x:v>Card set / collection</x:v>
      </x:c>
      <x:c r="G44" s="16" t="str">
        <x:v>PK</x:v>
      </x:c>
      <x:c r="H44" s="16" t="str">
        <x:v>Source abbreviation</x:v>
      </x:c>
      <x:c r="I44" s="16" t="str">
        <x:v>2007-02-14</x:v>
      </x:c>
      <x:c r="J44" s="16" t="str">
        <x:v>day</x:v>
      </x:c>
      <x:c r="K44" s="16" t="str">
        <x:v>International English; source default date</x:v>
      </x:c>
      <x:c r="L44" s="16" t="n">
        <x:v>108</x:v>
      </x:c>
      <x:c r="M44" s="16" t="n">
        <x:v>0</x:v>
      </x:c>
      <x:c r="N44" s="16" t="n">
        <x:v>0</x:v>
      </x:c>
      <x:c r="O44" s="16" t="n">
        <x:v>108</x:v>
      </x:c>
      <x:c r="P44" s="16" t="n">
        <x:v>108</x:v>
      </x:c>
      <x:c r="Q44" s="16"/>
      <x:c r="R44" s="16"/>
      <x:c r="S44" s="16" t="str"/>
      <x:c r="T44" s="16"/>
      <x:c r="U44" s="16" t="str">
        <x:v>NO — review only</x:v>
      </x:c>
    </x:row>
    <x:row r="45" ht="54" customHeight="1">
      <x:c r="A45" s="16" t="str">
        <x:v>en-d1e1c1c442b6</x:v>
      </x:c>
      <x:c r="B45" s="16" t="str">
        <x:v>en</x:v>
      </x:c>
      <x:c r="C45" s="16" t="str">
        <x:v>POP Series 5</x:v>
      </x:c>
      <x:c r="D45" s="16" t="str">
        <x:v>POP Series 5</x:v>
      </x:c>
      <x:c r="E45" s="16" t="str">
        <x:v>POP</x:v>
      </x:c>
      <x:c r="F45" s="16" t="str">
        <x:v>Promo catalogue</x:v>
      </x:c>
      <x:c r="G45" s="16" t="str">
        <x:v>POP5</x:v>
      </x:c>
      <x:c r="H45" s="16" t="str">
        <x:v>Source abbreviation</x:v>
      </x:c>
      <x:c r="I45" s="16" t="str">
        <x:v>2007-03</x:v>
      </x:c>
      <x:c r="J45" s="16" t="str">
        <x:v>month</x:v>
      </x:c>
      <x:c r="K45" s="16" t="str">
        <x:v>International English; source default date</x:v>
      </x:c>
      <x:c r="L45" s="16" t="n">
        <x:v>17</x:v>
      </x:c>
      <x:c r="M45" s="16" t="n">
        <x:v>0</x:v>
      </x:c>
      <x:c r="N45" s="16" t="n">
        <x:v>0</x:v>
      </x:c>
      <x:c r="O45" s="16" t="n">
        <x:v>17</x:v>
      </x:c>
      <x:c r="P45" s="16" t="n">
        <x:v>17</x:v>
      </x:c>
      <x:c r="Q45" s="16"/>
      <x:c r="R45" s="16"/>
      <x:c r="S45" s="16" t="str"/>
      <x:c r="T45" s="16"/>
      <x:c r="U45" s="16" t="str">
        <x:v>NO — review only</x:v>
      </x:c>
    </x:row>
    <x:row r="46" ht="54" customHeight="1">
      <x:c r="A46" s="16" t="str">
        <x:v>en-b35c8787199b</x:v>
      </x:c>
      <x:c r="B46" s="16" t="str">
        <x:v>en</x:v>
      </x:c>
      <x:c r="C46" s="16" t="str">
        <x:v>DP Black Star Promos</x:v>
      </x:c>
      <x:c r="D46" s="16" t="str">
        <x:v>DP Black Star Promos</x:v>
      </x:c>
      <x:c r="E46" s="16" t="str">
        <x:v>Diamond &amp; Pearl</x:v>
      </x:c>
      <x:c r="F46" s="16" t="str">
        <x:v>Promo catalogue</x:v>
      </x:c>
      <x:c r="G46" s="16" t="str">
        <x:v>DPP</x:v>
      </x:c>
      <x:c r="H46" s="16" t="str">
        <x:v>Source abbreviation</x:v>
      </x:c>
      <x:c r="I46" s="16" t="str">
        <x:v>2007-05</x:v>
      </x:c>
      <x:c r="J46" s="16" t="str">
        <x:v>month</x:v>
      </x:c>
      <x:c r="K46" s="16" t="str">
        <x:v>International English; source default date</x:v>
      </x:c>
      <x:c r="L46" s="16" t="n">
        <x:v>56</x:v>
      </x:c>
      <x:c r="M46" s="16" t="n">
        <x:v>0</x:v>
      </x:c>
      <x:c r="N46" s="16" t="n">
        <x:v>0</x:v>
      </x:c>
      <x:c r="O46" s="16" t="n">
        <x:v>56</x:v>
      </x:c>
      <x:c r="P46" s="16" t="n">
        <x:v>56</x:v>
      </x:c>
      <x:c r="Q46" s="16"/>
      <x:c r="R46" s="16"/>
      <x:c r="S46" s="16" t="str"/>
      <x:c r="T46" s="16"/>
      <x:c r="U46" s="16" t="str">
        <x:v>NO — review only</x:v>
      </x:c>
    </x:row>
    <x:row r="47" ht="54" customHeight="1">
      <x:c r="A47" s="16" t="str">
        <x:v>en-c73b95bc6054</x:v>
      </x:c>
      <x:c r="B47" s="16" t="str">
        <x:v>en</x:v>
      </x:c>
      <x:c r="C47" s="16" t="str">
        <x:v>Diamond &amp; Pearl</x:v>
      </x:c>
      <x:c r="D47" s="16" t="str">
        <x:v>Diamond &amp; Pearl</x:v>
      </x:c>
      <x:c r="E47" s="16" t="str">
        <x:v>Diamond &amp; Pearl</x:v>
      </x:c>
      <x:c r="F47" s="16" t="str">
        <x:v>Card set / collection</x:v>
      </x:c>
      <x:c r="G47" s="16" t="str">
        <x:v>DP</x:v>
      </x:c>
      <x:c r="H47" s="16" t="str">
        <x:v>Source abbreviation</x:v>
      </x:c>
      <x:c r="I47" s="16" t="str">
        <x:v>2007-05-23</x:v>
      </x:c>
      <x:c r="J47" s="16" t="str">
        <x:v>day</x:v>
      </x:c>
      <x:c r="K47" s="16" t="str">
        <x:v>International English; source default date</x:v>
      </x:c>
      <x:c r="L47" s="16" t="n">
        <x:v>130</x:v>
      </x:c>
      <x:c r="M47" s="16" t="n">
        <x:v>0</x:v>
      </x:c>
      <x:c r="N47" s="16" t="n">
        <x:v>0</x:v>
      </x:c>
      <x:c r="O47" s="16" t="n">
        <x:v>130</x:v>
      </x:c>
      <x:c r="P47" s="16" t="n">
        <x:v>130</x:v>
      </x:c>
      <x:c r="Q47" s="16"/>
      <x:c r="R47" s="16"/>
      <x:c r="S47" s="16" t="str"/>
      <x:c r="T47" s="16"/>
      <x:c r="U47" s="16" t="str">
        <x:v>NO — review only</x:v>
      </x:c>
    </x:row>
    <x:row r="48" ht="54" customHeight="1">
      <x:c r="A48" s="16" t="str">
        <x:v>en-8f4b9726b034</x:v>
      </x:c>
      <x:c r="B48" s="16" t="str">
        <x:v>en</x:v>
      </x:c>
      <x:c r="C48" s="16" t="str">
        <x:v>Mysterious Treasures</x:v>
      </x:c>
      <x:c r="D48" s="16" t="str">
        <x:v>Mysterious Treasures</x:v>
      </x:c>
      <x:c r="E48" s="16" t="str">
        <x:v>Diamond &amp; Pearl</x:v>
      </x:c>
      <x:c r="F48" s="16" t="str">
        <x:v>Card set / collection</x:v>
      </x:c>
      <x:c r="G48" s="16" t="str">
        <x:v>MT</x:v>
      </x:c>
      <x:c r="H48" s="16" t="str">
        <x:v>Source abbreviation</x:v>
      </x:c>
      <x:c r="I48" s="16" t="str">
        <x:v>2007-08-22</x:v>
      </x:c>
      <x:c r="J48" s="16" t="str">
        <x:v>day</x:v>
      </x:c>
      <x:c r="K48" s="16" t="str">
        <x:v>International English; source default date</x:v>
      </x:c>
      <x:c r="L48" s="16" t="n">
        <x:v>123</x:v>
      </x:c>
      <x:c r="M48" s="16" t="n">
        <x:v>1</x:v>
      </x:c>
      <x:c r="N48" s="16" t="n">
        <x:v>0</x:v>
      </x:c>
      <x:c r="O48" s="16" t="n">
        <x:v>124</x:v>
      </x:c>
      <x:c r="P48" s="16" t="n">
        <x:v>124</x:v>
      </x:c>
      <x:c r="Q48" s="16"/>
      <x:c r="R48" s="16"/>
      <x:c r="S48" s="16" t="str"/>
      <x:c r="T48" s="16"/>
      <x:c r="U48" s="16" t="str">
        <x:v>NO — review only</x:v>
      </x:c>
    </x:row>
    <x:row r="49" ht="54" customHeight="1">
      <x:c r="A49" s="16" t="str">
        <x:v>en-e8f006b1fcdc</x:v>
      </x:c>
      <x:c r="B49" s="16" t="str">
        <x:v>en</x:v>
      </x:c>
      <x:c r="C49" s="16" t="str">
        <x:v>POP Series 6</x:v>
      </x:c>
      <x:c r="D49" s="16" t="str">
        <x:v>POP Series 6</x:v>
      </x:c>
      <x:c r="E49" s="16" t="str">
        <x:v>POP</x:v>
      </x:c>
      <x:c r="F49" s="16" t="str">
        <x:v>Promo catalogue</x:v>
      </x:c>
      <x:c r="G49" s="16" t="str">
        <x:v>POP6</x:v>
      </x:c>
      <x:c r="H49" s="16" t="str">
        <x:v>Source abbreviation</x:v>
      </x:c>
      <x:c r="I49" s="16" t="str">
        <x:v>2007-09</x:v>
      </x:c>
      <x:c r="J49" s="16" t="str">
        <x:v>month</x:v>
      </x:c>
      <x:c r="K49" s="16" t="str">
        <x:v>International English; source default date</x:v>
      </x:c>
      <x:c r="L49" s="16" t="n">
        <x:v>17</x:v>
      </x:c>
      <x:c r="M49" s="16" t="n">
        <x:v>0</x:v>
      </x:c>
      <x:c r="N49" s="16" t="n">
        <x:v>0</x:v>
      </x:c>
      <x:c r="O49" s="16" t="n">
        <x:v>17</x:v>
      </x:c>
      <x:c r="P49" s="16" t="n">
        <x:v>17</x:v>
      </x:c>
      <x:c r="Q49" s="16"/>
      <x:c r="R49" s="16"/>
      <x:c r="S49" s="16" t="str"/>
      <x:c r="T49" s="16"/>
      <x:c r="U49" s="16" t="str">
        <x:v>NO — review only</x:v>
      </x:c>
    </x:row>
    <x:row r="50" ht="54" customHeight="1">
      <x:c r="A50" s="16" t="str">
        <x:v>en-16dc73b3bf13</x:v>
      </x:c>
      <x:c r="B50" s="16" t="str">
        <x:v>en</x:v>
      </x:c>
      <x:c r="C50" s="16" t="str">
        <x:v>Secret Wonders</x:v>
      </x:c>
      <x:c r="D50" s="16" t="str">
        <x:v>Secret Wonders</x:v>
      </x:c>
      <x:c r="E50" s="16" t="str">
        <x:v>Diamond &amp; Pearl</x:v>
      </x:c>
      <x:c r="F50" s="16" t="str">
        <x:v>Card set / collection</x:v>
      </x:c>
      <x:c r="G50" s="16" t="str">
        <x:v>SW</x:v>
      </x:c>
      <x:c r="H50" s="16" t="str">
        <x:v>Source abbreviation</x:v>
      </x:c>
      <x:c r="I50" s="16" t="str">
        <x:v>2007-11-07</x:v>
      </x:c>
      <x:c r="J50" s="16" t="str">
        <x:v>day</x:v>
      </x:c>
      <x:c r="K50" s="16" t="str">
        <x:v>International English; source default date</x:v>
      </x:c>
      <x:c r="L50" s="16" t="n">
        <x:v>132</x:v>
      </x:c>
      <x:c r="M50" s="16" t="n">
        <x:v>0</x:v>
      </x:c>
      <x:c r="N50" s="16" t="n">
        <x:v>0</x:v>
      </x:c>
      <x:c r="O50" s="16" t="n">
        <x:v>132</x:v>
      </x:c>
      <x:c r="P50" s="16" t="n">
        <x:v>132</x:v>
      </x:c>
      <x:c r="Q50" s="16"/>
      <x:c r="R50" s="16"/>
      <x:c r="S50" s="16" t="str"/>
      <x:c r="T50" s="16"/>
      <x:c r="U50" s="16" t="str">
        <x:v>NO — review only</x:v>
      </x:c>
    </x:row>
    <x:row r="51" ht="54" customHeight="1">
      <x:c r="A51" s="16" t="str">
        <x:v>en-c000628be18c</x:v>
      </x:c>
      <x:c r="B51" s="16" t="str">
        <x:v>en</x:v>
      </x:c>
      <x:c r="C51" s="16" t="str">
        <x:v>Great Encounters</x:v>
      </x:c>
      <x:c r="D51" s="16" t="str">
        <x:v>Great Encounters</x:v>
      </x:c>
      <x:c r="E51" s="16" t="str">
        <x:v>Diamond &amp; Pearl</x:v>
      </x:c>
      <x:c r="F51" s="16" t="str">
        <x:v>Card set / collection</x:v>
      </x:c>
      <x:c r="G51" s="16" t="str">
        <x:v>GE</x:v>
      </x:c>
      <x:c r="H51" s="16" t="str">
        <x:v>Source abbreviation</x:v>
      </x:c>
      <x:c r="I51" s="16" t="str">
        <x:v>2008-02-13</x:v>
      </x:c>
      <x:c r="J51" s="16" t="str">
        <x:v>day</x:v>
      </x:c>
      <x:c r="K51" s="16" t="str">
        <x:v>International English; source default date</x:v>
      </x:c>
      <x:c r="L51" s="16" t="n">
        <x:v>106</x:v>
      </x:c>
      <x:c r="M51" s="16" t="n">
        <x:v>0</x:v>
      </x:c>
      <x:c r="N51" s="16" t="n">
        <x:v>0</x:v>
      </x:c>
      <x:c r="O51" s="16" t="n">
        <x:v>106</x:v>
      </x:c>
      <x:c r="P51" s="16" t="n">
        <x:v>106</x:v>
      </x:c>
      <x:c r="Q51" s="16"/>
      <x:c r="R51" s="16"/>
      <x:c r="S51" s="16" t="str"/>
      <x:c r="T51" s="16"/>
      <x:c r="U51" s="16" t="str">
        <x:v>NO — review only</x:v>
      </x:c>
    </x:row>
    <x:row r="52" ht="54" customHeight="1">
      <x:c r="A52" s="16" t="str">
        <x:v>en-99c5bfa12ae2</x:v>
      </x:c>
      <x:c r="B52" s="16" t="str">
        <x:v>en</x:v>
      </x:c>
      <x:c r="C52" s="16" t="str">
        <x:v>POP Series 7</x:v>
      </x:c>
      <x:c r="D52" s="16" t="str">
        <x:v>POP Series 7</x:v>
      </x:c>
      <x:c r="E52" s="16" t="str">
        <x:v>POP</x:v>
      </x:c>
      <x:c r="F52" s="16" t="str">
        <x:v>Promo catalogue</x:v>
      </x:c>
      <x:c r="G52" s="16" t="str">
        <x:v>POP7</x:v>
      </x:c>
      <x:c r="H52" s="16" t="str">
        <x:v>Source abbreviation</x:v>
      </x:c>
      <x:c r="I52" s="16" t="str">
        <x:v>2008-03</x:v>
      </x:c>
      <x:c r="J52" s="16" t="str">
        <x:v>month</x:v>
      </x:c>
      <x:c r="K52" s="16" t="str">
        <x:v>International English; source default date</x:v>
      </x:c>
      <x:c r="L52" s="16" t="n">
        <x:v>17</x:v>
      </x:c>
      <x:c r="M52" s="16" t="n">
        <x:v>0</x:v>
      </x:c>
      <x:c r="N52" s="16" t="n">
        <x:v>0</x:v>
      </x:c>
      <x:c r="O52" s="16" t="n">
        <x:v>17</x:v>
      </x:c>
      <x:c r="P52" s="16" t="n">
        <x:v>17</x:v>
      </x:c>
      <x:c r="Q52" s="16"/>
      <x:c r="R52" s="16"/>
      <x:c r="S52" s="16" t="str"/>
      <x:c r="T52" s="16"/>
      <x:c r="U52" s="16" t="str">
        <x:v>NO — review only</x:v>
      </x:c>
    </x:row>
    <x:row r="53" ht="54" customHeight="1">
      <x:c r="A53" s="16" t="str">
        <x:v>en-e15ea065516f</x:v>
      </x:c>
      <x:c r="B53" s="16" t="str">
        <x:v>en</x:v>
      </x:c>
      <x:c r="C53" s="16" t="str">
        <x:v>Majestic Dawn</x:v>
      </x:c>
      <x:c r="D53" s="16" t="str">
        <x:v>Majestic Dawn</x:v>
      </x:c>
      <x:c r="E53" s="16" t="str">
        <x:v>Diamond &amp; Pearl</x:v>
      </x:c>
      <x:c r="F53" s="16" t="str">
        <x:v>Card set / collection</x:v>
      </x:c>
      <x:c r="G53" s="16" t="str">
        <x:v>MD</x:v>
      </x:c>
      <x:c r="H53" s="16" t="str">
        <x:v>Source abbreviation</x:v>
      </x:c>
      <x:c r="I53" s="16" t="str">
        <x:v>2008-05-21</x:v>
      </x:c>
      <x:c r="J53" s="16" t="str">
        <x:v>day</x:v>
      </x:c>
      <x:c r="K53" s="16" t="str">
        <x:v>International English; source default date</x:v>
      </x:c>
      <x:c r="L53" s="16" t="n">
        <x:v>100</x:v>
      </x:c>
      <x:c r="M53" s="16" t="n">
        <x:v>0</x:v>
      </x:c>
      <x:c r="N53" s="16" t="n">
        <x:v>0</x:v>
      </x:c>
      <x:c r="O53" s="16" t="n">
        <x:v>100</x:v>
      </x:c>
      <x:c r="P53" s="16" t="n">
        <x:v>100</x:v>
      </x:c>
      <x:c r="Q53" s="16"/>
      <x:c r="R53" s="16"/>
      <x:c r="S53" s="16" t="str"/>
      <x:c r="T53" s="16"/>
      <x:c r="U53" s="16" t="str">
        <x:v>NO — review only</x:v>
      </x:c>
    </x:row>
    <x:row r="54" ht="54" customHeight="1">
      <x:c r="A54" s="16" t="str">
        <x:v>en-70298cb313b5</x:v>
      </x:c>
      <x:c r="B54" s="16" t="str">
        <x:v>en</x:v>
      </x:c>
      <x:c r="C54" s="16" t="str">
        <x:v>Legends Awakened</x:v>
      </x:c>
      <x:c r="D54" s="16" t="str">
        <x:v>Legends Awakened</x:v>
      </x:c>
      <x:c r="E54" s="16" t="str">
        <x:v>Diamond &amp; Pearl</x:v>
      </x:c>
      <x:c r="F54" s="16" t="str">
        <x:v>Card set / collection</x:v>
      </x:c>
      <x:c r="G54" s="16" t="str">
        <x:v>LA</x:v>
      </x:c>
      <x:c r="H54" s="16" t="str">
        <x:v>Source abbreviation</x:v>
      </x:c>
      <x:c r="I54" s="16" t="str">
        <x:v>2008-08-20</x:v>
      </x:c>
      <x:c r="J54" s="16" t="str">
        <x:v>day</x:v>
      </x:c>
      <x:c r="K54" s="16" t="str">
        <x:v>International English; source default date</x:v>
      </x:c>
      <x:c r="L54" s="16" t="n">
        <x:v>146</x:v>
      </x:c>
      <x:c r="M54" s="16" t="n">
        <x:v>0</x:v>
      </x:c>
      <x:c r="N54" s="16" t="n">
        <x:v>0</x:v>
      </x:c>
      <x:c r="O54" s="16" t="n">
        <x:v>146</x:v>
      </x:c>
      <x:c r="P54" s="16" t="n">
        <x:v>146</x:v>
      </x:c>
      <x:c r="Q54" s="16"/>
      <x:c r="R54" s="16"/>
      <x:c r="S54" s="16" t="str"/>
      <x:c r="T54" s="16"/>
      <x:c r="U54" s="16" t="str">
        <x:v>NO — review only</x:v>
      </x:c>
    </x:row>
    <x:row r="55" ht="54" customHeight="1">
      <x:c r="A55" s="16" t="str">
        <x:v>en-60734715037a</x:v>
      </x:c>
      <x:c r="B55" s="16" t="str">
        <x:v>en</x:v>
      </x:c>
      <x:c r="C55" s="16" t="str">
        <x:v>POP Series 8</x:v>
      </x:c>
      <x:c r="D55" s="16" t="str">
        <x:v>POP Series 8</x:v>
      </x:c>
      <x:c r="E55" s="16" t="str">
        <x:v>POP</x:v>
      </x:c>
      <x:c r="F55" s="16" t="str">
        <x:v>Promo catalogue</x:v>
      </x:c>
      <x:c r="G55" s="16" t="str">
        <x:v>POP8</x:v>
      </x:c>
      <x:c r="H55" s="16" t="str">
        <x:v>Source abbreviation</x:v>
      </x:c>
      <x:c r="I55" s="16" t="str">
        <x:v>2008-09</x:v>
      </x:c>
      <x:c r="J55" s="16" t="str">
        <x:v>month</x:v>
      </x:c>
      <x:c r="K55" s="16" t="str">
        <x:v>International English; source default date</x:v>
      </x:c>
      <x:c r="L55" s="16" t="n">
        <x:v>17</x:v>
      </x:c>
      <x:c r="M55" s="16" t="n">
        <x:v>0</x:v>
      </x:c>
      <x:c r="N55" s="16" t="n">
        <x:v>0</x:v>
      </x:c>
      <x:c r="O55" s="16" t="n">
        <x:v>17</x:v>
      </x:c>
      <x:c r="P55" s="16" t="n">
        <x:v>17</x:v>
      </x:c>
      <x:c r="Q55" s="16"/>
      <x:c r="R55" s="16"/>
      <x:c r="S55" s="16" t="str"/>
      <x:c r="T55" s="16"/>
      <x:c r="U55" s="16" t="str">
        <x:v>NO — review only</x:v>
      </x:c>
    </x:row>
    <x:row r="56" ht="54" customHeight="1">
      <x:c r="A56" s="16" t="str">
        <x:v>en-3494d0cab367</x:v>
      </x:c>
      <x:c r="B56" s="16" t="str">
        <x:v>en</x:v>
      </x:c>
      <x:c r="C56" s="16" t="str">
        <x:v>Stormfront</x:v>
      </x:c>
      <x:c r="D56" s="16" t="str">
        <x:v>Stormfront</x:v>
      </x:c>
      <x:c r="E56" s="16" t="str">
        <x:v>Diamond &amp; Pearl</x:v>
      </x:c>
      <x:c r="F56" s="16" t="str">
        <x:v>Card set / collection</x:v>
      </x:c>
      <x:c r="G56" s="16" t="str">
        <x:v>SF</x:v>
      </x:c>
      <x:c r="H56" s="16" t="str">
        <x:v>Source abbreviation</x:v>
      </x:c>
      <x:c r="I56" s="16" t="str">
        <x:v>2008-11-05</x:v>
      </x:c>
      <x:c r="J56" s="16" t="str">
        <x:v>day</x:v>
      </x:c>
      <x:c r="K56" s="16" t="str">
        <x:v>International English; source default date</x:v>
      </x:c>
      <x:c r="L56" s="16" t="n">
        <x:v>100</x:v>
      </x:c>
      <x:c r="M56" s="16" t="n">
        <x:v>3</x:v>
      </x:c>
      <x:c r="N56" s="16" t="n">
        <x:v>3</x:v>
      </x:c>
      <x:c r="O56" s="16" t="n">
        <x:v>106</x:v>
      </x:c>
      <x:c r="P56" s="16" t="n">
        <x:v>106</x:v>
      </x:c>
      <x:c r="Q56" s="16"/>
      <x:c r="R56" s="16"/>
      <x:c r="S56" s="16" t="str"/>
      <x:c r="T56" s="16"/>
      <x:c r="U56" s="16" t="str">
        <x:v>NO — review only</x:v>
      </x:c>
    </x:row>
    <x:row r="57" ht="54" customHeight="1">
      <x:c r="A57" s="16" t="str">
        <x:v>en-58e94dab40f3</x:v>
      </x:c>
      <x:c r="B57" s="16" t="str">
        <x:v>en</x:v>
      </x:c>
      <x:c r="C57" s="16" t="str">
        <x:v>Platinum</x:v>
      </x:c>
      <x:c r="D57" s="16" t="str">
        <x:v>Platinum</x:v>
      </x:c>
      <x:c r="E57" s="16" t="str">
        <x:v>Platinum</x:v>
      </x:c>
      <x:c r="F57" s="16" t="str">
        <x:v>Card set / collection</x:v>
      </x:c>
      <x:c r="G57" s="16" t="str">
        <x:v>PL</x:v>
      </x:c>
      <x:c r="H57" s="16" t="str">
        <x:v>Source abbreviation</x:v>
      </x:c>
      <x:c r="I57" s="16" t="str">
        <x:v>2009-02-11</x:v>
      </x:c>
      <x:c r="J57" s="16" t="str">
        <x:v>day</x:v>
      </x:c>
      <x:c r="K57" s="16" t="str">
        <x:v>International English; source default date</x:v>
      </x:c>
      <x:c r="L57" s="16" t="n">
        <x:v>127</x:v>
      </x:c>
      <x:c r="M57" s="16" t="n">
        <x:v>3</x:v>
      </x:c>
      <x:c r="N57" s="16" t="n">
        <x:v>3</x:v>
      </x:c>
      <x:c r="O57" s="16" t="n">
        <x:v>133</x:v>
      </x:c>
      <x:c r="P57" s="16" t="n">
        <x:v>133</x:v>
      </x:c>
      <x:c r="Q57" s="16"/>
      <x:c r="R57" s="16"/>
      <x:c r="S57" s="16" t="str"/>
      <x:c r="T57" s="16"/>
      <x:c r="U57" s="16" t="str">
        <x:v>NO — review only</x:v>
      </x:c>
    </x:row>
    <x:row r="58" ht="54" customHeight="1">
      <x:c r="A58" s="16" t="str">
        <x:v>en-017662319683</x:v>
      </x:c>
      <x:c r="B58" s="16" t="str">
        <x:v>en</x:v>
      </x:c>
      <x:c r="C58" s="16" t="str">
        <x:v>POP Series 9</x:v>
      </x:c>
      <x:c r="D58" s="16" t="str">
        <x:v>POP Series 9</x:v>
      </x:c>
      <x:c r="E58" s="16" t="str">
        <x:v>POP</x:v>
      </x:c>
      <x:c r="F58" s="16" t="str">
        <x:v>Promo catalogue</x:v>
      </x:c>
      <x:c r="G58" s="16" t="str">
        <x:v>POP9</x:v>
      </x:c>
      <x:c r="H58" s="16" t="str">
        <x:v>Source abbreviation</x:v>
      </x:c>
      <x:c r="I58" s="16" t="str">
        <x:v>2009-03</x:v>
      </x:c>
      <x:c r="J58" s="16" t="str">
        <x:v>month</x:v>
      </x:c>
      <x:c r="K58" s="16" t="str">
        <x:v>International English; source default date</x:v>
      </x:c>
      <x:c r="L58" s="16" t="n">
        <x:v>17</x:v>
      </x:c>
      <x:c r="M58" s="16" t="n">
        <x:v>0</x:v>
      </x:c>
      <x:c r="N58" s="16" t="n">
        <x:v>0</x:v>
      </x:c>
      <x:c r="O58" s="16" t="n">
        <x:v>17</x:v>
      </x:c>
      <x:c r="P58" s="16" t="n">
        <x:v>17</x:v>
      </x:c>
      <x:c r="Q58" s="16"/>
      <x:c r="R58" s="16"/>
      <x:c r="S58" s="16" t="str"/>
      <x:c r="T58" s="16"/>
      <x:c r="U58" s="16" t="str">
        <x:v>NO — review only</x:v>
      </x:c>
    </x:row>
    <x:row r="59" ht="54" customHeight="1">
      <x:c r="A59" s="16" t="str">
        <x:v>en-dd8dcbc74555</x:v>
      </x:c>
      <x:c r="B59" s="16" t="str">
        <x:v>en</x:v>
      </x:c>
      <x:c r="C59" s="16" t="str">
        <x:v>Rising Rivals</x:v>
      </x:c>
      <x:c r="D59" s="16" t="str">
        <x:v>Rising Rivals</x:v>
      </x:c>
      <x:c r="E59" s="16" t="str">
        <x:v>Platinum</x:v>
      </x:c>
      <x:c r="F59" s="16" t="str">
        <x:v>Card set / collection</x:v>
      </x:c>
      <x:c r="G59" s="16" t="str">
        <x:v>RR</x:v>
      </x:c>
      <x:c r="H59" s="16" t="str">
        <x:v>Source abbreviation</x:v>
      </x:c>
      <x:c r="I59" s="16" t="str">
        <x:v>2009-05-16</x:v>
      </x:c>
      <x:c r="J59" s="16" t="str">
        <x:v>day</x:v>
      </x:c>
      <x:c r="K59" s="16" t="str">
        <x:v>International English; source default date</x:v>
      </x:c>
      <x:c r="L59" s="16" t="n">
        <x:v>111</x:v>
      </x:c>
      <x:c r="M59" s="16" t="n">
        <x:v>3</x:v>
      </x:c>
      <x:c r="N59" s="16" t="n">
        <x:v>6</x:v>
      </x:c>
      <x:c r="O59" s="16" t="n">
        <x:v>120</x:v>
      </x:c>
      <x:c r="P59" s="16" t="n">
        <x:v>120</x:v>
      </x:c>
      <x:c r="Q59" s="16"/>
      <x:c r="R59" s="16"/>
      <x:c r="S59" s="16" t="str"/>
      <x:c r="T59" s="16"/>
      <x:c r="U59" s="16" t="str">
        <x:v>NO — review only</x:v>
      </x:c>
    </x:row>
    <x:row r="60" ht="54" customHeight="1">
      <x:c r="A60" s="16" t="str">
        <x:v>en-9802fa8c0788</x:v>
      </x:c>
      <x:c r="B60" s="16" t="str">
        <x:v>en</x:v>
      </x:c>
      <x:c r="C60" s="16" t="str">
        <x:v>Supreme Victors</x:v>
      </x:c>
      <x:c r="D60" s="16" t="str">
        <x:v>Supreme Victors</x:v>
      </x:c>
      <x:c r="E60" s="16" t="str">
        <x:v>Platinum</x:v>
      </x:c>
      <x:c r="F60" s="16" t="str">
        <x:v>Card set / collection</x:v>
      </x:c>
      <x:c r="G60" s="16" t="str">
        <x:v>SV</x:v>
      </x:c>
      <x:c r="H60" s="16" t="str">
        <x:v>Source abbreviation</x:v>
      </x:c>
      <x:c r="I60" s="16" t="str">
        <x:v>2009-08-19</x:v>
      </x:c>
      <x:c r="J60" s="16" t="str">
        <x:v>day</x:v>
      </x:c>
      <x:c r="K60" s="16" t="str">
        <x:v>International English; source default date</x:v>
      </x:c>
      <x:c r="L60" s="16" t="n">
        <x:v>147</x:v>
      </x:c>
      <x:c r="M60" s="16" t="n">
        <x:v>3</x:v>
      </x:c>
      <x:c r="N60" s="16" t="n">
        <x:v>3</x:v>
      </x:c>
      <x:c r="O60" s="16" t="n">
        <x:v>153</x:v>
      </x:c>
      <x:c r="P60" s="16" t="n">
        <x:v>153</x:v>
      </x:c>
      <x:c r="Q60" s="16"/>
      <x:c r="R60" s="16"/>
      <x:c r="S60" s="16" t="str"/>
      <x:c r="T60" s="16"/>
      <x:c r="U60" s="16" t="str">
        <x:v>NO — review only</x:v>
      </x:c>
    </x:row>
    <x:row r="61" ht="54" customHeight="1">
      <x:c r="A61" s="16" t="str">
        <x:v>en-bb910b4803f9</x:v>
      </x:c>
      <x:c r="B61" s="16" t="str">
        <x:v>en</x:v>
      </x:c>
      <x:c r="C61" s="16" t="str">
        <x:v>Arceus</x:v>
      </x:c>
      <x:c r="D61" s="16" t="str">
        <x:v>Arceus</x:v>
      </x:c>
      <x:c r="E61" s="16" t="str">
        <x:v>Platinum</x:v>
      </x:c>
      <x:c r="F61" s="16" t="str">
        <x:v>Card set / collection</x:v>
      </x:c>
      <x:c r="G61" s="16" t="str">
        <x:v>AR</x:v>
      </x:c>
      <x:c r="H61" s="16" t="str">
        <x:v>Source abbreviation</x:v>
      </x:c>
      <x:c r="I61" s="16" t="str">
        <x:v>2009-11-04</x:v>
      </x:c>
      <x:c r="J61" s="16" t="str">
        <x:v>day</x:v>
      </x:c>
      <x:c r="K61" s="16" t="str">
        <x:v>International English; source default date</x:v>
      </x:c>
      <x:c r="L61" s="16" t="n">
        <x:v>99</x:v>
      </x:c>
      <x:c r="M61" s="16" t="n">
        <x:v>0</x:v>
      </x:c>
      <x:c r="N61" s="16" t="n">
        <x:v>12</x:v>
      </x:c>
      <x:c r="O61" s="16" t="n">
        <x:v>111</x:v>
      </x:c>
      <x:c r="P61" s="16" t="n">
        <x:v>111</x:v>
      </x:c>
      <x:c r="Q61" s="16"/>
      <x:c r="R61" s="16"/>
      <x:c r="S61" s="16" t="str"/>
      <x:c r="T61" s="16"/>
      <x:c r="U61" s="16" t="str">
        <x:v>NO — review only</x:v>
      </x:c>
    </x:row>
    <x:row r="62" ht="54" customHeight="1">
      <x:c r="A62" s="16" t="str">
        <x:v>en-dd1bed5a6c8f</x:v>
      </x:c>
      <x:c r="B62" s="16" t="str">
        <x:v>en</x:v>
      </x:c>
      <x:c r="C62" s="16" t="str">
        <x:v>Pokémon Rumble</x:v>
      </x:c>
      <x:c r="D62" s="16" t="str">
        <x:v>Pokémon Rumble</x:v>
      </x:c>
      <x:c r="E62" s="16" t="str">
        <x:v>Miscellaneous</x:v>
      </x:c>
      <x:c r="F62" s="16" t="str">
        <x:v>Card set / collection</x:v>
      </x:c>
      <x:c r="G62" s="16" t="str">
        <x:v>RM</x:v>
      </x:c>
      <x:c r="H62" s="16" t="str">
        <x:v>Source abbreviation</x:v>
      </x:c>
      <x:c r="I62" s="16" t="str">
        <x:v>2009-12-02</x:v>
      </x:c>
      <x:c r="J62" s="16" t="str">
        <x:v>day</x:v>
      </x:c>
      <x:c r="K62" s="16" t="str">
        <x:v>International English; source default date</x:v>
      </x:c>
      <x:c r="L62" s="16" t="n">
        <x:v>16</x:v>
      </x:c>
      <x:c r="M62" s="16" t="n">
        <x:v>0</x:v>
      </x:c>
      <x:c r="N62" s="16" t="n">
        <x:v>0</x:v>
      </x:c>
      <x:c r="O62" s="16" t="n">
        <x:v>16</x:v>
      </x:c>
      <x:c r="P62" s="16" t="n">
        <x:v>16</x:v>
      </x:c>
      <x:c r="Q62" s="16"/>
      <x:c r="R62" s="16"/>
      <x:c r="S62" s="16" t="str"/>
      <x:c r="T62" s="16"/>
      <x:c r="U62" s="16" t="str">
        <x:v>NO — review only</x:v>
      </x:c>
    </x:row>
    <x:row r="63" ht="54" customHeight="1">
      <x:c r="A63" s="16" t="str">
        <x:v>en-a33f6d494f98</x:v>
      </x:c>
      <x:c r="B63" s="16" t="str">
        <x:v>en</x:v>
      </x:c>
      <x:c r="C63" s="16" t="str">
        <x:v>HGSS Black Star Promos</x:v>
      </x:c>
      <x:c r="D63" s="16" t="str">
        <x:v>HGSS Black Star Promos</x:v>
      </x:c>
      <x:c r="E63" s="16" t="str">
        <x:v>HeartGold &amp; SoulSilver</x:v>
      </x:c>
      <x:c r="F63" s="16" t="str">
        <x:v>Promo catalogue</x:v>
      </x:c>
      <x:c r="G63" s="16" t="str">
        <x:v>HSP</x:v>
      </x:c>
      <x:c r="H63" s="16" t="str">
        <x:v>Source abbreviation</x:v>
      </x:c>
      <x:c r="I63" s="16" t="str">
        <x:v>2010-02</x:v>
      </x:c>
      <x:c r="J63" s="16" t="str">
        <x:v>month</x:v>
      </x:c>
      <x:c r="K63" s="16" t="str">
        <x:v>International English; source default date</x:v>
      </x:c>
      <x:c r="L63" s="16" t="n">
        <x:v>25</x:v>
      </x:c>
      <x:c r="M63" s="16" t="n">
        <x:v>0</x:v>
      </x:c>
      <x:c r="N63" s="16" t="n">
        <x:v>0</x:v>
      </x:c>
      <x:c r="O63" s="16" t="n">
        <x:v>25</x:v>
      </x:c>
      <x:c r="P63" s="16" t="n">
        <x:v>25</x:v>
      </x:c>
      <x:c r="Q63" s="16"/>
      <x:c r="R63" s="16"/>
      <x:c r="S63" s="16" t="str"/>
      <x:c r="T63" s="16"/>
      <x:c r="U63" s="16" t="str">
        <x:v>NO — review only</x:v>
      </x:c>
    </x:row>
    <x:row r="64" ht="54" customHeight="1">
      <x:c r="A64" s="16" t="str">
        <x:v>en-570eb4a7ff82</x:v>
      </x:c>
      <x:c r="B64" s="16" t="str">
        <x:v>en</x:v>
      </x:c>
      <x:c r="C64" s="16" t="str">
        <x:v>HeartGold &amp; SoulSilver</x:v>
      </x:c>
      <x:c r="D64" s="16" t="str">
        <x:v>HeartGold &amp; SoulSilver</x:v>
      </x:c>
      <x:c r="E64" s="16" t="str">
        <x:v>HeartGold &amp; SoulSilver</x:v>
      </x:c>
      <x:c r="F64" s="16" t="str">
        <x:v>Card set / collection</x:v>
      </x:c>
      <x:c r="G64" s="16" t="str">
        <x:v>HS</x:v>
      </x:c>
      <x:c r="H64" s="16" t="str">
        <x:v>Source abbreviation</x:v>
      </x:c>
      <x:c r="I64" s="16" t="str">
        <x:v>2010-02-10</x:v>
      </x:c>
      <x:c r="J64" s="16" t="str">
        <x:v>day</x:v>
      </x:c>
      <x:c r="K64" s="16" t="str">
        <x:v>International English; source default date</x:v>
      </x:c>
      <x:c r="L64" s="16" t="n">
        <x:v>123</x:v>
      </x:c>
      <x:c r="M64" s="16" t="n">
        <x:v>0</x:v>
      </x:c>
      <x:c r="N64" s="16" t="n">
        <x:v>1</x:v>
      </x:c>
      <x:c r="O64" s="16" t="n">
        <x:v>124</x:v>
      </x:c>
      <x:c r="P64" s="16" t="n">
        <x:v>124</x:v>
      </x:c>
      <x:c r="Q64" s="16"/>
      <x:c r="R64" s="16"/>
      <x:c r="S64" s="16" t="str"/>
      <x:c r="T64" s="16"/>
      <x:c r="U64" s="16" t="str">
        <x:v>NO — review only</x:v>
      </x:c>
    </x:row>
    <x:row r="65" ht="54" customHeight="1">
      <x:c r="A65" s="16" t="str">
        <x:v>en-fdf7f2c10a8c</x:v>
      </x:c>
      <x:c r="B65" s="16" t="str">
        <x:v>en</x:v>
      </x:c>
      <x:c r="C65" s="16" t="str">
        <x:v>HS—Unleashed</x:v>
      </x:c>
      <x:c r="D65" s="16" t="str">
        <x:v>HS—Unleashed</x:v>
      </x:c>
      <x:c r="E65" s="16" t="str">
        <x:v>HeartGold &amp; SoulSilver</x:v>
      </x:c>
      <x:c r="F65" s="16" t="str">
        <x:v>Card set / collection</x:v>
      </x:c>
      <x:c r="G65" s="16" t="str">
        <x:v>UL</x:v>
      </x:c>
      <x:c r="H65" s="16" t="str">
        <x:v>Source abbreviation</x:v>
      </x:c>
      <x:c r="I65" s="16" t="str">
        <x:v>2010-05-12</x:v>
      </x:c>
      <x:c r="J65" s="16" t="str">
        <x:v>day</x:v>
      </x:c>
      <x:c r="K65" s="16" t="str">
        <x:v>International English; source default date</x:v>
      </x:c>
      <x:c r="L65" s="16" t="n">
        <x:v>95</x:v>
      </x:c>
      <x:c r="M65" s="16" t="n">
        <x:v>0</x:v>
      </x:c>
      <x:c r="N65" s="16" t="n">
        <x:v>1</x:v>
      </x:c>
      <x:c r="O65" s="16" t="n">
        <x:v>96</x:v>
      </x:c>
      <x:c r="P65" s="16" t="n">
        <x:v>96</x:v>
      </x:c>
      <x:c r="Q65" s="16"/>
      <x:c r="R65" s="16"/>
      <x:c r="S65" s="16" t="str"/>
      <x:c r="T65" s="16"/>
      <x:c r="U65" s="16" t="str">
        <x:v>NO — review only</x:v>
      </x:c>
    </x:row>
    <x:row r="66" ht="54" customHeight="1">
      <x:c r="A66" s="16" t="str">
        <x:v>en-2c6142e8a65e</x:v>
      </x:c>
      <x:c r="B66" s="16" t="str">
        <x:v>en</x:v>
      </x:c>
      <x:c r="C66" s="16" t="str">
        <x:v>HS—Undaunted</x:v>
      </x:c>
      <x:c r="D66" s="16" t="str">
        <x:v>HS—Undaunted</x:v>
      </x:c>
      <x:c r="E66" s="16" t="str">
        <x:v>HeartGold &amp; SoulSilver</x:v>
      </x:c>
      <x:c r="F66" s="16" t="str">
        <x:v>Card set / collection</x:v>
      </x:c>
      <x:c r="G66" s="16" t="str">
        <x:v>UD</x:v>
      </x:c>
      <x:c r="H66" s="16" t="str">
        <x:v>Source abbreviation</x:v>
      </x:c>
      <x:c r="I66" s="16" t="str">
        <x:v>2010-08-18</x:v>
      </x:c>
      <x:c r="J66" s="16" t="str">
        <x:v>day</x:v>
      </x:c>
      <x:c r="K66" s="16" t="str">
        <x:v>International English; source default date</x:v>
      </x:c>
      <x:c r="L66" s="16" t="n">
        <x:v>90</x:v>
      </x:c>
      <x:c r="M66" s="16" t="n">
        <x:v>0</x:v>
      </x:c>
      <x:c r="N66" s="16" t="n">
        <x:v>1</x:v>
      </x:c>
      <x:c r="O66" s="16" t="n">
        <x:v>91</x:v>
      </x:c>
      <x:c r="P66" s="16" t="n">
        <x:v>91</x:v>
      </x:c>
      <x:c r="Q66" s="16"/>
      <x:c r="R66" s="16"/>
      <x:c r="S66" s="16" t="str"/>
      <x:c r="T66" s="16"/>
      <x:c r="U66" s="16" t="str">
        <x:v>NO — review only</x:v>
      </x:c>
    </x:row>
    <x:row r="67" ht="54" customHeight="1">
      <x:c r="A67" s="16" t="str">
        <x:v>en-8391c36c39f9</x:v>
      </x:c>
      <x:c r="B67" s="16" t="str">
        <x:v>en</x:v>
      </x:c>
      <x:c r="C67" s="16" t="str">
        <x:v>HS—Triumphant</x:v>
      </x:c>
      <x:c r="D67" s="16" t="str">
        <x:v>HS—Triumphant</x:v>
      </x:c>
      <x:c r="E67" s="16" t="str">
        <x:v>HeartGold &amp; SoulSilver</x:v>
      </x:c>
      <x:c r="F67" s="16" t="str">
        <x:v>Card set / collection</x:v>
      </x:c>
      <x:c r="G67" s="16" t="str">
        <x:v>TM</x:v>
      </x:c>
      <x:c r="H67" s="16" t="str">
        <x:v>Source abbreviation</x:v>
      </x:c>
      <x:c r="I67" s="16" t="str">
        <x:v>2010-11-03</x:v>
      </x:c>
      <x:c r="J67" s="16" t="str">
        <x:v>day</x:v>
      </x:c>
      <x:c r="K67" s="16" t="str">
        <x:v>International English; source default date</x:v>
      </x:c>
      <x:c r="L67" s="16" t="n">
        <x:v>102</x:v>
      </x:c>
      <x:c r="M67" s="16" t="n">
        <x:v>0</x:v>
      </x:c>
      <x:c r="N67" s="16" t="n">
        <x:v>1</x:v>
      </x:c>
      <x:c r="O67" s="16" t="n">
        <x:v>103</x:v>
      </x:c>
      <x:c r="P67" s="16" t="n">
        <x:v>103</x:v>
      </x:c>
      <x:c r="Q67" s="16"/>
      <x:c r="R67" s="16"/>
      <x:c r="S67" s="16" t="str"/>
      <x:c r="T67" s="16"/>
      <x:c r="U67" s="16" t="str">
        <x:v>NO — review only</x:v>
      </x:c>
    </x:row>
    <x:row r="68" ht="54" customHeight="1">
      <x:c r="A68" s="16" t="str">
        <x:v>en-768ff8b6c413</x:v>
      </x:c>
      <x:c r="B68" s="16" t="str">
        <x:v>en</x:v>
      </x:c>
      <x:c r="C68" s="16" t="str">
        <x:v>Call of Legends</x:v>
      </x:c>
      <x:c r="D68" s="16" t="str">
        <x:v>Call of Legends</x:v>
      </x:c>
      <x:c r="E68" s="16" t="str">
        <x:v>Call of Legends</x:v>
      </x:c>
      <x:c r="F68" s="16" t="str">
        <x:v>Card set / collection</x:v>
      </x:c>
      <x:c r="G68" s="16" t="str">
        <x:v>CL</x:v>
      </x:c>
      <x:c r="H68" s="16" t="str">
        <x:v>Source abbreviation</x:v>
      </x:c>
      <x:c r="I68" s="16" t="str">
        <x:v>2011-02-09</x:v>
      </x:c>
      <x:c r="J68" s="16" t="str">
        <x:v>day</x:v>
      </x:c>
      <x:c r="K68" s="16" t="str">
        <x:v>International English; source default date</x:v>
      </x:c>
      <x:c r="L68" s="16" t="n">
        <x:v>95</x:v>
      </x:c>
      <x:c r="M68" s="16" t="n">
        <x:v>0</x:v>
      </x:c>
      <x:c r="N68" s="16" t="n">
        <x:v>11</x:v>
      </x:c>
      <x:c r="O68" s="16" t="n">
        <x:v>106</x:v>
      </x:c>
      <x:c r="P68" s="16" t="n">
        <x:v>106</x:v>
      </x:c>
      <x:c r="Q68" s="16"/>
      <x:c r="R68" s="16"/>
      <x:c r="S68" s="16" t="str"/>
      <x:c r="T68" s="16"/>
      <x:c r="U68" s="16" t="str">
        <x:v>NO — review only</x:v>
      </x:c>
    </x:row>
    <x:row r="69" ht="54" customHeight="1">
      <x:c r="A69" s="16" t="str">
        <x:v>en-153f1e2973ab</x:v>
      </x:c>
      <x:c r="B69" s="16" t="str">
        <x:v>en</x:v>
      </x:c>
      <x:c r="C69" s="16" t="str">
        <x:v>BW Black Star Promos</x:v>
      </x:c>
      <x:c r="D69" s="16" t="str">
        <x:v>BW Black Star Promos</x:v>
      </x:c>
      <x:c r="E69" s="16" t="str">
        <x:v>Black &amp; White</x:v>
      </x:c>
      <x:c r="F69" s="16" t="str">
        <x:v>Promo catalogue</x:v>
      </x:c>
      <x:c r="G69" s="16" t="str">
        <x:v>BWP</x:v>
      </x:c>
      <x:c r="H69" s="16" t="str">
        <x:v>Source abbreviation</x:v>
      </x:c>
      <x:c r="I69" s="16" t="str">
        <x:v>2011-03</x:v>
      </x:c>
      <x:c r="J69" s="16" t="str">
        <x:v>month</x:v>
      </x:c>
      <x:c r="K69" s="16" t="str">
        <x:v>International English; source default date</x:v>
      </x:c>
      <x:c r="L69" s="16" t="n">
        <x:v>99</x:v>
      </x:c>
      <x:c r="M69" s="16" t="n">
        <x:v>0</x:v>
      </x:c>
      <x:c r="N69" s="16" t="n">
        <x:v>0</x:v>
      </x:c>
      <x:c r="O69" s="16" t="n">
        <x:v>99</x:v>
      </x:c>
      <x:c r="P69" s="16" t="n">
        <x:v>99</x:v>
      </x:c>
      <x:c r="Q69" s="16"/>
      <x:c r="R69" s="16"/>
      <x:c r="S69" s="16" t="str"/>
      <x:c r="T69" s="16"/>
      <x:c r="U69" s="16" t="str">
        <x:v>NO — review only</x:v>
      </x:c>
    </x:row>
    <x:row r="70" ht="54" customHeight="1">
      <x:c r="A70" s="16" t="str">
        <x:v>en-979394369192</x:v>
      </x:c>
      <x:c r="B70" s="16" t="str">
        <x:v>en</x:v>
      </x:c>
      <x:c r="C70" s="16" t="str">
        <x:v>Black &amp; White</x:v>
      </x:c>
      <x:c r="D70" s="16" t="str">
        <x:v>Black &amp; White</x:v>
      </x:c>
      <x:c r="E70" s="16" t="str">
        <x:v>Black &amp; White</x:v>
      </x:c>
      <x:c r="F70" s="16" t="str">
        <x:v>Card set / collection</x:v>
      </x:c>
      <x:c r="G70" s="16" t="str">
        <x:v>BLW</x:v>
      </x:c>
      <x:c r="H70" s="16" t="str">
        <x:v>Source abbreviation</x:v>
      </x:c>
      <x:c r="I70" s="16" t="str">
        <x:v>2011-04-25</x:v>
      </x:c>
      <x:c r="J70" s="16" t="str">
        <x:v>day</x:v>
      </x:c>
      <x:c r="K70" s="16" t="str">
        <x:v>International English; source default date</x:v>
      </x:c>
      <x:c r="L70" s="16" t="n">
        <x:v>114</x:v>
      </x:c>
      <x:c r="M70" s="16" t="n">
        <x:v>1</x:v>
      </x:c>
      <x:c r="N70" s="16" t="n">
        <x:v>0</x:v>
      </x:c>
      <x:c r="O70" s="16" t="n">
        <x:v>115</x:v>
      </x:c>
      <x:c r="P70" s="16" t="n">
        <x:v>115</x:v>
      </x:c>
      <x:c r="Q70" s="16"/>
      <x:c r="R70" s="16"/>
      <x:c r="S70" s="16" t="str"/>
      <x:c r="T70" s="16"/>
      <x:c r="U70" s="16" t="str">
        <x:v>NO — review only</x:v>
      </x:c>
    </x:row>
    <x:row r="71" ht="54" customHeight="1">
      <x:c r="A71" s="16" t="str">
        <x:v>en-e2f82b622c38</x:v>
      </x:c>
      <x:c r="B71" s="16" t="str">
        <x:v>en</x:v>
      </x:c>
      <x:c r="C71" s="16" t="str">
        <x:v>McDonald's Collection 2011</x:v>
      </x:c>
      <x:c r="D71" s="16" t="str">
        <x:v>McDonald's Collection 2011</x:v>
      </x:c>
      <x:c r="E71" s="16" t="str">
        <x:v>McDonald's</x:v>
      </x:c>
      <x:c r="F71" s="16" t="str">
        <x:v>Promo catalogue</x:v>
      </x:c>
      <x:c r="G71" s="16" t="str">
        <x:v>M11</x:v>
      </x:c>
      <x:c r="H71" s="16" t="str">
        <x:v>Source abbreviation</x:v>
      </x:c>
      <x:c r="I71" s="16" t="str">
        <x:v>2011-06-17</x:v>
      </x:c>
      <x:c r="J71" s="16" t="str">
        <x:v>day</x:v>
      </x:c>
      <x:c r="K71" s="16" t="str">
        <x:v>International English; source default date</x:v>
      </x:c>
      <x:c r="L71" s="16" t="n">
        <x:v>12</x:v>
      </x:c>
      <x:c r="M71" s="16" t="n">
        <x:v>0</x:v>
      </x:c>
      <x:c r="N71" s="16" t="n">
        <x:v>0</x:v>
      </x:c>
      <x:c r="O71" s="16" t="n">
        <x:v>12</x:v>
      </x:c>
      <x:c r="P71" s="16" t="n">
        <x:v>12</x:v>
      </x:c>
      <x:c r="Q71" s="16"/>
      <x:c r="R71" s="16"/>
      <x:c r="S71" s="16" t="str"/>
      <x:c r="T71" s="16"/>
      <x:c r="U71" s="16" t="str">
        <x:v>NO — review only</x:v>
      </x:c>
    </x:row>
    <x:row r="72" ht="54" customHeight="1">
      <x:c r="A72" s="16" t="str">
        <x:v>en-010fbb1c4518</x:v>
      </x:c>
      <x:c r="B72" s="16" t="str">
        <x:v>en</x:v>
      </x:c>
      <x:c r="C72" s="16" t="str">
        <x:v>Emerging Powers</x:v>
      </x:c>
      <x:c r="D72" s="16" t="str">
        <x:v>Emerging Powers</x:v>
      </x:c>
      <x:c r="E72" s="16" t="str">
        <x:v>Black &amp; White</x:v>
      </x:c>
      <x:c r="F72" s="16" t="str">
        <x:v>Card set / collection</x:v>
      </x:c>
      <x:c r="G72" s="16" t="str">
        <x:v>EPO</x:v>
      </x:c>
      <x:c r="H72" s="16" t="str">
        <x:v>Source abbreviation</x:v>
      </x:c>
      <x:c r="I72" s="16" t="str">
        <x:v>2011-08-31</x:v>
      </x:c>
      <x:c r="J72" s="16" t="str">
        <x:v>day</x:v>
      </x:c>
      <x:c r="K72" s="16" t="str">
        <x:v>International English; source default date</x:v>
      </x:c>
      <x:c r="L72" s="16" t="n">
        <x:v>98</x:v>
      </x:c>
      <x:c r="M72" s="16" t="n">
        <x:v>0</x:v>
      </x:c>
      <x:c r="N72" s="16" t="n">
        <x:v>0</x:v>
      </x:c>
      <x:c r="O72" s="16" t="n">
        <x:v>98</x:v>
      </x:c>
      <x:c r="P72" s="16" t="n">
        <x:v>98</x:v>
      </x:c>
      <x:c r="Q72" s="16"/>
      <x:c r="R72" s="16"/>
      <x:c r="S72" s="16" t="str"/>
      <x:c r="T72" s="16"/>
      <x:c r="U72" s="16" t="str">
        <x:v>NO — review only</x:v>
      </x:c>
    </x:row>
    <x:row r="73" ht="54" customHeight="1">
      <x:c r="A73" s="16" t="str">
        <x:v>en-f282c6e506cc</x:v>
      </x:c>
      <x:c r="B73" s="16" t="str">
        <x:v>en</x:v>
      </x:c>
      <x:c r="C73" s="16" t="str">
        <x:v>Noble Victories</x:v>
      </x:c>
      <x:c r="D73" s="16" t="str">
        <x:v>Noble Victories</x:v>
      </x:c>
      <x:c r="E73" s="16" t="str">
        <x:v>Black &amp; White</x:v>
      </x:c>
      <x:c r="F73" s="16" t="str">
        <x:v>Card set / collection</x:v>
      </x:c>
      <x:c r="G73" s="16" t="str">
        <x:v>NVI</x:v>
      </x:c>
      <x:c r="H73" s="16" t="str">
        <x:v>Source abbreviation</x:v>
      </x:c>
      <x:c r="I73" s="16" t="str">
        <x:v>2011-11-16</x:v>
      </x:c>
      <x:c r="J73" s="16" t="str">
        <x:v>day</x:v>
      </x:c>
      <x:c r="K73" s="16" t="str">
        <x:v>International English; source default date</x:v>
      </x:c>
      <x:c r="L73" s="16" t="n">
        <x:v>101</x:v>
      </x:c>
      <x:c r="M73" s="16" t="n">
        <x:v>1</x:v>
      </x:c>
      <x:c r="N73" s="16" t="n">
        <x:v>0</x:v>
      </x:c>
      <x:c r="O73" s="16" t="n">
        <x:v>102</x:v>
      </x:c>
      <x:c r="P73" s="16" t="n">
        <x:v>102</x:v>
      </x:c>
      <x:c r="Q73" s="16"/>
      <x:c r="R73" s="16"/>
      <x:c r="S73" s="16" t="str"/>
      <x:c r="T73" s="16"/>
      <x:c r="U73" s="16" t="str">
        <x:v>NO — review only</x:v>
      </x:c>
    </x:row>
    <x:row r="74" ht="54" customHeight="1">
      <x:c r="A74" s="16" t="str">
        <x:v>en-f9d9d3df62f9</x:v>
      </x:c>
      <x:c r="B74" s="16" t="str">
        <x:v>en</x:v>
      </x:c>
      <x:c r="C74" s="16" t="str">
        <x:v>Next Destinies</x:v>
      </x:c>
      <x:c r="D74" s="16" t="str">
        <x:v>Next Destinies</x:v>
      </x:c>
      <x:c r="E74" s="16" t="str">
        <x:v>Black &amp; White</x:v>
      </x:c>
      <x:c r="F74" s="16" t="str">
        <x:v>Card set / collection</x:v>
      </x:c>
      <x:c r="G74" s="16" t="str">
        <x:v>NXD</x:v>
      </x:c>
      <x:c r="H74" s="16" t="str">
        <x:v>Source abbreviation</x:v>
      </x:c>
      <x:c r="I74" s="16" t="str">
        <x:v>2012-02-08</x:v>
      </x:c>
      <x:c r="J74" s="16" t="str">
        <x:v>day</x:v>
      </x:c>
      <x:c r="K74" s="16" t="str">
        <x:v>International English; source default date</x:v>
      </x:c>
      <x:c r="L74" s="16" t="n">
        <x:v>99</x:v>
      </x:c>
      <x:c r="M74" s="16" t="n">
        <x:v>4</x:v>
      </x:c>
      <x:c r="N74" s="16" t="n">
        <x:v>0</x:v>
      </x:c>
      <x:c r="O74" s="16" t="n">
        <x:v>103</x:v>
      </x:c>
      <x:c r="P74" s="16" t="n">
        <x:v>103</x:v>
      </x:c>
      <x:c r="Q74" s="16"/>
      <x:c r="R74" s="16"/>
      <x:c r="S74" s="16" t="str"/>
      <x:c r="T74" s="16"/>
      <x:c r="U74" s="16" t="str">
        <x:v>NO — review only</x:v>
      </x:c>
    </x:row>
    <x:row r="75" ht="54" customHeight="1">
      <x:c r="A75" s="16" t="str">
        <x:v>en-1b9e4a6a354e</x:v>
      </x:c>
      <x:c r="B75" s="16" t="str">
        <x:v>en</x:v>
      </x:c>
      <x:c r="C75" s="16" t="str">
        <x:v>Dark Explorers</x:v>
      </x:c>
      <x:c r="D75" s="16" t="str">
        <x:v>Dark Explorers</x:v>
      </x:c>
      <x:c r="E75" s="16" t="str">
        <x:v>Black &amp; White</x:v>
      </x:c>
      <x:c r="F75" s="16" t="str">
        <x:v>Card set / collection</x:v>
      </x:c>
      <x:c r="G75" s="16" t="str">
        <x:v>DEX</x:v>
      </x:c>
      <x:c r="H75" s="16" t="str">
        <x:v>Source abbreviation</x:v>
      </x:c>
      <x:c r="I75" s="16" t="str">
        <x:v>2012-05-09</x:v>
      </x:c>
      <x:c r="J75" s="16" t="str">
        <x:v>day</x:v>
      </x:c>
      <x:c r="K75" s="16" t="str">
        <x:v>International English; source default date</x:v>
      </x:c>
      <x:c r="L75" s="16" t="n">
        <x:v>108</x:v>
      </x:c>
      <x:c r="M75" s="16" t="n">
        <x:v>3</x:v>
      </x:c>
      <x:c r="N75" s="16" t="n">
        <x:v>0</x:v>
      </x:c>
      <x:c r="O75" s="16" t="n">
        <x:v>111</x:v>
      </x:c>
      <x:c r="P75" s="16" t="n">
        <x:v>111</x:v>
      </x:c>
      <x:c r="Q75" s="16"/>
      <x:c r="R75" s="16"/>
      <x:c r="S75" s="16" t="str"/>
      <x:c r="T75" s="16"/>
      <x:c r="U75" s="16" t="str">
        <x:v>NO — review only</x:v>
      </x:c>
    </x:row>
    <x:row r="76" ht="54" customHeight="1">
      <x:c r="A76" s="16" t="str">
        <x:v>en-4bc9e6055cd1</x:v>
      </x:c>
      <x:c r="B76" s="16" t="str">
        <x:v>en</x:v>
      </x:c>
      <x:c r="C76" s="16" t="str">
        <x:v>McDonald's Collection 2012</x:v>
      </x:c>
      <x:c r="D76" s="16" t="str">
        <x:v>McDonald's Collection 2012</x:v>
      </x:c>
      <x:c r="E76" s="16" t="str">
        <x:v>McDonald's</x:v>
      </x:c>
      <x:c r="F76" s="16" t="str">
        <x:v>Promo catalogue</x:v>
      </x:c>
      <x:c r="G76" s="16" t="str">
        <x:v>M12</x:v>
      </x:c>
      <x:c r="H76" s="16" t="str">
        <x:v>Source abbreviation</x:v>
      </x:c>
      <x:c r="I76" s="16" t="str">
        <x:v>2012-06-15</x:v>
      </x:c>
      <x:c r="J76" s="16" t="str">
        <x:v>day</x:v>
      </x:c>
      <x:c r="K76" s="16" t="str">
        <x:v>International English; source default date</x:v>
      </x:c>
      <x:c r="L76" s="16" t="n">
        <x:v>12</x:v>
      </x:c>
      <x:c r="M76" s="16" t="n">
        <x:v>0</x:v>
      </x:c>
      <x:c r="N76" s="16" t="n">
        <x:v>0</x:v>
      </x:c>
      <x:c r="O76" s="16" t="n">
        <x:v>12</x:v>
      </x:c>
      <x:c r="P76" s="16" t="n">
        <x:v>12</x:v>
      </x:c>
      <x:c r="Q76" s="16"/>
      <x:c r="R76" s="16"/>
      <x:c r="S76" s="16" t="str"/>
      <x:c r="T76" s="16"/>
      <x:c r="U76" s="16" t="str">
        <x:v>NO — review only</x:v>
      </x:c>
    </x:row>
    <x:row r="77" ht="54" customHeight="1">
      <x:c r="A77" s="16" t="str">
        <x:v>en-46bcbc7bd2cf</x:v>
      </x:c>
      <x:c r="B77" s="16" t="str">
        <x:v>en</x:v>
      </x:c>
      <x:c r="C77" s="16" t="str">
        <x:v>Dragons Exalted</x:v>
      </x:c>
      <x:c r="D77" s="16" t="str">
        <x:v>Dragons Exalted</x:v>
      </x:c>
      <x:c r="E77" s="16" t="str">
        <x:v>Black &amp; White</x:v>
      </x:c>
      <x:c r="F77" s="16" t="str">
        <x:v>Card set / collection</x:v>
      </x:c>
      <x:c r="G77" s="16" t="str">
        <x:v>DRX</x:v>
      </x:c>
      <x:c r="H77" s="16" t="str">
        <x:v>Source abbreviation</x:v>
      </x:c>
      <x:c r="I77" s="16" t="str">
        <x:v>2012-08-15</x:v>
      </x:c>
      <x:c r="J77" s="16" t="str">
        <x:v>day</x:v>
      </x:c>
      <x:c r="K77" s="16" t="str">
        <x:v>International English; source default date</x:v>
      </x:c>
      <x:c r="L77" s="16" t="n">
        <x:v>124</x:v>
      </x:c>
      <x:c r="M77" s="16" t="n">
        <x:v>4</x:v>
      </x:c>
      <x:c r="N77" s="16" t="n">
        <x:v>0</x:v>
      </x:c>
      <x:c r="O77" s="16" t="n">
        <x:v>128</x:v>
      </x:c>
      <x:c r="P77" s="16" t="n">
        <x:v>128</x:v>
      </x:c>
      <x:c r="Q77" s="16"/>
      <x:c r="R77" s="16"/>
      <x:c r="S77" s="16" t="str"/>
      <x:c r="T77" s="16"/>
      <x:c r="U77" s="16" t="str">
        <x:v>NO — review only</x:v>
      </x:c>
    </x:row>
    <x:row r="78" ht="54" customHeight="1">
      <x:c r="A78" s="16" t="str">
        <x:v>en-91e1f1c33c0f</x:v>
      </x:c>
      <x:c r="B78" s="16" t="str">
        <x:v>en</x:v>
      </x:c>
      <x:c r="C78" s="16" t="str">
        <x:v>Dragon Vault</x:v>
      </x:c>
      <x:c r="D78" s="16" t="str">
        <x:v>Dragon Vault</x:v>
      </x:c>
      <x:c r="E78" s="16" t="str">
        <x:v>Black &amp; White</x:v>
      </x:c>
      <x:c r="F78" s="16" t="str">
        <x:v>Card set / collection</x:v>
      </x:c>
      <x:c r="G78" s="16" t="str">
        <x:v>DRV</x:v>
      </x:c>
      <x:c r="H78" s="16" t="str">
        <x:v>Source abbreviation</x:v>
      </x:c>
      <x:c r="I78" s="16" t="str">
        <x:v>2012-10-05</x:v>
      </x:c>
      <x:c r="J78" s="16" t="str">
        <x:v>day</x:v>
      </x:c>
      <x:c r="K78" s="16" t="str">
        <x:v>International English; source default date</x:v>
      </x:c>
      <x:c r="L78" s="16" t="n">
        <x:v>20</x:v>
      </x:c>
      <x:c r="M78" s="16" t="n">
        <x:v>1</x:v>
      </x:c>
      <x:c r="N78" s="16" t="n">
        <x:v>0</x:v>
      </x:c>
      <x:c r="O78" s="16" t="n">
        <x:v>21</x:v>
      </x:c>
      <x:c r="P78" s="16" t="n">
        <x:v>21</x:v>
      </x:c>
      <x:c r="Q78" s="16"/>
      <x:c r="R78" s="16"/>
      <x:c r="S78" s="16" t="str"/>
      <x:c r="T78" s="16"/>
      <x:c r="U78" s="16" t="str">
        <x:v>NO — review only</x:v>
      </x:c>
    </x:row>
    <x:row r="79" ht="54" customHeight="1">
      <x:c r="A79" s="16" t="str">
        <x:v>en-e09a110664e7</x:v>
      </x:c>
      <x:c r="B79" s="16" t="str">
        <x:v>en</x:v>
      </x:c>
      <x:c r="C79" s="16" t="str">
        <x:v>Boundaries Crossed</x:v>
      </x:c>
      <x:c r="D79" s="16" t="str">
        <x:v>Boundaries Crossed</x:v>
      </x:c>
      <x:c r="E79" s="16" t="str">
        <x:v>Black &amp; White</x:v>
      </x:c>
      <x:c r="F79" s="16" t="str">
        <x:v>Card set / collection</x:v>
      </x:c>
      <x:c r="G79" s="16" t="str">
        <x:v>BCR</x:v>
      </x:c>
      <x:c r="H79" s="16" t="str">
        <x:v>Source abbreviation</x:v>
      </x:c>
      <x:c r="I79" s="16" t="str">
        <x:v>2012-11-07</x:v>
      </x:c>
      <x:c r="J79" s="16" t="str">
        <x:v>day</x:v>
      </x:c>
      <x:c r="K79" s="16" t="str">
        <x:v>International English; source default date</x:v>
      </x:c>
      <x:c r="L79" s="16" t="n">
        <x:v>149</x:v>
      </x:c>
      <x:c r="M79" s="16" t="n">
        <x:v>4</x:v>
      </x:c>
      <x:c r="N79" s="16" t="n">
        <x:v>0</x:v>
      </x:c>
      <x:c r="O79" s="16" t="n">
        <x:v>153</x:v>
      </x:c>
      <x:c r="P79" s="16" t="n">
        <x:v>153</x:v>
      </x:c>
      <x:c r="Q79" s="16"/>
      <x:c r="R79" s="16"/>
      <x:c r="S79" s="16" t="str"/>
      <x:c r="T79" s="16"/>
      <x:c r="U79" s="16" t="str">
        <x:v>NO — review only</x:v>
      </x:c>
    </x:row>
    <x:row r="80" ht="54" customHeight="1">
      <x:c r="A80" s="16" t="str">
        <x:v>en-3016217292f6</x:v>
      </x:c>
      <x:c r="B80" s="16" t="str">
        <x:v>en</x:v>
      </x:c>
      <x:c r="C80" s="16" t="str">
        <x:v>Plasma Storm</x:v>
      </x:c>
      <x:c r="D80" s="16" t="str">
        <x:v>Plasma Storm</x:v>
      </x:c>
      <x:c r="E80" s="16" t="str">
        <x:v>Black &amp; White</x:v>
      </x:c>
      <x:c r="F80" s="16" t="str">
        <x:v>Card set / collection</x:v>
      </x:c>
      <x:c r="G80" s="16" t="str">
        <x:v>PLS</x:v>
      </x:c>
      <x:c r="H80" s="16" t="str">
        <x:v>Source abbreviation</x:v>
      </x:c>
      <x:c r="I80" s="16" t="str">
        <x:v>2013-02-06</x:v>
      </x:c>
      <x:c r="J80" s="16" t="str">
        <x:v>day</x:v>
      </x:c>
      <x:c r="K80" s="16" t="str">
        <x:v>International English; source default date</x:v>
      </x:c>
      <x:c r="L80" s="16" t="n">
        <x:v>135</x:v>
      </x:c>
      <x:c r="M80" s="16" t="n">
        <x:v>3</x:v>
      </x:c>
      <x:c r="N80" s="16" t="n">
        <x:v>0</x:v>
      </x:c>
      <x:c r="O80" s="16" t="n">
        <x:v>138</x:v>
      </x:c>
      <x:c r="P80" s="16" t="n">
        <x:v>138</x:v>
      </x:c>
      <x:c r="Q80" s="16"/>
      <x:c r="R80" s="16"/>
      <x:c r="S80" s="16" t="str"/>
      <x:c r="T80" s="16"/>
      <x:c r="U80" s="16" t="str">
        <x:v>NO — review only</x:v>
      </x:c>
    </x:row>
    <x:row r="81" ht="54" customHeight="1">
      <x:c r="A81" s="16" t="str">
        <x:v>en-5aa9e9a94aa6</x:v>
      </x:c>
      <x:c r="B81" s="16" t="str">
        <x:v>en</x:v>
      </x:c>
      <x:c r="C81" s="16" t="str">
        <x:v>Plasma Freeze</x:v>
      </x:c>
      <x:c r="D81" s="16" t="str">
        <x:v>Plasma Freeze</x:v>
      </x:c>
      <x:c r="E81" s="16" t="str">
        <x:v>Black &amp; White</x:v>
      </x:c>
      <x:c r="F81" s="16" t="str">
        <x:v>Card set / collection</x:v>
      </x:c>
      <x:c r="G81" s="16" t="str">
        <x:v>PLF</x:v>
      </x:c>
      <x:c r="H81" s="16" t="str">
        <x:v>Source abbreviation</x:v>
      </x:c>
      <x:c r="I81" s="16" t="str">
        <x:v>2013-05-08</x:v>
      </x:c>
      <x:c r="J81" s="16" t="str">
        <x:v>day</x:v>
      </x:c>
      <x:c r="K81" s="16" t="str">
        <x:v>International English; source default date</x:v>
      </x:c>
      <x:c r="L81" s="16" t="n">
        <x:v>116</x:v>
      </x:c>
      <x:c r="M81" s="16" t="n">
        <x:v>6</x:v>
      </x:c>
      <x:c r="N81" s="16" t="n">
        <x:v>0</x:v>
      </x:c>
      <x:c r="O81" s="16" t="n">
        <x:v>122</x:v>
      </x:c>
      <x:c r="P81" s="16" t="n">
        <x:v>122</x:v>
      </x:c>
      <x:c r="Q81" s="16"/>
      <x:c r="R81" s="16"/>
      <x:c r="S81" s="16" t="str"/>
      <x:c r="T81" s="16"/>
      <x:c r="U81" s="16" t="str">
        <x:v>NO — review only</x:v>
      </x:c>
    </x:row>
    <x:row r="82" ht="54" customHeight="1">
      <x:c r="A82" s="16" t="str">
        <x:v>en-ad0a6da5fa67</x:v>
      </x:c>
      <x:c r="B82" s="16" t="str">
        <x:v>en</x:v>
      </x:c>
      <x:c r="C82" s="16" t="str">
        <x:v>Plasma Blast</x:v>
      </x:c>
      <x:c r="D82" s="16" t="str">
        <x:v>Plasma Blast</x:v>
      </x:c>
      <x:c r="E82" s="16" t="str">
        <x:v>Black &amp; White</x:v>
      </x:c>
      <x:c r="F82" s="16" t="str">
        <x:v>Card set / collection</x:v>
      </x:c>
      <x:c r="G82" s="16" t="str">
        <x:v>PLB</x:v>
      </x:c>
      <x:c r="H82" s="16" t="str">
        <x:v>Source abbreviation</x:v>
      </x:c>
      <x:c r="I82" s="16" t="str">
        <x:v>2013-08-14</x:v>
      </x:c>
      <x:c r="J82" s="16" t="str">
        <x:v>day</x:v>
      </x:c>
      <x:c r="K82" s="16" t="str">
        <x:v>International English; source default date</x:v>
      </x:c>
      <x:c r="L82" s="16" t="n">
        <x:v>101</x:v>
      </x:c>
      <x:c r="M82" s="16" t="n">
        <x:v>4</x:v>
      </x:c>
      <x:c r="N82" s="16" t="n">
        <x:v>0</x:v>
      </x:c>
      <x:c r="O82" s="16" t="n">
        <x:v>105</x:v>
      </x:c>
      <x:c r="P82" s="16" t="n">
        <x:v>105</x:v>
      </x:c>
      <x:c r="Q82" s="16"/>
      <x:c r="R82" s="16"/>
      <x:c r="S82" s="16" t="str"/>
      <x:c r="T82" s="16"/>
      <x:c r="U82" s="16" t="str">
        <x:v>NO — review only</x:v>
      </x:c>
    </x:row>
    <x:row r="83" ht="54" customHeight="1">
      <x:c r="A83" s="16" t="str">
        <x:v>en-de9597f8f5f1</x:v>
      </x:c>
      <x:c r="B83" s="16" t="str">
        <x:v>en</x:v>
      </x:c>
      <x:c r="C83" s="16" t="str">
        <x:v>XY Black Star Promos</x:v>
      </x:c>
      <x:c r="D83" s="16" t="str">
        <x:v>XY Black Star Promos</x:v>
      </x:c>
      <x:c r="E83" s="16" t="str">
        <x:v>XY</x:v>
      </x:c>
      <x:c r="F83" s="16" t="str">
        <x:v>Promo catalogue</x:v>
      </x:c>
      <x:c r="G83" s="16" t="str">
        <x:v>XYP</x:v>
      </x:c>
      <x:c r="H83" s="16" t="str">
        <x:v>Source abbreviation</x:v>
      </x:c>
      <x:c r="I83" s="16" t="str">
        <x:v>2013-10</x:v>
      </x:c>
      <x:c r="J83" s="16" t="str">
        <x:v>month</x:v>
      </x:c>
      <x:c r="K83" s="16" t="str">
        <x:v>International English; source default date</x:v>
      </x:c>
      <x:c r="L83" s="16" t="n">
        <x:v>211</x:v>
      </x:c>
      <x:c r="M83" s="16" t="n">
        <x:v>0</x:v>
      </x:c>
      <x:c r="N83" s="16" t="n">
        <x:v>0</x:v>
      </x:c>
      <x:c r="O83" s="16" t="n">
        <x:v>211</x:v>
      </x:c>
      <x:c r="P83" s="16" t="n">
        <x:v>211</x:v>
      </x:c>
      <x:c r="Q83" s="16"/>
      <x:c r="R83" s="16"/>
      <x:c r="S83" s="16" t="str"/>
      <x:c r="T83" s="16"/>
      <x:c r="U83" s="16" t="str">
        <x:v>NO — review only</x:v>
      </x:c>
    </x:row>
    <x:row r="84" ht="54" customHeight="1">
      <x:c r="A84" s="16" t="str">
        <x:v>en-3cb54e9ce33e</x:v>
      </x:c>
      <x:c r="B84" s="16" t="str">
        <x:v>en</x:v>
      </x:c>
      <x:c r="C84" s="16" t="str">
        <x:v>McDonald's Collection 2013</x:v>
      </x:c>
      <x:c r="D84" s="16" t="str">
        <x:v>McDonald's Collection 2013</x:v>
      </x:c>
      <x:c r="E84" s="16" t="str">
        <x:v>McDonald's</x:v>
      </x:c>
      <x:c r="F84" s="16" t="str">
        <x:v>Promo catalogue</x:v>
      </x:c>
      <x:c r="G84" s="16" t="str">
        <x:v>M13</x:v>
      </x:c>
      <x:c r="H84" s="16" t="str">
        <x:v>Source abbreviation</x:v>
      </x:c>
      <x:c r="I84" s="16" t="str">
        <x:v>2013-10-13</x:v>
      </x:c>
      <x:c r="J84" s="16" t="str">
        <x:v>day</x:v>
      </x:c>
      <x:c r="K84" s="16" t="str">
        <x:v>International English; source default date</x:v>
      </x:c>
      <x:c r="L84" s="16" t="n">
        <x:v>12</x:v>
      </x:c>
      <x:c r="M84" s="16" t="n">
        <x:v>0</x:v>
      </x:c>
      <x:c r="N84" s="16" t="n">
        <x:v>0</x:v>
      </x:c>
      <x:c r="O84" s="16" t="n">
        <x:v>12</x:v>
      </x:c>
      <x:c r="P84" s="16" t="n">
        <x:v>12</x:v>
      </x:c>
      <x:c r="Q84" s="16"/>
      <x:c r="R84" s="16"/>
      <x:c r="S84" s="16" t="str"/>
      <x:c r="T84" s="16"/>
      <x:c r="U84" s="16" t="str">
        <x:v>NO — review only</x:v>
      </x:c>
    </x:row>
    <x:row r="85" ht="54" customHeight="1">
      <x:c r="A85" s="16" t="str">
        <x:v>en-d17b2d80e0a0</x:v>
      </x:c>
      <x:c r="B85" s="16" t="str">
        <x:v>en</x:v>
      </x:c>
      <x:c r="C85" s="16" t="str">
        <x:v>Legendary Treasures</x:v>
      </x:c>
      <x:c r="D85" s="16" t="str">
        <x:v>Legendary Treasures</x:v>
      </x:c>
      <x:c r="E85" s="16" t="str">
        <x:v>Black &amp; White</x:v>
      </x:c>
      <x:c r="F85" s="16" t="str">
        <x:v>Card set / collection</x:v>
      </x:c>
      <x:c r="G85" s="16" t="str">
        <x:v>LTR</x:v>
      </x:c>
      <x:c r="H85" s="16" t="str">
        <x:v>Source abbreviation</x:v>
      </x:c>
      <x:c r="I85" s="16" t="str">
        <x:v>2013-11-06</x:v>
      </x:c>
      <x:c r="J85" s="16" t="str">
        <x:v>day</x:v>
      </x:c>
      <x:c r="K85" s="16" t="str">
        <x:v>International English; source default date</x:v>
      </x:c>
      <x:c r="L85" s="16" t="n">
        <x:v>113</x:v>
      </x:c>
      <x:c r="M85" s="16" t="n">
        <x:v>2</x:v>
      </x:c>
      <x:c r="N85" s="16" t="n">
        <x:v>25</x:v>
      </x:c>
      <x:c r="O85" s="16" t="n">
        <x:v>140</x:v>
      </x:c>
      <x:c r="P85" s="16" t="n">
        <x:v>140</x:v>
      </x:c>
      <x:c r="Q85" s="16"/>
      <x:c r="R85" s="16"/>
      <x:c r="S85" s="16" t="str"/>
      <x:c r="T85" s="16"/>
      <x:c r="U85" s="16" t="str">
        <x:v>NO — review only</x:v>
      </x:c>
    </x:row>
    <x:row r="86" ht="54" customHeight="1">
      <x:c r="A86" s="16" t="str">
        <x:v>en-8927672c1fc3</x:v>
      </x:c>
      <x:c r="B86" s="16" t="str">
        <x:v>en</x:v>
      </x:c>
      <x:c r="C86" s="16" t="str">
        <x:v>Kalos Starter Set</x:v>
      </x:c>
      <x:c r="D86" s="16" t="str">
        <x:v>Kalos Starter Set</x:v>
      </x:c>
      <x:c r="E86" s="16" t="str">
        <x:v>XY</x:v>
      </x:c>
      <x:c r="F86" s="16" t="str">
        <x:v>Card set / collection</x:v>
      </x:c>
      <x:c r="G86" s="16" t="str">
        <x:v>KSS</x:v>
      </x:c>
      <x:c r="H86" s="16" t="str">
        <x:v>Source abbreviation</x:v>
      </x:c>
      <x:c r="I86" s="16" t="str">
        <x:v>2013-11-08</x:v>
      </x:c>
      <x:c r="J86" s="16" t="str">
        <x:v>day</x:v>
      </x:c>
      <x:c r="K86" s="16" t="str">
        <x:v>International English; source default date</x:v>
      </x:c>
      <x:c r="L86" s="16" t="n">
        <x:v>39</x:v>
      </x:c>
      <x:c r="M86" s="16" t="n">
        <x:v>0</x:v>
      </x:c>
      <x:c r="N86" s="16" t="n">
        <x:v>0</x:v>
      </x:c>
      <x:c r="O86" s="16" t="n">
        <x:v>39</x:v>
      </x:c>
      <x:c r="P86" s="16" t="n">
        <x:v>39</x:v>
      </x:c>
      <x:c r="Q86" s="16"/>
      <x:c r="R86" s="16"/>
      <x:c r="S86" s="16" t="str"/>
      <x:c r="T86" s="16"/>
      <x:c r="U86" s="16" t="str">
        <x:v>NO — review only</x:v>
      </x:c>
    </x:row>
    <x:row r="87" ht="54" customHeight="1">
      <x:c r="A87" s="16" t="str">
        <x:v>en-c2ca16153c2a</x:v>
      </x:c>
      <x:c r="B87" s="16" t="str">
        <x:v>en</x:v>
      </x:c>
      <x:c r="C87" s="16" t="str">
        <x:v>XY</x:v>
      </x:c>
      <x:c r="D87" s="16" t="str">
        <x:v>XY</x:v>
      </x:c>
      <x:c r="E87" s="16" t="str">
        <x:v>XY</x:v>
      </x:c>
      <x:c r="F87" s="16" t="str">
        <x:v>Card set / collection</x:v>
      </x:c>
      <x:c r="G87" s="16" t="str">
        <x:v>XY</x:v>
      </x:c>
      <x:c r="H87" s="16" t="str">
        <x:v>Source abbreviation</x:v>
      </x:c>
      <x:c r="I87" s="16" t="str">
        <x:v>2014-02-05</x:v>
      </x:c>
      <x:c r="J87" s="16" t="str">
        <x:v>day</x:v>
      </x:c>
      <x:c r="K87" s="16" t="str">
        <x:v>International English; source default date</x:v>
      </x:c>
      <x:c r="L87" s="16" t="n">
        <x:v>146</x:v>
      </x:c>
      <x:c r="M87" s="16" t="n">
        <x:v>0</x:v>
      </x:c>
      <x:c r="N87" s="16" t="n">
        <x:v>0</x:v>
      </x:c>
      <x:c r="O87" s="16" t="n">
        <x:v>146</x:v>
      </x:c>
      <x:c r="P87" s="16" t="n">
        <x:v>146</x:v>
      </x:c>
      <x:c r="Q87" s="16"/>
      <x:c r="R87" s="16"/>
      <x:c r="S87" s="16" t="str"/>
      <x:c r="T87" s="16"/>
      <x:c r="U87" s="16" t="str">
        <x:v>NO — review only</x:v>
      </x:c>
    </x:row>
    <x:row r="88" ht="54" customHeight="1">
      <x:c r="A88" s="16" t="str">
        <x:v>en-a430ca13ab89</x:v>
      </x:c>
      <x:c r="B88" s="16" t="str">
        <x:v>en</x:v>
      </x:c>
      <x:c r="C88" s="16" t="str">
        <x:v>Flashfire</x:v>
      </x:c>
      <x:c r="D88" s="16" t="str">
        <x:v>Flashfire</x:v>
      </x:c>
      <x:c r="E88" s="16" t="str">
        <x:v>XY</x:v>
      </x:c>
      <x:c r="F88" s="16" t="str">
        <x:v>Card set / collection</x:v>
      </x:c>
      <x:c r="G88" s="16" t="str">
        <x:v>FLF</x:v>
      </x:c>
      <x:c r="H88" s="16" t="str">
        <x:v>Source abbreviation</x:v>
      </x:c>
      <x:c r="I88" s="16" t="str">
        <x:v>2014-05-07</x:v>
      </x:c>
      <x:c r="J88" s="16" t="str">
        <x:v>day</x:v>
      </x:c>
      <x:c r="K88" s="16" t="str">
        <x:v>International English; source default date</x:v>
      </x:c>
      <x:c r="L88" s="16" t="n">
        <x:v>106</x:v>
      </x:c>
      <x:c r="M88" s="16" t="n">
        <x:v>3</x:v>
      </x:c>
      <x:c r="N88" s="16" t="n">
        <x:v>0</x:v>
      </x:c>
      <x:c r="O88" s="16" t="n">
        <x:v>109</x:v>
      </x:c>
      <x:c r="P88" s="16" t="n">
        <x:v>109</x:v>
      </x:c>
      <x:c r="Q88" s="16"/>
      <x:c r="R88" s="16"/>
      <x:c r="S88" s="16" t="str"/>
      <x:c r="T88" s="16"/>
      <x:c r="U88" s="16" t="str">
        <x:v>NO — review only</x:v>
      </x:c>
    </x:row>
    <x:row r="89" ht="54" customHeight="1">
      <x:c r="A89" s="16" t="str">
        <x:v>en-915e707fe4c1</x:v>
      </x:c>
      <x:c r="B89" s="16" t="str">
        <x:v>en</x:v>
      </x:c>
      <x:c r="C89" s="16" t="str">
        <x:v>McDonald's Collection 2014</x:v>
      </x:c>
      <x:c r="D89" s="16" t="str">
        <x:v>McDonald's Collection 2014</x:v>
      </x:c>
      <x:c r="E89" s="16" t="str">
        <x:v>McDonald's</x:v>
      </x:c>
      <x:c r="F89" s="16" t="str">
        <x:v>Promo catalogue</x:v>
      </x:c>
      <x:c r="G89" s="16" t="str">
        <x:v>M14</x:v>
      </x:c>
      <x:c r="H89" s="16" t="str">
        <x:v>Source abbreviation</x:v>
      </x:c>
      <x:c r="I89" s="16" t="str">
        <x:v>2014-05-23</x:v>
      </x:c>
      <x:c r="J89" s="16" t="str">
        <x:v>day</x:v>
      </x:c>
      <x:c r="K89" s="16" t="str">
        <x:v>International English; source default date</x:v>
      </x:c>
      <x:c r="L89" s="16" t="n">
        <x:v>12</x:v>
      </x:c>
      <x:c r="M89" s="16" t="n">
        <x:v>0</x:v>
      </x:c>
      <x:c r="N89" s="16" t="n">
        <x:v>0</x:v>
      </x:c>
      <x:c r="O89" s="16" t="n">
        <x:v>12</x:v>
      </x:c>
      <x:c r="P89" s="16" t="n">
        <x:v>12</x:v>
      </x:c>
      <x:c r="Q89" s="16"/>
      <x:c r="R89" s="16"/>
      <x:c r="S89" s="16" t="str"/>
      <x:c r="T89" s="16"/>
      <x:c r="U89" s="16" t="str">
        <x:v>NO — review only</x:v>
      </x:c>
    </x:row>
    <x:row r="90" ht="54" customHeight="1">
      <x:c r="A90" s="16" t="str">
        <x:v>en-07be2898ea37</x:v>
      </x:c>
      <x:c r="B90" s="16" t="str">
        <x:v>en</x:v>
      </x:c>
      <x:c r="C90" s="16" t="str">
        <x:v>Furious Fists</x:v>
      </x:c>
      <x:c r="D90" s="16" t="str">
        <x:v>Furious Fists</x:v>
      </x:c>
      <x:c r="E90" s="16" t="str">
        <x:v>XY</x:v>
      </x:c>
      <x:c r="F90" s="16" t="str">
        <x:v>Card set / collection</x:v>
      </x:c>
      <x:c r="G90" s="16" t="str">
        <x:v>FFI</x:v>
      </x:c>
      <x:c r="H90" s="16" t="str">
        <x:v>Source abbreviation</x:v>
      </x:c>
      <x:c r="I90" s="16" t="str">
        <x:v>2014-08-13</x:v>
      </x:c>
      <x:c r="J90" s="16" t="str">
        <x:v>day</x:v>
      </x:c>
      <x:c r="K90" s="16" t="str">
        <x:v>International English; source default date</x:v>
      </x:c>
      <x:c r="L90" s="16" t="n">
        <x:v>111</x:v>
      </x:c>
      <x:c r="M90" s="16" t="n">
        <x:v>2</x:v>
      </x:c>
      <x:c r="N90" s="16" t="n">
        <x:v>0</x:v>
      </x:c>
      <x:c r="O90" s="16" t="n">
        <x:v>113</x:v>
      </x:c>
      <x:c r="P90" s="16" t="n">
        <x:v>113</x:v>
      </x:c>
      <x:c r="Q90" s="16"/>
      <x:c r="R90" s="16"/>
      <x:c r="S90" s="16" t="str"/>
      <x:c r="T90" s="16"/>
      <x:c r="U90" s="16" t="str">
        <x:v>NO — review only</x:v>
      </x:c>
    </x:row>
    <x:row r="91" ht="54" customHeight="1">
      <x:c r="A91" s="16" t="str">
        <x:v>en-2d7a46bf4f40</x:v>
      </x:c>
      <x:c r="B91" s="16" t="str">
        <x:v>en</x:v>
      </x:c>
      <x:c r="C91" s="16" t="str">
        <x:v>Phantom Forces</x:v>
      </x:c>
      <x:c r="D91" s="16" t="str">
        <x:v>Phantom Forces</x:v>
      </x:c>
      <x:c r="E91" s="16" t="str">
        <x:v>XY</x:v>
      </x:c>
      <x:c r="F91" s="16" t="str">
        <x:v>Card set / collection</x:v>
      </x:c>
      <x:c r="G91" s="16" t="str">
        <x:v>PHF</x:v>
      </x:c>
      <x:c r="H91" s="16" t="str">
        <x:v>Source abbreviation</x:v>
      </x:c>
      <x:c r="I91" s="16" t="str">
        <x:v>2014-11-05</x:v>
      </x:c>
      <x:c r="J91" s="16" t="str">
        <x:v>day</x:v>
      </x:c>
      <x:c r="K91" s="16" t="str">
        <x:v>International English; source default date</x:v>
      </x:c>
      <x:c r="L91" s="16" t="n">
        <x:v>119</x:v>
      </x:c>
      <x:c r="M91" s="16" t="n">
        <x:v>3</x:v>
      </x:c>
      <x:c r="N91" s="16" t="n">
        <x:v>0</x:v>
      </x:c>
      <x:c r="O91" s="16" t="n">
        <x:v>122</x:v>
      </x:c>
      <x:c r="P91" s="16" t="n">
        <x:v>122</x:v>
      </x:c>
      <x:c r="Q91" s="16"/>
      <x:c r="R91" s="16"/>
      <x:c r="S91" s="16" t="str"/>
      <x:c r="T91" s="16"/>
      <x:c r="U91" s="16" t="str">
        <x:v>NO — review only</x:v>
      </x:c>
    </x:row>
    <x:row r="92" ht="54" customHeight="1">
      <x:c r="A92" s="16" t="str">
        <x:v>en-9eb9fce1de4b</x:v>
      </x:c>
      <x:c r="B92" s="16" t="str">
        <x:v>en</x:v>
      </x:c>
      <x:c r="C92" s="16" t="str">
        <x:v>Primal Clash</x:v>
      </x:c>
      <x:c r="D92" s="16" t="str">
        <x:v>Primal Clash</x:v>
      </x:c>
      <x:c r="E92" s="16" t="str">
        <x:v>XY</x:v>
      </x:c>
      <x:c r="F92" s="16" t="str">
        <x:v>Card set / collection</x:v>
      </x:c>
      <x:c r="G92" s="16" t="str">
        <x:v>PRC</x:v>
      </x:c>
      <x:c r="H92" s="16" t="str">
        <x:v>Source abbreviation</x:v>
      </x:c>
      <x:c r="I92" s="16" t="str">
        <x:v>2015-02-04</x:v>
      </x:c>
      <x:c r="J92" s="16" t="str">
        <x:v>day</x:v>
      </x:c>
      <x:c r="K92" s="16" t="str">
        <x:v>International English; source default date</x:v>
      </x:c>
      <x:c r="L92" s="16" t="n">
        <x:v>160</x:v>
      </x:c>
      <x:c r="M92" s="16" t="n">
        <x:v>4</x:v>
      </x:c>
      <x:c r="N92" s="16" t="n">
        <x:v>0</x:v>
      </x:c>
      <x:c r="O92" s="16" t="n">
        <x:v>164</x:v>
      </x:c>
      <x:c r="P92" s="16" t="n">
        <x:v>164</x:v>
      </x:c>
      <x:c r="Q92" s="16"/>
      <x:c r="R92" s="16"/>
      <x:c r="S92" s="16" t="str"/>
      <x:c r="T92" s="16"/>
      <x:c r="U92" s="16" t="str">
        <x:v>NO — review only</x:v>
      </x:c>
    </x:row>
    <x:row r="93" ht="54" customHeight="1">
      <x:c r="A93" s="16" t="str">
        <x:v>en-424245fcaa4d</x:v>
      </x:c>
      <x:c r="B93" s="16" t="str">
        <x:v>en</x:v>
      </x:c>
      <x:c r="C93" s="16" t="str">
        <x:v>Double Crisis</x:v>
      </x:c>
      <x:c r="D93" s="16" t="str">
        <x:v>Double Crisis</x:v>
      </x:c>
      <x:c r="E93" s="16" t="str">
        <x:v>XY</x:v>
      </x:c>
      <x:c r="F93" s="16" t="str">
        <x:v>Card set / collection</x:v>
      </x:c>
      <x:c r="G93" s="16" t="str">
        <x:v>DCR</x:v>
      </x:c>
      <x:c r="H93" s="16" t="str">
        <x:v>Source abbreviation</x:v>
      </x:c>
      <x:c r="I93" s="16" t="str">
        <x:v>2015-03-25</x:v>
      </x:c>
      <x:c r="J93" s="16" t="str">
        <x:v>day</x:v>
      </x:c>
      <x:c r="K93" s="16" t="str">
        <x:v>International English; source default date</x:v>
      </x:c>
      <x:c r="L93" s="16" t="n">
        <x:v>34</x:v>
      </x:c>
      <x:c r="M93" s="16" t="n">
        <x:v>0</x:v>
      </x:c>
      <x:c r="N93" s="16" t="n">
        <x:v>0</x:v>
      </x:c>
      <x:c r="O93" s="16" t="n">
        <x:v>34</x:v>
      </x:c>
      <x:c r="P93" s="16" t="n">
        <x:v>34</x:v>
      </x:c>
      <x:c r="Q93" s="16"/>
      <x:c r="R93" s="16"/>
      <x:c r="S93" s="16" t="str"/>
      <x:c r="T93" s="16"/>
      <x:c r="U93" s="16" t="str">
        <x:v>NO — review only</x:v>
      </x:c>
    </x:row>
    <x:row r="94" ht="54" customHeight="1">
      <x:c r="A94" s="16" t="str">
        <x:v>en-816bacadc3d6</x:v>
      </x:c>
      <x:c r="B94" s="16" t="str">
        <x:v>en</x:v>
      </x:c>
      <x:c r="C94" s="16" t="str">
        <x:v>Roaring Skies</x:v>
      </x:c>
      <x:c r="D94" s="16" t="str">
        <x:v>Roaring Skies</x:v>
      </x:c>
      <x:c r="E94" s="16" t="str">
        <x:v>XY</x:v>
      </x:c>
      <x:c r="F94" s="16" t="str">
        <x:v>Card set / collection</x:v>
      </x:c>
      <x:c r="G94" s="16" t="str">
        <x:v>ROS</x:v>
      </x:c>
      <x:c r="H94" s="16" t="str">
        <x:v>Source abbreviation</x:v>
      </x:c>
      <x:c r="I94" s="16" t="str">
        <x:v>2015-05-06</x:v>
      </x:c>
      <x:c r="J94" s="16" t="str">
        <x:v>day</x:v>
      </x:c>
      <x:c r="K94" s="16" t="str">
        <x:v>International English; source default date</x:v>
      </x:c>
      <x:c r="L94" s="16" t="n">
        <x:v>108</x:v>
      </x:c>
      <x:c r="M94" s="16" t="n">
        <x:v>2</x:v>
      </x:c>
      <x:c r="N94" s="16" t="n">
        <x:v>0</x:v>
      </x:c>
      <x:c r="O94" s="16" t="n">
        <x:v>110</x:v>
      </x:c>
      <x:c r="P94" s="16" t="n">
        <x:v>110</x:v>
      </x:c>
      <x:c r="Q94" s="16"/>
      <x:c r="R94" s="16"/>
      <x:c r="S94" s="16" t="str"/>
      <x:c r="T94" s="16"/>
      <x:c r="U94" s="16" t="str">
        <x:v>NO — review only</x:v>
      </x:c>
    </x:row>
    <x:row r="95" ht="54" customHeight="1">
      <x:c r="A95" s="16" t="str">
        <x:v>en-94a46f468993</x:v>
      </x:c>
      <x:c r="B95" s="16" t="str">
        <x:v>en</x:v>
      </x:c>
      <x:c r="C95" s="16" t="str">
        <x:v>Ancient Origins</x:v>
      </x:c>
      <x:c r="D95" s="16" t="str">
        <x:v>Ancient Origins</x:v>
      </x:c>
      <x:c r="E95" s="16" t="str">
        <x:v>XY</x:v>
      </x:c>
      <x:c r="F95" s="16" t="str">
        <x:v>Card set / collection</x:v>
      </x:c>
      <x:c r="G95" s="16" t="str">
        <x:v>AOR</x:v>
      </x:c>
      <x:c r="H95" s="16" t="str">
        <x:v>Source abbreviation</x:v>
      </x:c>
      <x:c r="I95" s="16" t="str">
        <x:v>2015-08-12</x:v>
      </x:c>
      <x:c r="J95" s="16" t="str">
        <x:v>day</x:v>
      </x:c>
      <x:c r="K95" s="16" t="str">
        <x:v>International English; source default date</x:v>
      </x:c>
      <x:c r="L95" s="16" t="n">
        <x:v>98</x:v>
      </x:c>
      <x:c r="M95" s="16" t="n">
        <x:v>2</x:v>
      </x:c>
      <x:c r="N95" s="16" t="n">
        <x:v>0</x:v>
      </x:c>
      <x:c r="O95" s="16" t="n">
        <x:v>100</x:v>
      </x:c>
      <x:c r="P95" s="16" t="n">
        <x:v>100</x:v>
      </x:c>
      <x:c r="Q95" s="16"/>
      <x:c r="R95" s="16"/>
      <x:c r="S95" s="16" t="str"/>
      <x:c r="T95" s="16"/>
      <x:c r="U95" s="16" t="str">
        <x:v>NO — review only</x:v>
      </x:c>
    </x:row>
    <x:row r="96" ht="54" customHeight="1">
      <x:c r="A96" s="16" t="str">
        <x:v>en-e7aad6d1fbb0</x:v>
      </x:c>
      <x:c r="B96" s="16" t="str">
        <x:v>en</x:v>
      </x:c>
      <x:c r="C96" s="16" t="str">
        <x:v>McDonald's Collection 2015</x:v>
      </x:c>
      <x:c r="D96" s="16" t="str">
        <x:v>McDonald's Collection 2015</x:v>
      </x:c>
      <x:c r="E96" s="16" t="str">
        <x:v>McDonald's</x:v>
      </x:c>
      <x:c r="F96" s="16" t="str">
        <x:v>Promo catalogue</x:v>
      </x:c>
      <x:c r="G96" s="16" t="str">
        <x:v>M15</x:v>
      </x:c>
      <x:c r="H96" s="16" t="str">
        <x:v>Source abbreviation</x:v>
      </x:c>
      <x:c r="I96" s="16" t="str">
        <x:v>2015-10-14</x:v>
      </x:c>
      <x:c r="J96" s="16" t="str">
        <x:v>day</x:v>
      </x:c>
      <x:c r="K96" s="16" t="str">
        <x:v>International English; source default date</x:v>
      </x:c>
      <x:c r="L96" s="16" t="n">
        <x:v>12</x:v>
      </x:c>
      <x:c r="M96" s="16" t="n">
        <x:v>0</x:v>
      </x:c>
      <x:c r="N96" s="16" t="n">
        <x:v>0</x:v>
      </x:c>
      <x:c r="O96" s="16" t="n">
        <x:v>12</x:v>
      </x:c>
      <x:c r="P96" s="16" t="n">
        <x:v>12</x:v>
      </x:c>
      <x:c r="Q96" s="16"/>
      <x:c r="R96" s="16"/>
      <x:c r="S96" s="16" t="str"/>
      <x:c r="T96" s="16"/>
      <x:c r="U96" s="16" t="str">
        <x:v>NO — review only</x:v>
      </x:c>
    </x:row>
    <x:row r="97" ht="54" customHeight="1">
      <x:c r="A97" s="16" t="str">
        <x:v>en-02f878472b36</x:v>
      </x:c>
      <x:c r="B97" s="16" t="str">
        <x:v>en</x:v>
      </x:c>
      <x:c r="C97" s="16" t="str">
        <x:v>BREAKthrough</x:v>
      </x:c>
      <x:c r="D97" s="16" t="str">
        <x:v>BREAKthrough</x:v>
      </x:c>
      <x:c r="E97" s="16" t="str">
        <x:v>XY</x:v>
      </x:c>
      <x:c r="F97" s="16" t="str">
        <x:v>Card set / collection</x:v>
      </x:c>
      <x:c r="G97" s="16" t="str">
        <x:v>BKT</x:v>
      </x:c>
      <x:c r="H97" s="16" t="str">
        <x:v>Source abbreviation</x:v>
      </x:c>
      <x:c r="I97" s="16" t="str">
        <x:v>2015-11-04</x:v>
      </x:c>
      <x:c r="J97" s="16" t="str">
        <x:v>day</x:v>
      </x:c>
      <x:c r="K97" s="16" t="str">
        <x:v>International English; source default date</x:v>
      </x:c>
      <x:c r="L97" s="16" t="n">
        <x:v>162</x:v>
      </x:c>
      <x:c r="M97" s="16" t="n">
        <x:v>2</x:v>
      </x:c>
      <x:c r="N97" s="16" t="n">
        <x:v>0</x:v>
      </x:c>
      <x:c r="O97" s="16" t="n">
        <x:v>164</x:v>
      </x:c>
      <x:c r="P97" s="16" t="n">
        <x:v>164</x:v>
      </x:c>
      <x:c r="Q97" s="16"/>
      <x:c r="R97" s="16"/>
      <x:c r="S97" s="16" t="str"/>
      <x:c r="T97" s="16"/>
      <x:c r="U97" s="16" t="str">
        <x:v>NO — review only</x:v>
      </x:c>
    </x:row>
    <x:row r="98" ht="54" customHeight="1">
      <x:c r="A98" s="16" t="str">
        <x:v>en-62bf8ccf548c</x:v>
      </x:c>
      <x:c r="B98" s="16" t="str">
        <x:v>en</x:v>
      </x:c>
      <x:c r="C98" s="16" t="str">
        <x:v>BREAKpoint</x:v>
      </x:c>
      <x:c r="D98" s="16" t="str">
        <x:v>BREAKpoint</x:v>
      </x:c>
      <x:c r="E98" s="16" t="str">
        <x:v>XY</x:v>
      </x:c>
      <x:c r="F98" s="16" t="str">
        <x:v>Card set / collection</x:v>
      </x:c>
      <x:c r="G98" s="16" t="str">
        <x:v>BKP</x:v>
      </x:c>
      <x:c r="H98" s="16" t="str">
        <x:v>Source abbreviation</x:v>
      </x:c>
      <x:c r="I98" s="16" t="str">
        <x:v>2016-02-03</x:v>
      </x:c>
      <x:c r="J98" s="16" t="str">
        <x:v>day</x:v>
      </x:c>
      <x:c r="K98" s="16" t="str">
        <x:v>International English; source default date</x:v>
      </x:c>
      <x:c r="L98" s="16" t="n">
        <x:v>122</x:v>
      </x:c>
      <x:c r="M98" s="16" t="n">
        <x:v>1</x:v>
      </x:c>
      <x:c r="N98" s="16" t="n">
        <x:v>0</x:v>
      </x:c>
      <x:c r="O98" s="16" t="n">
        <x:v>123</x:v>
      </x:c>
      <x:c r="P98" s="16" t="n">
        <x:v>123</x:v>
      </x:c>
      <x:c r="Q98" s="16"/>
      <x:c r="R98" s="16"/>
      <x:c r="S98" s="16" t="str"/>
      <x:c r="T98" s="16"/>
      <x:c r="U98" s="16" t="str">
        <x:v>NO — review only</x:v>
      </x:c>
    </x:row>
    <x:row r="99" ht="54" customHeight="1">
      <x:c r="A99" s="16" t="str">
        <x:v>en-a3e276f60a2a</x:v>
      </x:c>
      <x:c r="B99" s="16" t="str">
        <x:v>en</x:v>
      </x:c>
      <x:c r="C99" s="16" t="str">
        <x:v>Generations</x:v>
      </x:c>
      <x:c r="D99" s="16" t="str">
        <x:v>Generations</x:v>
      </x:c>
      <x:c r="E99" s="16" t="str">
        <x:v>XY</x:v>
      </x:c>
      <x:c r="F99" s="16" t="str">
        <x:v>Card set / collection</x:v>
      </x:c>
      <x:c r="G99" s="16" t="str">
        <x:v>GEN</x:v>
      </x:c>
      <x:c r="H99" s="16" t="str">
        <x:v>Source abbreviation</x:v>
      </x:c>
      <x:c r="I99" s="16" t="str">
        <x:v>2016-02-22</x:v>
      </x:c>
      <x:c r="J99" s="16" t="str">
        <x:v>day</x:v>
      </x:c>
      <x:c r="K99" s="16" t="str">
        <x:v>International English; source default date</x:v>
      </x:c>
      <x:c r="L99" s="16" t="n">
        <x:v>83</x:v>
      </x:c>
      <x:c r="M99" s="16" t="n">
        <x:v>0</x:v>
      </x:c>
      <x:c r="N99" s="16" t="n">
        <x:v>32</x:v>
      </x:c>
      <x:c r="O99" s="16" t="n">
        <x:v>115</x:v>
      </x:c>
      <x:c r="P99" s="16" t="n">
        <x:v>115</x:v>
      </x:c>
      <x:c r="Q99" s="16"/>
      <x:c r="R99" s="16"/>
      <x:c r="S99" s="16" t="str"/>
      <x:c r="T99" s="16"/>
      <x:c r="U99" s="16" t="str">
        <x:v>NO — review only</x:v>
      </x:c>
    </x:row>
    <x:row r="100" ht="54" customHeight="1">
      <x:c r="A100" s="16" t="str">
        <x:v>en-b287631747bd</x:v>
      </x:c>
      <x:c r="B100" s="16" t="str">
        <x:v>en</x:v>
      </x:c>
      <x:c r="C100" s="16" t="str">
        <x:v>Fates Collide</x:v>
      </x:c>
      <x:c r="D100" s="16" t="str">
        <x:v>Fates Collide</x:v>
      </x:c>
      <x:c r="E100" s="16" t="str">
        <x:v>XY</x:v>
      </x:c>
      <x:c r="F100" s="16" t="str">
        <x:v>Card set / collection</x:v>
      </x:c>
      <x:c r="G100" s="16" t="str">
        <x:v>FCO</x:v>
      </x:c>
      <x:c r="H100" s="16" t="str">
        <x:v>Source abbreviation</x:v>
      </x:c>
      <x:c r="I100" s="16" t="str">
        <x:v>2016-05-02</x:v>
      </x:c>
      <x:c r="J100" s="16" t="str">
        <x:v>day</x:v>
      </x:c>
      <x:c r="K100" s="16" t="str">
        <x:v>International English; source default date</x:v>
      </x:c>
      <x:c r="L100" s="16" t="n">
        <x:v>124</x:v>
      </x:c>
      <x:c r="M100" s="16" t="n">
        <x:v>1</x:v>
      </x:c>
      <x:c r="N100" s="16" t="n">
        <x:v>0</x:v>
      </x:c>
      <x:c r="O100" s="16" t="n">
        <x:v>125</x:v>
      </x:c>
      <x:c r="P100" s="16" t="n">
        <x:v>125</x:v>
      </x:c>
      <x:c r="Q100" s="16"/>
      <x:c r="R100" s="16"/>
      <x:c r="S100" s="16" t="str"/>
      <x:c r="T100" s="16"/>
      <x:c r="U100" s="16" t="str">
        <x:v>NO — review only</x:v>
      </x:c>
    </x:row>
    <x:row r="101" ht="54" customHeight="1">
      <x:c r="A101" s="16" t="str">
        <x:v>en-8ba7f44ef156</x:v>
      </x:c>
      <x:c r="B101" s="16" t="str">
        <x:v>en</x:v>
      </x:c>
      <x:c r="C101" s="16" t="str">
        <x:v>Steam Siege</x:v>
      </x:c>
      <x:c r="D101" s="16" t="str">
        <x:v>Steam Siege</x:v>
      </x:c>
      <x:c r="E101" s="16" t="str">
        <x:v>XY</x:v>
      </x:c>
      <x:c r="F101" s="16" t="str">
        <x:v>Card set / collection</x:v>
      </x:c>
      <x:c r="G101" s="16" t="str">
        <x:v>STS</x:v>
      </x:c>
      <x:c r="H101" s="16" t="str">
        <x:v>Source abbreviation</x:v>
      </x:c>
      <x:c r="I101" s="16" t="str">
        <x:v>2016-08-03</x:v>
      </x:c>
      <x:c r="J101" s="16" t="str">
        <x:v>day</x:v>
      </x:c>
      <x:c r="K101" s="16" t="str">
        <x:v>International English; source default date</x:v>
      </x:c>
      <x:c r="L101" s="16" t="n">
        <x:v>114</x:v>
      </x:c>
      <x:c r="M101" s="16" t="n">
        <x:v>2</x:v>
      </x:c>
      <x:c r="N101" s="16" t="n">
        <x:v>0</x:v>
      </x:c>
      <x:c r="O101" s="16" t="n">
        <x:v>116</x:v>
      </x:c>
      <x:c r="P101" s="16" t="n">
        <x:v>116</x:v>
      </x:c>
      <x:c r="Q101" s="16"/>
      <x:c r="R101" s="16"/>
      <x:c r="S101" s="16" t="str"/>
      <x:c r="T101" s="16"/>
      <x:c r="U101" s="16" t="str">
        <x:v>NO — review only</x:v>
      </x:c>
    </x:row>
    <x:row r="102" ht="54" customHeight="1">
      <x:c r="A102" s="16" t="str">
        <x:v>en-c6947a8b9b91</x:v>
      </x:c>
      <x:c r="B102" s="16" t="str">
        <x:v>en</x:v>
      </x:c>
      <x:c r="C102" s="16" t="str">
        <x:v>McDonald's Collection 2016</x:v>
      </x:c>
      <x:c r="D102" s="16" t="str">
        <x:v>McDonald's Collection 2016</x:v>
      </x:c>
      <x:c r="E102" s="16" t="str">
        <x:v>McDonald's</x:v>
      </x:c>
      <x:c r="F102" s="16" t="str">
        <x:v>Promo catalogue</x:v>
      </x:c>
      <x:c r="G102" s="16" t="str">
        <x:v>M16</x:v>
      </x:c>
      <x:c r="H102" s="16" t="str">
        <x:v>Source abbreviation</x:v>
      </x:c>
      <x:c r="I102" s="16" t="str">
        <x:v>2016-08-19</x:v>
      </x:c>
      <x:c r="J102" s="16" t="str">
        <x:v>day</x:v>
      </x:c>
      <x:c r="K102" s="16" t="str">
        <x:v>International English; source default date</x:v>
      </x:c>
      <x:c r="L102" s="16" t="n">
        <x:v>12</x:v>
      </x:c>
      <x:c r="M102" s="16" t="n">
        <x:v>0</x:v>
      </x:c>
      <x:c r="N102" s="16" t="n">
        <x:v>0</x:v>
      </x:c>
      <x:c r="O102" s="16" t="n">
        <x:v>12</x:v>
      </x:c>
      <x:c r="P102" s="16" t="n">
        <x:v>12</x:v>
      </x:c>
      <x:c r="Q102" s="16"/>
      <x:c r="R102" s="16"/>
      <x:c r="S102" s="16" t="str"/>
      <x:c r="T102" s="16"/>
      <x:c r="U102" s="16" t="str">
        <x:v>NO — review only</x:v>
      </x:c>
    </x:row>
    <x:row r="103" ht="54" customHeight="1">
      <x:c r="A103" s="16" t="str">
        <x:v>en-920392a73db9</x:v>
      </x:c>
      <x:c r="B103" s="16" t="str">
        <x:v>en</x:v>
      </x:c>
      <x:c r="C103" s="16" t="str">
        <x:v>SM Black Star Promos</x:v>
      </x:c>
      <x:c r="D103" s="16" t="str">
        <x:v>SM Black Star Promos</x:v>
      </x:c>
      <x:c r="E103" s="16" t="str">
        <x:v>Sun &amp; Moon</x:v>
      </x:c>
      <x:c r="F103" s="16" t="str">
        <x:v>Promo catalogue</x:v>
      </x:c>
      <x:c r="G103" s="16" t="str">
        <x:v>SMP</x:v>
      </x:c>
      <x:c r="H103" s="16" t="str">
        <x:v>Source abbreviation</x:v>
      </x:c>
      <x:c r="I103" s="16" t="str">
        <x:v>2016-11</x:v>
      </x:c>
      <x:c r="J103" s="16" t="str">
        <x:v>month</x:v>
      </x:c>
      <x:c r="K103" s="16" t="str">
        <x:v>International English; source default date</x:v>
      </x:c>
      <x:c r="L103" s="16" t="n">
        <x:v>248</x:v>
      </x:c>
      <x:c r="M103" s="16" t="n">
        <x:v>0</x:v>
      </x:c>
      <x:c r="N103" s="16" t="n">
        <x:v>0</x:v>
      </x:c>
      <x:c r="O103" s="16" t="n">
        <x:v>248</x:v>
      </x:c>
      <x:c r="P103" s="16" t="n">
        <x:v>248</x:v>
      </x:c>
      <x:c r="Q103" s="16"/>
      <x:c r="R103" s="16"/>
      <x:c r="S103" s="16" t="str"/>
      <x:c r="T103" s="16"/>
      <x:c r="U103" s="16" t="str">
        <x:v>NO — review only</x:v>
      </x:c>
    </x:row>
    <x:row r="104" ht="54" customHeight="1">
      <x:c r="A104" s="16" t="str">
        <x:v>en-85e873dafc55</x:v>
      </x:c>
      <x:c r="B104" s="16" t="str">
        <x:v>en</x:v>
      </x:c>
      <x:c r="C104" s="16" t="str">
        <x:v>Evolutions</x:v>
      </x:c>
      <x:c r="D104" s="16" t="str">
        <x:v>Evolutions</x:v>
      </x:c>
      <x:c r="E104" s="16" t="str">
        <x:v>XY</x:v>
      </x:c>
      <x:c r="F104" s="16" t="str">
        <x:v>Card set / collection</x:v>
      </x:c>
      <x:c r="G104" s="16" t="str">
        <x:v>EVO</x:v>
      </x:c>
      <x:c r="H104" s="16" t="str">
        <x:v>Source abbreviation</x:v>
      </x:c>
      <x:c r="I104" s="16" t="str">
        <x:v>2016-11-02</x:v>
      </x:c>
      <x:c r="J104" s="16" t="str">
        <x:v>day</x:v>
      </x:c>
      <x:c r="K104" s="16" t="str">
        <x:v>International English; source default date</x:v>
      </x:c>
      <x:c r="L104" s="16" t="n">
        <x:v>108</x:v>
      </x:c>
      <x:c r="M104" s="16" t="n">
        <x:v>5</x:v>
      </x:c>
      <x:c r="N104" s="16" t="n">
        <x:v>0</x:v>
      </x:c>
      <x:c r="O104" s="16" t="n">
        <x:v>113</x:v>
      </x:c>
      <x:c r="P104" s="16" t="n">
        <x:v>113</x:v>
      </x:c>
      <x:c r="Q104" s="16"/>
      <x:c r="R104" s="16"/>
      <x:c r="S104" s="16" t="str"/>
      <x:c r="T104" s="16"/>
      <x:c r="U104" s="16" t="str">
        <x:v>NO — review only</x:v>
      </x:c>
    </x:row>
    <x:row r="105" ht="54" customHeight="1">
      <x:c r="A105" s="16" t="str">
        <x:v>en-8b72f8c8ec1f</x:v>
      </x:c>
      <x:c r="B105" s="16" t="str">
        <x:v>en</x:v>
      </x:c>
      <x:c r="C105" s="16" t="str">
        <x:v>Sun &amp; Moon</x:v>
      </x:c>
      <x:c r="D105" s="16" t="str">
        <x:v>Sun &amp; Moon</x:v>
      </x:c>
      <x:c r="E105" s="16" t="str">
        <x:v>Sun &amp; Moon</x:v>
      </x:c>
      <x:c r="F105" s="16" t="str">
        <x:v>Card set / collection</x:v>
      </x:c>
      <x:c r="G105" s="16" t="str">
        <x:v>SUM</x:v>
      </x:c>
      <x:c r="H105" s="16" t="str">
        <x:v>Source abbreviation</x:v>
      </x:c>
      <x:c r="I105" s="16" t="str">
        <x:v>2017-02-03</x:v>
      </x:c>
      <x:c r="J105" s="16" t="str">
        <x:v>day</x:v>
      </x:c>
      <x:c r="K105" s="16" t="str">
        <x:v>International English; source default date</x:v>
      </x:c>
      <x:c r="L105" s="16" t="n">
        <x:v>149</x:v>
      </x:c>
      <x:c r="M105" s="16" t="n">
        <x:v>14</x:v>
      </x:c>
      <x:c r="N105" s="16" t="n">
        <x:v>0</x:v>
      </x:c>
      <x:c r="O105" s="16" t="n">
        <x:v>163</x:v>
      </x:c>
      <x:c r="P105" s="16" t="n">
        <x:v>163</x:v>
      </x:c>
      <x:c r="Q105" s="16"/>
      <x:c r="R105" s="16"/>
      <x:c r="S105" s="16" t="str"/>
      <x:c r="T105" s="16"/>
      <x:c r="U105" s="16" t="str">
        <x:v>NO — review only</x:v>
      </x:c>
    </x:row>
    <x:row r="106" ht="54" customHeight="1">
      <x:c r="A106" s="16" t="str">
        <x:v>en-f51be29044a7</x:v>
      </x:c>
      <x:c r="B106" s="16" t="str">
        <x:v>en</x:v>
      </x:c>
      <x:c r="C106" s="16" t="str">
        <x:v>Guardians Rising</x:v>
      </x:c>
      <x:c r="D106" s="16" t="str">
        <x:v>Guardians Rising</x:v>
      </x:c>
      <x:c r="E106" s="16" t="str">
        <x:v>Sun &amp; Moon</x:v>
      </x:c>
      <x:c r="F106" s="16" t="str">
        <x:v>Card set / collection</x:v>
      </x:c>
      <x:c r="G106" s="16" t="str">
        <x:v>GRI</x:v>
      </x:c>
      <x:c r="H106" s="16" t="str">
        <x:v>Source abbreviation</x:v>
      </x:c>
      <x:c r="I106" s="16" t="str">
        <x:v>2017-05-05</x:v>
      </x:c>
      <x:c r="J106" s="16" t="str">
        <x:v>day</x:v>
      </x:c>
      <x:c r="K106" s="16" t="str">
        <x:v>International English; source default date</x:v>
      </x:c>
      <x:c r="L106" s="16" t="n">
        <x:v>145</x:v>
      </x:c>
      <x:c r="M106" s="16" t="n">
        <x:v>24</x:v>
      </x:c>
      <x:c r="N106" s="16" t="n">
        <x:v>0</x:v>
      </x:c>
      <x:c r="O106" s="16" t="n">
        <x:v>169</x:v>
      </x:c>
      <x:c r="P106" s="16" t="n">
        <x:v>169</x:v>
      </x:c>
      <x:c r="Q106" s="16"/>
      <x:c r="R106" s="16"/>
      <x:c r="S106" s="16" t="str"/>
      <x:c r="T106" s="16"/>
      <x:c r="U106" s="16" t="str">
        <x:v>NO — review only</x:v>
      </x:c>
    </x:row>
    <x:row r="107" ht="54" customHeight="1">
      <x:c r="A107" s="16" t="str">
        <x:v>en-c93c5824efe9</x:v>
      </x:c>
      <x:c r="B107" s="16" t="str">
        <x:v>en</x:v>
      </x:c>
      <x:c r="C107" s="16" t="str">
        <x:v>McDonald's Collection 2017</x:v>
      </x:c>
      <x:c r="D107" s="16" t="str">
        <x:v>McDonald's Collection 2017</x:v>
      </x:c>
      <x:c r="E107" s="16" t="str">
        <x:v>McDonald's</x:v>
      </x:c>
      <x:c r="F107" s="16" t="str">
        <x:v>Promo catalogue</x:v>
      </x:c>
      <x:c r="G107" s="16" t="str">
        <x:v>M17</x:v>
      </x:c>
      <x:c r="H107" s="16" t="str">
        <x:v>Source abbreviation</x:v>
      </x:c>
      <x:c r="I107" s="16" t="str">
        <x:v>2017-07</x:v>
      </x:c>
      <x:c r="J107" s="16" t="str">
        <x:v>month</x:v>
      </x:c>
      <x:c r="K107" s="16" t="str">
        <x:v>International English; source default date</x:v>
      </x:c>
      <x:c r="L107" s="16" t="n">
        <x:v>12</x:v>
      </x:c>
      <x:c r="M107" s="16" t="n">
        <x:v>0</x:v>
      </x:c>
      <x:c r="N107" s="16" t="n">
        <x:v>0</x:v>
      </x:c>
      <x:c r="O107" s="16" t="n">
        <x:v>12</x:v>
      </x:c>
      <x:c r="P107" s="16" t="n">
        <x:v>12</x:v>
      </x:c>
      <x:c r="Q107" s="16"/>
      <x:c r="R107" s="16"/>
      <x:c r="S107" s="16" t="str"/>
      <x:c r="T107" s="16"/>
      <x:c r="U107" s="16" t="str">
        <x:v>NO — review only</x:v>
      </x:c>
    </x:row>
    <x:row r="108" ht="54" customHeight="1">
      <x:c r="A108" s="16" t="str">
        <x:v>en-3116e68ab4e9</x:v>
      </x:c>
      <x:c r="B108" s="16" t="str">
        <x:v>en</x:v>
      </x:c>
      <x:c r="C108" s="16" t="str">
        <x:v>Burning Shadows</x:v>
      </x:c>
      <x:c r="D108" s="16" t="str">
        <x:v>Burning Shadows</x:v>
      </x:c>
      <x:c r="E108" s="16" t="str">
        <x:v>Sun &amp; Moon</x:v>
      </x:c>
      <x:c r="F108" s="16" t="str">
        <x:v>Card set / collection</x:v>
      </x:c>
      <x:c r="G108" s="16" t="str">
        <x:v>BUS</x:v>
      </x:c>
      <x:c r="H108" s="16" t="str">
        <x:v>Source abbreviation</x:v>
      </x:c>
      <x:c r="I108" s="16" t="str">
        <x:v>2017-08-04</x:v>
      </x:c>
      <x:c r="J108" s="16" t="str">
        <x:v>day</x:v>
      </x:c>
      <x:c r="K108" s="16" t="str">
        <x:v>International English; source default date</x:v>
      </x:c>
      <x:c r="L108" s="16" t="n">
        <x:v>147</x:v>
      </x:c>
      <x:c r="M108" s="16" t="n">
        <x:v>22</x:v>
      </x:c>
      <x:c r="N108" s="16" t="n">
        <x:v>0</x:v>
      </x:c>
      <x:c r="O108" s="16" t="n">
        <x:v>169</x:v>
      </x:c>
      <x:c r="P108" s="16" t="n">
        <x:v>169</x:v>
      </x:c>
      <x:c r="Q108" s="16"/>
      <x:c r="R108" s="16"/>
      <x:c r="S108" s="16" t="str"/>
      <x:c r="T108" s="16"/>
      <x:c r="U108" s="16" t="str">
        <x:v>NO — review only</x:v>
      </x:c>
    </x:row>
    <x:row r="109" ht="54" customHeight="1">
      <x:c r="A109" s="16" t="str">
        <x:v>en-284cab91a1be</x:v>
      </x:c>
      <x:c r="B109" s="16" t="str">
        <x:v>en</x:v>
      </x:c>
      <x:c r="C109" s="16" t="str">
        <x:v>Shining Legends</x:v>
      </x:c>
      <x:c r="D109" s="16" t="str">
        <x:v>Shining Legends</x:v>
      </x:c>
      <x:c r="E109" s="16" t="str">
        <x:v>Sun &amp; Moon</x:v>
      </x:c>
      <x:c r="F109" s="16" t="str">
        <x:v>Card set / collection</x:v>
      </x:c>
      <x:c r="G109" s="16" t="str">
        <x:v>SLG</x:v>
      </x:c>
      <x:c r="H109" s="16" t="str">
        <x:v>Source abbreviation</x:v>
      </x:c>
      <x:c r="I109" s="16" t="str">
        <x:v>2017-10-06</x:v>
      </x:c>
      <x:c r="J109" s="16" t="str">
        <x:v>day</x:v>
      </x:c>
      <x:c r="K109" s="16" t="str">
        <x:v>International English; source default date</x:v>
      </x:c>
      <x:c r="L109" s="16" t="n">
        <x:v>73</x:v>
      </x:c>
      <x:c r="M109" s="16" t="n">
        <x:v>5</x:v>
      </x:c>
      <x:c r="N109" s="16" t="n">
        <x:v>0</x:v>
      </x:c>
      <x:c r="O109" s="16" t="n">
        <x:v>78</x:v>
      </x:c>
      <x:c r="P109" s="16" t="n">
        <x:v>78</x:v>
      </x:c>
      <x:c r="Q109" s="16"/>
      <x:c r="R109" s="16"/>
      <x:c r="S109" s="16" t="str"/>
      <x:c r="T109" s="16"/>
      <x:c r="U109" s="16" t="str">
        <x:v>NO — review only</x:v>
      </x:c>
    </x:row>
    <x:row r="110" ht="54" customHeight="1">
      <x:c r="A110" s="16" t="str">
        <x:v>en-2fbc7c4dc4aa</x:v>
      </x:c>
      <x:c r="B110" s="16" t="str">
        <x:v>en</x:v>
      </x:c>
      <x:c r="C110" s="16" t="str">
        <x:v>Crimson Invasion</x:v>
      </x:c>
      <x:c r="D110" s="16" t="str">
        <x:v>Crimson Invasion</x:v>
      </x:c>
      <x:c r="E110" s="16" t="str">
        <x:v>Sun &amp; Moon</x:v>
      </x:c>
      <x:c r="F110" s="16" t="str">
        <x:v>Card set / collection</x:v>
      </x:c>
      <x:c r="G110" s="16" t="str">
        <x:v>CIN</x:v>
      </x:c>
      <x:c r="H110" s="16" t="str">
        <x:v>Source abbreviation</x:v>
      </x:c>
      <x:c r="I110" s="16" t="str">
        <x:v>2017-11-03</x:v>
      </x:c>
      <x:c r="J110" s="16" t="str">
        <x:v>day</x:v>
      </x:c>
      <x:c r="K110" s="16" t="str">
        <x:v>International English; source default date</x:v>
      </x:c>
      <x:c r="L110" s="16" t="n">
        <x:v>111</x:v>
      </x:c>
      <x:c r="M110" s="16" t="n">
        <x:v>13</x:v>
      </x:c>
      <x:c r="N110" s="16" t="n">
        <x:v>0</x:v>
      </x:c>
      <x:c r="O110" s="16" t="n">
        <x:v>124</x:v>
      </x:c>
      <x:c r="P110" s="16" t="n">
        <x:v>124</x:v>
      </x:c>
      <x:c r="Q110" s="16"/>
      <x:c r="R110" s="16"/>
      <x:c r="S110" s="16" t="str"/>
      <x:c r="T110" s="16"/>
      <x:c r="U110" s="16" t="str">
        <x:v>NO — review only</x:v>
      </x:c>
    </x:row>
    <x:row r="111" ht="54" customHeight="1">
      <x:c r="A111" s="16" t="str">
        <x:v>en-07efccc9871c</x:v>
      </x:c>
      <x:c r="B111" s="16" t="str">
        <x:v>en</x:v>
      </x:c>
      <x:c r="C111" s="16" t="str">
        <x:v>Ultra Prism</x:v>
      </x:c>
      <x:c r="D111" s="16" t="str">
        <x:v>Ultra Prism</x:v>
      </x:c>
      <x:c r="E111" s="16" t="str">
        <x:v>Sun &amp; Moon</x:v>
      </x:c>
      <x:c r="F111" s="16" t="str">
        <x:v>Card set / collection</x:v>
      </x:c>
      <x:c r="G111" s="16" t="str">
        <x:v>UPR</x:v>
      </x:c>
      <x:c r="H111" s="16" t="str">
        <x:v>Source abbreviation</x:v>
      </x:c>
      <x:c r="I111" s="16" t="str">
        <x:v>2018-02-02</x:v>
      </x:c>
      <x:c r="J111" s="16" t="str">
        <x:v>day</x:v>
      </x:c>
      <x:c r="K111" s="16" t="str">
        <x:v>International English; source default date</x:v>
      </x:c>
      <x:c r="L111" s="16" t="n">
        <x:v>156</x:v>
      </x:c>
      <x:c r="M111" s="16" t="n">
        <x:v>17</x:v>
      </x:c>
      <x:c r="N111" s="16" t="n">
        <x:v>0</x:v>
      </x:c>
      <x:c r="O111" s="16" t="n">
        <x:v>173</x:v>
      </x:c>
      <x:c r="P111" s="16" t="n">
        <x:v>173</x:v>
      </x:c>
      <x:c r="Q111" s="16"/>
      <x:c r="R111" s="16"/>
      <x:c r="S111" s="16" t="str"/>
      <x:c r="T111" s="16"/>
      <x:c r="U111" s="16" t="str">
        <x:v>NO — review only</x:v>
      </x:c>
    </x:row>
    <x:row r="112" ht="54" customHeight="1">
      <x:c r="A112" s="16" t="str">
        <x:v>en-6d3f72991ea4</x:v>
      </x:c>
      <x:c r="B112" s="16" t="str">
        <x:v>en</x:v>
      </x:c>
      <x:c r="C112" s="16" t="str">
        <x:v>Forbidden Light</x:v>
      </x:c>
      <x:c r="D112" s="16" t="str">
        <x:v>Forbidden Light</x:v>
      </x:c>
      <x:c r="E112" s="16" t="str">
        <x:v>Sun &amp; Moon</x:v>
      </x:c>
      <x:c r="F112" s="16" t="str">
        <x:v>Card set / collection</x:v>
      </x:c>
      <x:c r="G112" s="16" t="str">
        <x:v>FLI</x:v>
      </x:c>
      <x:c r="H112" s="16" t="str">
        <x:v>Source abbreviation</x:v>
      </x:c>
      <x:c r="I112" s="16" t="str">
        <x:v>2018-05-04</x:v>
      </x:c>
      <x:c r="J112" s="16" t="str">
        <x:v>day</x:v>
      </x:c>
      <x:c r="K112" s="16" t="str">
        <x:v>International English; source default date</x:v>
      </x:c>
      <x:c r="L112" s="16" t="n">
        <x:v>131</x:v>
      </x:c>
      <x:c r="M112" s="16" t="n">
        <x:v>15</x:v>
      </x:c>
      <x:c r="N112" s="16" t="n">
        <x:v>0</x:v>
      </x:c>
      <x:c r="O112" s="16" t="n">
        <x:v>146</x:v>
      </x:c>
      <x:c r="P112" s="16" t="n">
        <x:v>146</x:v>
      </x:c>
      <x:c r="Q112" s="16"/>
      <x:c r="R112" s="16"/>
      <x:c r="S112" s="16" t="str"/>
      <x:c r="T112" s="16"/>
      <x:c r="U112" s="16" t="str">
        <x:v>NO — review only</x:v>
      </x:c>
    </x:row>
    <x:row r="113" ht="54" customHeight="1">
      <x:c r="A113" s="16" t="str">
        <x:v>en-a4e4b7afea78</x:v>
      </x:c>
      <x:c r="B113" s="16" t="str">
        <x:v>en</x:v>
      </x:c>
      <x:c r="C113" s="16" t="str">
        <x:v>Celestial Storm</x:v>
      </x:c>
      <x:c r="D113" s="16" t="str">
        <x:v>Celestial Storm</x:v>
      </x:c>
      <x:c r="E113" s="16" t="str">
        <x:v>Sun &amp; Moon</x:v>
      </x:c>
      <x:c r="F113" s="16" t="str">
        <x:v>Card set / collection</x:v>
      </x:c>
      <x:c r="G113" s="16" t="str">
        <x:v>CES</x:v>
      </x:c>
      <x:c r="H113" s="16" t="str">
        <x:v>Source abbreviation</x:v>
      </x:c>
      <x:c r="I113" s="16" t="str">
        <x:v>2018-08-03</x:v>
      </x:c>
      <x:c r="J113" s="16" t="str">
        <x:v>day</x:v>
      </x:c>
      <x:c r="K113" s="16" t="str">
        <x:v>International English; source default date</x:v>
      </x:c>
      <x:c r="L113" s="16" t="n">
        <x:v>168</x:v>
      </x:c>
      <x:c r="M113" s="16" t="n">
        <x:v>15</x:v>
      </x:c>
      <x:c r="N113" s="16" t="n">
        <x:v>0</x:v>
      </x:c>
      <x:c r="O113" s="16" t="n">
        <x:v>183</x:v>
      </x:c>
      <x:c r="P113" s="16" t="n">
        <x:v>183</x:v>
      </x:c>
      <x:c r="Q113" s="16"/>
      <x:c r="R113" s="16"/>
      <x:c r="S113" s="16" t="str"/>
      <x:c r="T113" s="16"/>
      <x:c r="U113" s="16" t="str">
        <x:v>NO — review only</x:v>
      </x:c>
    </x:row>
    <x:row r="114" ht="54" customHeight="1">
      <x:c r="A114" s="16" t="str">
        <x:v>en-91440136da80</x:v>
      </x:c>
      <x:c r="B114" s="16" t="str">
        <x:v>en</x:v>
      </x:c>
      <x:c r="C114" s="16" t="str">
        <x:v>Dragon Majesty</x:v>
      </x:c>
      <x:c r="D114" s="16" t="str">
        <x:v>Dragon Majesty</x:v>
      </x:c>
      <x:c r="E114" s="16" t="str">
        <x:v>Sun &amp; Moon</x:v>
      </x:c>
      <x:c r="F114" s="16" t="str">
        <x:v>Card set / collection</x:v>
      </x:c>
      <x:c r="G114" s="16" t="str">
        <x:v>DRM</x:v>
      </x:c>
      <x:c r="H114" s="16" t="str">
        <x:v>Source abbreviation</x:v>
      </x:c>
      <x:c r="I114" s="16" t="str">
        <x:v>2018-09-07</x:v>
      </x:c>
      <x:c r="J114" s="16" t="str">
        <x:v>day</x:v>
      </x:c>
      <x:c r="K114" s="16" t="str">
        <x:v>International English; source default date</x:v>
      </x:c>
      <x:c r="L114" s="16" t="n">
        <x:v>70</x:v>
      </x:c>
      <x:c r="M114" s="16" t="n">
        <x:v>8</x:v>
      </x:c>
      <x:c r="N114" s="16" t="n">
        <x:v>0</x:v>
      </x:c>
      <x:c r="O114" s="16" t="n">
        <x:v>78</x:v>
      </x:c>
      <x:c r="P114" s="16" t="n">
        <x:v>78</x:v>
      </x:c>
      <x:c r="Q114" s="16"/>
      <x:c r="R114" s="16"/>
      <x:c r="S114" s="16" t="str"/>
      <x:c r="T114" s="16"/>
      <x:c r="U114" s="16" t="str">
        <x:v>NO — review only</x:v>
      </x:c>
    </x:row>
    <x:row r="115" ht="54" customHeight="1">
      <x:c r="A115" s="16" t="str">
        <x:v>en-b873bbf63462</x:v>
      </x:c>
      <x:c r="B115" s="16" t="str">
        <x:v>en</x:v>
      </x:c>
      <x:c r="C115" s="16" t="str">
        <x:v>McDonald's Collection 2018</x:v>
      </x:c>
      <x:c r="D115" s="16" t="str">
        <x:v>McDonald's Collection 2018</x:v>
      </x:c>
      <x:c r="E115" s="16" t="str">
        <x:v>McDonald's</x:v>
      </x:c>
      <x:c r="F115" s="16" t="str">
        <x:v>Promo catalogue</x:v>
      </x:c>
      <x:c r="G115" s="16" t="str">
        <x:v>M18</x:v>
      </x:c>
      <x:c r="H115" s="16" t="str">
        <x:v>Source abbreviation</x:v>
      </x:c>
      <x:c r="I115" s="16" t="str">
        <x:v>2018-10-16</x:v>
      </x:c>
      <x:c r="J115" s="16" t="str">
        <x:v>day</x:v>
      </x:c>
      <x:c r="K115" s="16" t="str">
        <x:v>International English; source default date</x:v>
      </x:c>
      <x:c r="L115" s="16" t="n">
        <x:v>12</x:v>
      </x:c>
      <x:c r="M115" s="16" t="n">
        <x:v>0</x:v>
      </x:c>
      <x:c r="N115" s="16" t="n">
        <x:v>0</x:v>
      </x:c>
      <x:c r="O115" s="16" t="n">
        <x:v>12</x:v>
      </x:c>
      <x:c r="P115" s="16" t="n">
        <x:v>12</x:v>
      </x:c>
      <x:c r="Q115" s="16"/>
      <x:c r="R115" s="16"/>
      <x:c r="S115" s="16" t="str"/>
      <x:c r="T115" s="16"/>
      <x:c r="U115" s="16" t="str">
        <x:v>NO — review only</x:v>
      </x:c>
    </x:row>
    <x:row r="116" ht="54" customHeight="1">
      <x:c r="A116" s="16" t="str">
        <x:v>en-cf9f952e6af6</x:v>
      </x:c>
      <x:c r="B116" s="16" t="str">
        <x:v>en</x:v>
      </x:c>
      <x:c r="C116" s="16" t="str">
        <x:v>Lost Thunder</x:v>
      </x:c>
      <x:c r="D116" s="16" t="str">
        <x:v>Lost Thunder</x:v>
      </x:c>
      <x:c r="E116" s="16" t="str">
        <x:v>Sun &amp; Moon</x:v>
      </x:c>
      <x:c r="F116" s="16" t="str">
        <x:v>Card set / collection</x:v>
      </x:c>
      <x:c r="G116" s="16" t="str">
        <x:v>LOT</x:v>
      </x:c>
      <x:c r="H116" s="16" t="str">
        <x:v>Source abbreviation</x:v>
      </x:c>
      <x:c r="I116" s="16" t="str">
        <x:v>2018-11-02</x:v>
      </x:c>
      <x:c r="J116" s="16" t="str">
        <x:v>day</x:v>
      </x:c>
      <x:c r="K116" s="16" t="str">
        <x:v>International English; source default date</x:v>
      </x:c>
      <x:c r="L116" s="16" t="n">
        <x:v>214</x:v>
      </x:c>
      <x:c r="M116" s="16" t="n">
        <x:v>22</x:v>
      </x:c>
      <x:c r="N116" s="16" t="n">
        <x:v>0</x:v>
      </x:c>
      <x:c r="O116" s="16" t="n">
        <x:v>236</x:v>
      </x:c>
      <x:c r="P116" s="16" t="n">
        <x:v>236</x:v>
      </x:c>
      <x:c r="Q116" s="16"/>
      <x:c r="R116" s="16"/>
      <x:c r="S116" s="16" t="str"/>
      <x:c r="T116" s="16"/>
      <x:c r="U116" s="16" t="str">
        <x:v>NO — review only</x:v>
      </x:c>
    </x:row>
    <x:row r="117" ht="54" customHeight="1">
      <x:c r="A117" s="16" t="str">
        <x:v>en-b58c098ade79</x:v>
      </x:c>
      <x:c r="B117" s="16" t="str">
        <x:v>en</x:v>
      </x:c>
      <x:c r="C117" s="16" t="str">
        <x:v>Team Up</x:v>
      </x:c>
      <x:c r="D117" s="16" t="str">
        <x:v>Team Up</x:v>
      </x:c>
      <x:c r="E117" s="16" t="str">
        <x:v>Sun &amp; Moon</x:v>
      </x:c>
      <x:c r="F117" s="16" t="str">
        <x:v>Card set / collection</x:v>
      </x:c>
      <x:c r="G117" s="16" t="str">
        <x:v>TEU</x:v>
      </x:c>
      <x:c r="H117" s="16" t="str">
        <x:v>Source abbreviation</x:v>
      </x:c>
      <x:c r="I117" s="16" t="str">
        <x:v>2019-02-01</x:v>
      </x:c>
      <x:c r="J117" s="16" t="str">
        <x:v>day</x:v>
      </x:c>
      <x:c r="K117" s="16" t="str">
        <x:v>International English; source default date</x:v>
      </x:c>
      <x:c r="L117" s="16" t="n">
        <x:v>181</x:v>
      </x:c>
      <x:c r="M117" s="16" t="n">
        <x:v>15</x:v>
      </x:c>
      <x:c r="N117" s="16" t="n">
        <x:v>0</x:v>
      </x:c>
      <x:c r="O117" s="16" t="n">
        <x:v>196</x:v>
      </x:c>
      <x:c r="P117" s="16" t="n">
        <x:v>196</x:v>
      </x:c>
      <x:c r="Q117" s="16"/>
      <x:c r="R117" s="16"/>
      <x:c r="S117" s="16" t="str"/>
      <x:c r="T117" s="16"/>
      <x:c r="U117" s="16" t="str">
        <x:v>NO — review only</x:v>
      </x:c>
    </x:row>
    <x:row r="118" ht="54" customHeight="1">
      <x:c r="A118" s="16" t="str">
        <x:v>en-332317456664</x:v>
      </x:c>
      <x:c r="B118" s="16" t="str">
        <x:v>en</x:v>
      </x:c>
      <x:c r="C118" s="16" t="str">
        <x:v>Detective Pikachu</x:v>
      </x:c>
      <x:c r="D118" s="16" t="str">
        <x:v>Detective Pikachu</x:v>
      </x:c>
      <x:c r="E118" s="16" t="str">
        <x:v>Sun &amp; Moon</x:v>
      </x:c>
      <x:c r="F118" s="16" t="str">
        <x:v>Card set / collection</x:v>
      </x:c>
      <x:c r="G118" s="16" t="str">
        <x:v>DET</x:v>
      </x:c>
      <x:c r="H118" s="16" t="str">
        <x:v>Source abbreviation</x:v>
      </x:c>
      <x:c r="I118" s="16" t="str">
        <x:v>2019-03-29</x:v>
      </x:c>
      <x:c r="J118" s="16" t="str">
        <x:v>day</x:v>
      </x:c>
      <x:c r="K118" s="16" t="str">
        <x:v>International English; source default date</x:v>
      </x:c>
      <x:c r="L118" s="16" t="n">
        <x:v>18</x:v>
      </x:c>
      <x:c r="M118" s="16" t="n">
        <x:v>0</x:v>
      </x:c>
      <x:c r="N118" s="16" t="n">
        <x:v>0</x:v>
      </x:c>
      <x:c r="O118" s="16" t="n">
        <x:v>18</x:v>
      </x:c>
      <x:c r="P118" s="16" t="n">
        <x:v>18</x:v>
      </x:c>
      <x:c r="Q118" s="16"/>
      <x:c r="R118" s="16"/>
      <x:c r="S118" s="16" t="str"/>
      <x:c r="T118" s="16"/>
      <x:c r="U118" s="16" t="str">
        <x:v>NO — review only</x:v>
      </x:c>
    </x:row>
    <x:row r="119" ht="54" customHeight="1">
      <x:c r="A119" s="16" t="str">
        <x:v>en-2a74b03a3cd0</x:v>
      </x:c>
      <x:c r="B119" s="16" t="str">
        <x:v>en</x:v>
      </x:c>
      <x:c r="C119" s="16" t="str">
        <x:v>Unbroken Bonds</x:v>
      </x:c>
      <x:c r="D119" s="16" t="str">
        <x:v>Unbroken Bonds</x:v>
      </x:c>
      <x:c r="E119" s="16" t="str">
        <x:v>Sun &amp; Moon</x:v>
      </x:c>
      <x:c r="F119" s="16" t="str">
        <x:v>Card set / collection</x:v>
      </x:c>
      <x:c r="G119" s="16" t="str">
        <x:v>UNB</x:v>
      </x:c>
      <x:c r="H119" s="16" t="str">
        <x:v>Source abbreviation</x:v>
      </x:c>
      <x:c r="I119" s="16" t="str">
        <x:v>2019-05-03</x:v>
      </x:c>
      <x:c r="J119" s="16" t="str">
        <x:v>day</x:v>
      </x:c>
      <x:c r="K119" s="16" t="str">
        <x:v>International English; source default date</x:v>
      </x:c>
      <x:c r="L119" s="16" t="n">
        <x:v>214</x:v>
      </x:c>
      <x:c r="M119" s="16" t="n">
        <x:v>20</x:v>
      </x:c>
      <x:c r="N119" s="16" t="n">
        <x:v>0</x:v>
      </x:c>
      <x:c r="O119" s="16" t="n">
        <x:v>234</x:v>
      </x:c>
      <x:c r="P119" s="16" t="n">
        <x:v>234</x:v>
      </x:c>
      <x:c r="Q119" s="16"/>
      <x:c r="R119" s="16"/>
      <x:c r="S119" s="16" t="str"/>
      <x:c r="T119" s="16"/>
      <x:c r="U119" s="16" t="str">
        <x:v>NO — review only</x:v>
      </x:c>
    </x:row>
    <x:row r="120" ht="54" customHeight="1">
      <x:c r="A120" s="16" t="str">
        <x:v>en-7801e741f632</x:v>
      </x:c>
      <x:c r="B120" s="16" t="str">
        <x:v>en</x:v>
      </x:c>
      <x:c r="C120" s="16" t="str">
        <x:v>Unified Minds</x:v>
      </x:c>
      <x:c r="D120" s="16" t="str">
        <x:v>Unified Minds</x:v>
      </x:c>
      <x:c r="E120" s="16" t="str">
        <x:v>Sun &amp; Moon</x:v>
      </x:c>
      <x:c r="F120" s="16" t="str">
        <x:v>Card set / collection</x:v>
      </x:c>
      <x:c r="G120" s="16" t="str">
        <x:v>UNM</x:v>
      </x:c>
      <x:c r="H120" s="16" t="str">
        <x:v>Source abbreviation</x:v>
      </x:c>
      <x:c r="I120" s="16" t="str">
        <x:v>2019-08-02</x:v>
      </x:c>
      <x:c r="J120" s="16" t="str">
        <x:v>day</x:v>
      </x:c>
      <x:c r="K120" s="16" t="str">
        <x:v>International English; source default date</x:v>
      </x:c>
      <x:c r="L120" s="16" t="n">
        <x:v>236</x:v>
      </x:c>
      <x:c r="M120" s="16" t="n">
        <x:v>22</x:v>
      </x:c>
      <x:c r="N120" s="16" t="n">
        <x:v>0</x:v>
      </x:c>
      <x:c r="O120" s="16" t="n">
        <x:v>258</x:v>
      </x:c>
      <x:c r="P120" s="16" t="n">
        <x:v>258</x:v>
      </x:c>
      <x:c r="Q120" s="16"/>
      <x:c r="R120" s="16"/>
      <x:c r="S120" s="16" t="str"/>
      <x:c r="T120" s="16"/>
      <x:c r="U120" s="16" t="str">
        <x:v>NO — review only</x:v>
      </x:c>
    </x:row>
    <x:row r="121" ht="54" customHeight="1">
      <x:c r="A121" s="16" t="str">
        <x:v>en-d2619d0c94c3</x:v>
      </x:c>
      <x:c r="B121" s="16" t="str">
        <x:v>en</x:v>
      </x:c>
      <x:c r="C121" s="16" t="str">
        <x:v>Hidden Fates</x:v>
      </x:c>
      <x:c r="D121" s="16" t="str">
        <x:v>Hidden Fates</x:v>
      </x:c>
      <x:c r="E121" s="16" t="str">
        <x:v>Sun &amp; Moon</x:v>
      </x:c>
      <x:c r="F121" s="16" t="str">
        <x:v>Card set / collection</x:v>
      </x:c>
      <x:c r="G121" s="16" t="str">
        <x:v>HIF</x:v>
      </x:c>
      <x:c r="H121" s="16" t="str">
        <x:v>Source abbreviation</x:v>
      </x:c>
      <x:c r="I121" s="16" t="str">
        <x:v>2019-08-23</x:v>
      </x:c>
      <x:c r="J121" s="16" t="str">
        <x:v>day</x:v>
      </x:c>
      <x:c r="K121" s="16" t="str">
        <x:v>International English; source default date</x:v>
      </x:c>
      <x:c r="L121" s="16" t="n">
        <x:v>68</x:v>
      </x:c>
      <x:c r="M121" s="16" t="n">
        <x:v>1</x:v>
      </x:c>
      <x:c r="N121" s="16" t="n">
        <x:v>94</x:v>
      </x:c>
      <x:c r="O121" s="16" t="n">
        <x:v>163</x:v>
      </x:c>
      <x:c r="P121" s="16" t="n">
        <x:v>163</x:v>
      </x:c>
      <x:c r="Q121" s="16"/>
      <x:c r="R121" s="16"/>
      <x:c r="S121" s="16" t="str"/>
      <x:c r="T121" s="16"/>
      <x:c r="U121" s="16" t="str">
        <x:v>NO — review only</x:v>
      </x:c>
    </x:row>
    <x:row r="122" ht="54" customHeight="1">
      <x:c r="A122" s="16" t="str">
        <x:v>en-d02ad07cbaac</x:v>
      </x:c>
      <x:c r="B122" s="16" t="str">
        <x:v>en</x:v>
      </x:c>
      <x:c r="C122" s="16" t="str">
        <x:v>McDonald's Collection 2019</x:v>
      </x:c>
      <x:c r="D122" s="16" t="str">
        <x:v>McDonald's Collection 2019</x:v>
      </x:c>
      <x:c r="E122" s="16" t="str">
        <x:v>McDonald's</x:v>
      </x:c>
      <x:c r="F122" s="16" t="str">
        <x:v>Promo catalogue</x:v>
      </x:c>
      <x:c r="G122" s="16" t="str">
        <x:v>M19</x:v>
      </x:c>
      <x:c r="H122" s="16" t="str">
        <x:v>Source abbreviation</x:v>
      </x:c>
      <x:c r="I122" s="16" t="str">
        <x:v>2019-10-15</x:v>
      </x:c>
      <x:c r="J122" s="16" t="str">
        <x:v>day</x:v>
      </x:c>
      <x:c r="K122" s="16" t="str">
        <x:v>International English; source default date</x:v>
      </x:c>
      <x:c r="L122" s="16" t="n">
        <x:v>12</x:v>
      </x:c>
      <x:c r="M122" s="16" t="n">
        <x:v>0</x:v>
      </x:c>
      <x:c r="N122" s="16" t="n">
        <x:v>0</x:v>
      </x:c>
      <x:c r="O122" s="16" t="n">
        <x:v>12</x:v>
      </x:c>
      <x:c r="P122" s="16" t="n">
        <x:v>12</x:v>
      </x:c>
      <x:c r="Q122" s="16"/>
      <x:c r="R122" s="16"/>
      <x:c r="S122" s="16" t="str"/>
      <x:c r="T122" s="16"/>
      <x:c r="U122" s="16" t="str">
        <x:v>NO — review only</x:v>
      </x:c>
    </x:row>
    <x:row r="123" ht="54" customHeight="1">
      <x:c r="A123" s="16" t="str">
        <x:v>en-7ad5746df78d</x:v>
      </x:c>
      <x:c r="B123" s="16" t="str">
        <x:v>en</x:v>
      </x:c>
      <x:c r="C123" s="16" t="str">
        <x:v>SWSH Black Star Promos</x:v>
      </x:c>
      <x:c r="D123" s="16" t="str">
        <x:v>SWSH Black Star Promos</x:v>
      </x:c>
      <x:c r="E123" s="16" t="str">
        <x:v>Sword &amp; Shield</x:v>
      </x:c>
      <x:c r="F123" s="16" t="str">
        <x:v>Promo catalogue</x:v>
      </x:c>
      <x:c r="G123" s="16" t="str">
        <x:v>SWSD</x:v>
      </x:c>
      <x:c r="H123" s="16" t="str">
        <x:v>Source abbreviation</x:v>
      </x:c>
      <x:c r="I123" s="16" t="str">
        <x:v>2019-11</x:v>
      </x:c>
      <x:c r="J123" s="16" t="str">
        <x:v>month</x:v>
      </x:c>
      <x:c r="K123" s="16" t="str">
        <x:v>International English; source default date</x:v>
      </x:c>
      <x:c r="L123" s="16" t="n">
        <x:v>307</x:v>
      </x:c>
      <x:c r="M123" s="16" t="n">
        <x:v>0</x:v>
      </x:c>
      <x:c r="N123" s="16" t="n">
        <x:v>0</x:v>
      </x:c>
      <x:c r="O123" s="16" t="n">
        <x:v>307</x:v>
      </x:c>
      <x:c r="P123" s="16" t="n">
        <x:v>307</x:v>
      </x:c>
      <x:c r="Q123" s="16"/>
      <x:c r="R123" s="16"/>
      <x:c r="S123" s="16" t="str"/>
      <x:c r="T123" s="16"/>
      <x:c r="U123" s="16" t="str">
        <x:v>NO — review only</x:v>
      </x:c>
    </x:row>
    <x:row r="124" ht="54" customHeight="1">
      <x:c r="A124" s="16" t="str">
        <x:v>en-e8cc4c8f7365</x:v>
      </x:c>
      <x:c r="B124" s="16" t="str">
        <x:v>en</x:v>
      </x:c>
      <x:c r="C124" s="16" t="str">
        <x:v>Cosmic Eclipse</x:v>
      </x:c>
      <x:c r="D124" s="16" t="str">
        <x:v>Cosmic Eclipse</x:v>
      </x:c>
      <x:c r="E124" s="16" t="str">
        <x:v>Sun &amp; Moon</x:v>
      </x:c>
      <x:c r="F124" s="16" t="str">
        <x:v>Card set / collection</x:v>
      </x:c>
      <x:c r="G124" s="16" t="str">
        <x:v>CEC</x:v>
      </x:c>
      <x:c r="H124" s="16" t="str">
        <x:v>Source abbreviation</x:v>
      </x:c>
      <x:c r="I124" s="16" t="str">
        <x:v>2019-11-01</x:v>
      </x:c>
      <x:c r="J124" s="16" t="str">
        <x:v>day</x:v>
      </x:c>
      <x:c r="K124" s="16" t="str">
        <x:v>International English; source default date</x:v>
      </x:c>
      <x:c r="L124" s="16" t="n">
        <x:v>236</x:v>
      </x:c>
      <x:c r="M124" s="16" t="n">
        <x:v>35</x:v>
      </x:c>
      <x:c r="N124" s="16" t="n">
        <x:v>0</x:v>
      </x:c>
      <x:c r="O124" s="16" t="n">
        <x:v>271</x:v>
      </x:c>
      <x:c r="P124" s="16" t="n">
        <x:v>271</x:v>
      </x:c>
      <x:c r="Q124" s="16"/>
      <x:c r="R124" s="16"/>
      <x:c r="S124" s="16" t="str"/>
      <x:c r="T124" s="16"/>
      <x:c r="U124" s="16" t="str">
        <x:v>NO — review only</x:v>
      </x:c>
    </x:row>
    <x:row r="125" ht="54" customHeight="1">
      <x:c r="A125" s="16" t="str">
        <x:v>en-0003d347854c</x:v>
      </x:c>
      <x:c r="B125" s="16" t="str">
        <x:v>en</x:v>
      </x:c>
      <x:c r="C125" s="16" t="str">
        <x:v>Sword &amp; Shield</x:v>
      </x:c>
      <x:c r="D125" s="16" t="str">
        <x:v>Sword &amp; Shield</x:v>
      </x:c>
      <x:c r="E125" s="16" t="str">
        <x:v>Sword &amp; Shield</x:v>
      </x:c>
      <x:c r="F125" s="16" t="str">
        <x:v>Card set / collection</x:v>
      </x:c>
      <x:c r="G125" s="16" t="str">
        <x:v>SSH</x:v>
      </x:c>
      <x:c r="H125" s="16" t="str">
        <x:v>Source abbreviation</x:v>
      </x:c>
      <x:c r="I125" s="16" t="str">
        <x:v>2020-02-07</x:v>
      </x:c>
      <x:c r="J125" s="16" t="str">
        <x:v>day</x:v>
      </x:c>
      <x:c r="K125" s="16" t="str">
        <x:v>International English; source default date</x:v>
      </x:c>
      <x:c r="L125" s="16" t="n">
        <x:v>202</x:v>
      </x:c>
      <x:c r="M125" s="16" t="n">
        <x:v>14</x:v>
      </x:c>
      <x:c r="N125" s="16" t="n">
        <x:v>0</x:v>
      </x:c>
      <x:c r="O125" s="16" t="n">
        <x:v>216</x:v>
      </x:c>
      <x:c r="P125" s="16" t="n">
        <x:v>216</x:v>
      </x:c>
      <x:c r="Q125" s="16"/>
      <x:c r="R125" s="16"/>
      <x:c r="S125" s="16" t="str"/>
      <x:c r="T125" s="16"/>
      <x:c r="U125" s="16" t="str">
        <x:v>NO — review only</x:v>
      </x:c>
    </x:row>
    <x:row r="126" ht="54" customHeight="1">
      <x:c r="A126" s="16" t="str">
        <x:v>en-a6fa518f94e3</x:v>
      </x:c>
      <x:c r="B126" s="16" t="str">
        <x:v>en</x:v>
      </x:c>
      <x:c r="C126" s="16" t="str">
        <x:v>Rebel Clash</x:v>
      </x:c>
      <x:c r="D126" s="16" t="str">
        <x:v>Rebel Clash</x:v>
      </x:c>
      <x:c r="E126" s="16" t="str">
        <x:v>Sword &amp; Shield</x:v>
      </x:c>
      <x:c r="F126" s="16" t="str">
        <x:v>Card set / collection</x:v>
      </x:c>
      <x:c r="G126" s="16" t="str">
        <x:v>RCL</x:v>
      </x:c>
      <x:c r="H126" s="16" t="str">
        <x:v>Source abbreviation</x:v>
      </x:c>
      <x:c r="I126" s="16" t="str">
        <x:v>2020-05-01</x:v>
      </x:c>
      <x:c r="J126" s="16" t="str">
        <x:v>day</x:v>
      </x:c>
      <x:c r="K126" s="16" t="str">
        <x:v>International English; source default date</x:v>
      </x:c>
      <x:c r="L126" s="16" t="n">
        <x:v>192</x:v>
      </x:c>
      <x:c r="M126" s="16" t="n">
        <x:v>17</x:v>
      </x:c>
      <x:c r="N126" s="16" t="n">
        <x:v>0</x:v>
      </x:c>
      <x:c r="O126" s="16" t="n">
        <x:v>209</x:v>
      </x:c>
      <x:c r="P126" s="16" t="n">
        <x:v>209</x:v>
      </x:c>
      <x:c r="Q126" s="16"/>
      <x:c r="R126" s="16"/>
      <x:c r="S126" s="16" t="str"/>
      <x:c r="T126" s="16"/>
      <x:c r="U126" s="16" t="str">
        <x:v>NO — review only</x:v>
      </x:c>
    </x:row>
    <x:row r="127" ht="54" customHeight="1">
      <x:c r="A127" s="16" t="str">
        <x:v>en-175e9a92fed7</x:v>
      </x:c>
      <x:c r="B127" s="16" t="str">
        <x:v>en</x:v>
      </x:c>
      <x:c r="C127" s="16" t="str">
        <x:v>Darkness Ablaze</x:v>
      </x:c>
      <x:c r="D127" s="16" t="str">
        <x:v>Darkness Ablaze</x:v>
      </x:c>
      <x:c r="E127" s="16" t="str">
        <x:v>Sword &amp; Shield</x:v>
      </x:c>
      <x:c r="F127" s="16" t="str">
        <x:v>Card set / collection</x:v>
      </x:c>
      <x:c r="G127" s="16" t="str">
        <x:v>DAA</x:v>
      </x:c>
      <x:c r="H127" s="16" t="str">
        <x:v>Source abbreviation</x:v>
      </x:c>
      <x:c r="I127" s="16" t="str">
        <x:v>2020-08-14</x:v>
      </x:c>
      <x:c r="J127" s="16" t="str">
        <x:v>day</x:v>
      </x:c>
      <x:c r="K127" s="16" t="str">
        <x:v>International English; source default date</x:v>
      </x:c>
      <x:c r="L127" s="16" t="n">
        <x:v>189</x:v>
      </x:c>
      <x:c r="M127" s="16" t="n">
        <x:v>12</x:v>
      </x:c>
      <x:c r="N127" s="16" t="n">
        <x:v>0</x:v>
      </x:c>
      <x:c r="O127" s="16" t="n">
        <x:v>201</x:v>
      </x:c>
      <x:c r="P127" s="16" t="n">
        <x:v>201</x:v>
      </x:c>
      <x:c r="Q127" s="16"/>
      <x:c r="R127" s="16"/>
      <x:c r="S127" s="16" t="str"/>
      <x:c r="T127" s="16"/>
      <x:c r="U127" s="16" t="str">
        <x:v>NO — review only</x:v>
      </x:c>
    </x:row>
    <x:row r="128" ht="54" customHeight="1">
      <x:c r="A128" s="16" t="str">
        <x:v>en-ebcb2fa528a3</x:v>
      </x:c>
      <x:c r="B128" s="16" t="str">
        <x:v>en</x:v>
      </x:c>
      <x:c r="C128" s="16" t="str">
        <x:v>Pokémon Futsal</x:v>
      </x:c>
      <x:c r="D128" s="16" t="str">
        <x:v>Pokémon Futsal</x:v>
      </x:c>
      <x:c r="E128" s="16" t="str">
        <x:v>Miscellaneous</x:v>
      </x:c>
      <x:c r="F128" s="16" t="str">
        <x:v>Promo catalogue</x:v>
      </x:c>
      <x:c r="G128" s="16" t="str">
        <x:v>FUT20</x:v>
      </x:c>
      <x:c r="H128" s="16" t="str">
        <x:v>Source abbreviation</x:v>
      </x:c>
      <x:c r="I128" s="16" t="str">
        <x:v>2020-09-11</x:v>
      </x:c>
      <x:c r="J128" s="16" t="str">
        <x:v>day</x:v>
      </x:c>
      <x:c r="K128" s="16" t="str">
        <x:v>International English; source default date</x:v>
      </x:c>
      <x:c r="L128" s="16" t="n">
        <x:v>5</x:v>
      </x:c>
      <x:c r="M128" s="16" t="n">
        <x:v>0</x:v>
      </x:c>
      <x:c r="N128" s="16" t="n">
        <x:v>0</x:v>
      </x:c>
      <x:c r="O128" s="16" t="n">
        <x:v>5</x:v>
      </x:c>
      <x:c r="P128" s="16" t="n">
        <x:v>5</x:v>
      </x:c>
      <x:c r="Q128" s="16"/>
      <x:c r="R128" s="16"/>
      <x:c r="S128" s="16" t="str"/>
      <x:c r="T128" s="16"/>
      <x:c r="U128" s="16" t="str">
        <x:v>NO — review only</x:v>
      </x:c>
    </x:row>
    <x:row r="129" ht="54" customHeight="1">
      <x:c r="A129" s="16" t="str">
        <x:v>en-11376d4d5559</x:v>
      </x:c>
      <x:c r="B129" s="16" t="str">
        <x:v>en</x:v>
      </x:c>
      <x:c r="C129" s="16" t="str">
        <x:v>Champion's Path</x:v>
      </x:c>
      <x:c r="D129" s="16" t="str">
        <x:v>Champion's Path</x:v>
      </x:c>
      <x:c r="E129" s="16" t="str">
        <x:v>Sword &amp; Shield</x:v>
      </x:c>
      <x:c r="F129" s="16" t="str">
        <x:v>Card set / collection</x:v>
      </x:c>
      <x:c r="G129" s="16" t="str">
        <x:v>CPA</x:v>
      </x:c>
      <x:c r="H129" s="16" t="str">
        <x:v>Source abbreviation</x:v>
      </x:c>
      <x:c r="I129" s="16" t="str">
        <x:v>2020-09-25</x:v>
      </x:c>
      <x:c r="J129" s="16" t="str">
        <x:v>day</x:v>
      </x:c>
      <x:c r="K129" s="16" t="str">
        <x:v>International English; source default date</x:v>
      </x:c>
      <x:c r="L129" s="16" t="n">
        <x:v>73</x:v>
      </x:c>
      <x:c r="M129" s="16" t="n">
        <x:v>7</x:v>
      </x:c>
      <x:c r="N129" s="16" t="n">
        <x:v>0</x:v>
      </x:c>
      <x:c r="O129" s="16" t="n">
        <x:v>80</x:v>
      </x:c>
      <x:c r="P129" s="16" t="n">
        <x:v>80</x:v>
      </x:c>
      <x:c r="Q129" s="16"/>
      <x:c r="R129" s="16"/>
      <x:c r="S129" s="16" t="str"/>
      <x:c r="T129" s="16"/>
      <x:c r="U129" s="16" t="str">
        <x:v>NO — review only</x:v>
      </x:c>
    </x:row>
    <x:row r="130" ht="54" customHeight="1">
      <x:c r="A130" s="16" t="str">
        <x:v>en-e1af3cad7dfb</x:v>
      </x:c>
      <x:c r="B130" s="16" t="str">
        <x:v>en</x:v>
      </x:c>
      <x:c r="C130" s="16" t="str">
        <x:v>Vivid Voltage</x:v>
      </x:c>
      <x:c r="D130" s="16" t="str">
        <x:v>Vivid Voltage</x:v>
      </x:c>
      <x:c r="E130" s="16" t="str">
        <x:v>Sword &amp; Shield</x:v>
      </x:c>
      <x:c r="F130" s="16" t="str">
        <x:v>Card set / collection</x:v>
      </x:c>
      <x:c r="G130" s="16" t="str">
        <x:v>VIV</x:v>
      </x:c>
      <x:c r="H130" s="16" t="str">
        <x:v>Source abbreviation</x:v>
      </x:c>
      <x:c r="I130" s="16" t="str">
        <x:v>2020-11-13</x:v>
      </x:c>
      <x:c r="J130" s="16" t="str">
        <x:v>day</x:v>
      </x:c>
      <x:c r="K130" s="16" t="str">
        <x:v>International English; source default date</x:v>
      </x:c>
      <x:c r="L130" s="16" t="n">
        <x:v>185</x:v>
      </x:c>
      <x:c r="M130" s="16" t="n">
        <x:v>18</x:v>
      </x:c>
      <x:c r="N130" s="16" t="n">
        <x:v>0</x:v>
      </x:c>
      <x:c r="O130" s="16" t="n">
        <x:v>203</x:v>
      </x:c>
      <x:c r="P130" s="16" t="n">
        <x:v>203</x:v>
      </x:c>
      <x:c r="Q130" s="16"/>
      <x:c r="R130" s="16"/>
      <x:c r="S130" s="16" t="str"/>
      <x:c r="T130" s="16"/>
      <x:c r="U130" s="16" t="str">
        <x:v>NO — review only</x:v>
      </x:c>
    </x:row>
    <x:row r="131" ht="54" customHeight="1">
      <x:c r="A131" s="16" t="str">
        <x:v>en-e731bf8556f5</x:v>
      </x:c>
      <x:c r="B131" s="16" t="str">
        <x:v>en</x:v>
      </x:c>
      <x:c r="C131" s="16" t="str">
        <x:v>McDonald's Collection 2021</x:v>
      </x:c>
      <x:c r="D131" s="16" t="str">
        <x:v>McDonald's Collection 2021</x:v>
      </x:c>
      <x:c r="E131" s="16" t="str">
        <x:v>McDonald's</x:v>
      </x:c>
      <x:c r="F131" s="16" t="str">
        <x:v>Promo catalogue</x:v>
      </x:c>
      <x:c r="G131" s="16" t="str">
        <x:v>M21</x:v>
      </x:c>
      <x:c r="H131" s="16" t="str">
        <x:v>Source abbreviation</x:v>
      </x:c>
      <x:c r="I131" s="16" t="str">
        <x:v>2021-02-09</x:v>
      </x:c>
      <x:c r="J131" s="16" t="str">
        <x:v>day</x:v>
      </x:c>
      <x:c r="K131" s="16" t="str">
        <x:v>International English; source default date</x:v>
      </x:c>
      <x:c r="L131" s="16" t="n">
        <x:v>25</x:v>
      </x:c>
      <x:c r="M131" s="16" t="n">
        <x:v>0</x:v>
      </x:c>
      <x:c r="N131" s="16" t="n">
        <x:v>0</x:v>
      </x:c>
      <x:c r="O131" s="16" t="n">
        <x:v>25</x:v>
      </x:c>
      <x:c r="P131" s="16" t="n">
        <x:v>25</x:v>
      </x:c>
      <x:c r="Q131" s="16"/>
      <x:c r="R131" s="16"/>
      <x:c r="S131" s="16" t="str"/>
      <x:c r="T131" s="16"/>
      <x:c r="U131" s="16" t="str">
        <x:v>NO — review only</x:v>
      </x:c>
    </x:row>
    <x:row r="132" ht="54" customHeight="1">
      <x:c r="A132" s="16" t="str">
        <x:v>en-53c41bd0758e</x:v>
      </x:c>
      <x:c r="B132" s="16" t="str">
        <x:v>en</x:v>
      </x:c>
      <x:c r="C132" s="16" t="str">
        <x:v>Shining Fates</x:v>
      </x:c>
      <x:c r="D132" s="16" t="str">
        <x:v>Shining Fates</x:v>
      </x:c>
      <x:c r="E132" s="16" t="str">
        <x:v>Sword &amp; Shield</x:v>
      </x:c>
      <x:c r="F132" s="16" t="str">
        <x:v>Card set / collection</x:v>
      </x:c>
      <x:c r="G132" s="16" t="str">
        <x:v>SHF</x:v>
      </x:c>
      <x:c r="H132" s="16" t="str">
        <x:v>Source abbreviation</x:v>
      </x:c>
      <x:c r="I132" s="16" t="str">
        <x:v>2021-02-19</x:v>
      </x:c>
      <x:c r="J132" s="16" t="str">
        <x:v>day</x:v>
      </x:c>
      <x:c r="K132" s="16" t="str">
        <x:v>International English; source default date</x:v>
      </x:c>
      <x:c r="L132" s="16" t="n">
        <x:v>72</x:v>
      </x:c>
      <x:c r="M132" s="16" t="n">
        <x:v>1</x:v>
      </x:c>
      <x:c r="N132" s="16" t="n">
        <x:v>122</x:v>
      </x:c>
      <x:c r="O132" s="16" t="n">
        <x:v>195</x:v>
      </x:c>
      <x:c r="P132" s="16" t="n">
        <x:v>195</x:v>
      </x:c>
      <x:c r="Q132" s="16"/>
      <x:c r="R132" s="16"/>
      <x:c r="S132" s="16" t="str"/>
      <x:c r="T132" s="16"/>
      <x:c r="U132" s="16" t="str">
        <x:v>NO — review only</x:v>
      </x:c>
    </x:row>
    <x:row r="133" ht="54" customHeight="1">
      <x:c r="A133" s="16" t="str">
        <x:v>en-5b657a70e898</x:v>
      </x:c>
      <x:c r="B133" s="16" t="str">
        <x:v>en</x:v>
      </x:c>
      <x:c r="C133" s="16" t="str">
        <x:v>Battle Styles</x:v>
      </x:c>
      <x:c r="D133" s="16" t="str">
        <x:v>Battle Styles</x:v>
      </x:c>
      <x:c r="E133" s="16" t="str">
        <x:v>Sword &amp; Shield</x:v>
      </x:c>
      <x:c r="F133" s="16" t="str">
        <x:v>Card set / collection</x:v>
      </x:c>
      <x:c r="G133" s="16" t="str">
        <x:v>BST</x:v>
      </x:c>
      <x:c r="H133" s="16" t="str">
        <x:v>Source abbreviation</x:v>
      </x:c>
      <x:c r="I133" s="16" t="str">
        <x:v>2021-03-19</x:v>
      </x:c>
      <x:c r="J133" s="16" t="str">
        <x:v>day</x:v>
      </x:c>
      <x:c r="K133" s="16" t="str">
        <x:v>International English; source default date</x:v>
      </x:c>
      <x:c r="L133" s="16" t="n">
        <x:v>163</x:v>
      </x:c>
      <x:c r="M133" s="16" t="n">
        <x:v>20</x:v>
      </x:c>
      <x:c r="N133" s="16" t="n">
        <x:v>0</x:v>
      </x:c>
      <x:c r="O133" s="16" t="n">
        <x:v>183</x:v>
      </x:c>
      <x:c r="P133" s="16" t="n">
        <x:v>183</x:v>
      </x:c>
      <x:c r="Q133" s="16"/>
      <x:c r="R133" s="16"/>
      <x:c r="S133" s="16" t="str"/>
      <x:c r="T133" s="16"/>
      <x:c r="U133" s="16" t="str">
        <x:v>NO — review only</x:v>
      </x:c>
    </x:row>
    <x:row r="134" ht="54" customHeight="1">
      <x:c r="A134" s="16" t="str">
        <x:v>en-23b00a171eda</x:v>
      </x:c>
      <x:c r="B134" s="16" t="str">
        <x:v>en</x:v>
      </x:c>
      <x:c r="C134" s="16" t="str">
        <x:v>Chilling Reign</x:v>
      </x:c>
      <x:c r="D134" s="16" t="str">
        <x:v>Chilling Reign</x:v>
      </x:c>
      <x:c r="E134" s="16" t="str">
        <x:v>Sword &amp; Shield</x:v>
      </x:c>
      <x:c r="F134" s="16" t="str">
        <x:v>Card set / collection</x:v>
      </x:c>
      <x:c r="G134" s="16" t="str">
        <x:v>CRE</x:v>
      </x:c>
      <x:c r="H134" s="16" t="str">
        <x:v>Source abbreviation</x:v>
      </x:c>
      <x:c r="I134" s="16" t="str">
        <x:v>2021-06-18</x:v>
      </x:c>
      <x:c r="J134" s="16" t="str">
        <x:v>day</x:v>
      </x:c>
      <x:c r="K134" s="16" t="str">
        <x:v>International English; source default date</x:v>
      </x:c>
      <x:c r="L134" s="16" t="n">
        <x:v>198</x:v>
      </x:c>
      <x:c r="M134" s="16" t="n">
        <x:v>35</x:v>
      </x:c>
      <x:c r="N134" s="16" t="n">
        <x:v>0</x:v>
      </x:c>
      <x:c r="O134" s="16" t="n">
        <x:v>233</x:v>
      </x:c>
      <x:c r="P134" s="16" t="n">
        <x:v>233</x:v>
      </x:c>
      <x:c r="Q134" s="16"/>
      <x:c r="R134" s="16"/>
      <x:c r="S134" s="16" t="str"/>
      <x:c r="T134" s="16"/>
      <x:c r="U134" s="16" t="str">
        <x:v>NO — review only</x:v>
      </x:c>
    </x:row>
    <x:row r="135" ht="54" customHeight="1">
      <x:c r="A135" s="16" t="str">
        <x:v>en-9b73c82bcf48</x:v>
      </x:c>
      <x:c r="B135" s="16" t="str">
        <x:v>en</x:v>
      </x:c>
      <x:c r="C135" s="16" t="str">
        <x:v>Evolving Skies</x:v>
      </x:c>
      <x:c r="D135" s="16" t="str">
        <x:v>Evolving Skies</x:v>
      </x:c>
      <x:c r="E135" s="16" t="str">
        <x:v>Sword &amp; Shield</x:v>
      </x:c>
      <x:c r="F135" s="16" t="str">
        <x:v>Card set / collection</x:v>
      </x:c>
      <x:c r="G135" s="16" t="str">
        <x:v>EVS</x:v>
      </x:c>
      <x:c r="H135" s="16" t="str">
        <x:v>Source abbreviation</x:v>
      </x:c>
      <x:c r="I135" s="16" t="str">
        <x:v>2021-08-27</x:v>
      </x:c>
      <x:c r="J135" s="16" t="str">
        <x:v>day</x:v>
      </x:c>
      <x:c r="K135" s="16" t="str">
        <x:v>International English; source default date</x:v>
      </x:c>
      <x:c r="L135" s="16" t="n">
        <x:v>203</x:v>
      </x:c>
      <x:c r="M135" s="16" t="n">
        <x:v>34</x:v>
      </x:c>
      <x:c r="N135" s="16" t="n">
        <x:v>0</x:v>
      </x:c>
      <x:c r="O135" s="16" t="n">
        <x:v>237</x:v>
      </x:c>
      <x:c r="P135" s="16" t="n">
        <x:v>237</x:v>
      </x:c>
      <x:c r="Q135" s="16"/>
      <x:c r="R135" s="16"/>
      <x:c r="S135" s="16" t="str"/>
      <x:c r="T135" s="16"/>
      <x:c r="U135" s="16" t="str">
        <x:v>NO — review only</x:v>
      </x:c>
    </x:row>
    <x:row r="136" ht="54" customHeight="1">
      <x:c r="A136" s="16" t="str">
        <x:v>en-e56bf6e72454</x:v>
      </x:c>
      <x:c r="B136" s="16" t="str">
        <x:v>en</x:v>
      </x:c>
      <x:c r="C136" s="16" t="str">
        <x:v>Celebrations</x:v>
      </x:c>
      <x:c r="D136" s="16" t="str">
        <x:v>Celebrations</x:v>
      </x:c>
      <x:c r="E136" s="16" t="str">
        <x:v>Sword &amp; Shield</x:v>
      </x:c>
      <x:c r="F136" s="16" t="str">
        <x:v>Card set / collection</x:v>
      </x:c>
      <x:c r="G136" s="16" t="str">
        <x:v>CEL</x:v>
      </x:c>
      <x:c r="H136" s="16" t="str">
        <x:v>Source abbreviation</x:v>
      </x:c>
      <x:c r="I136" s="16" t="str">
        <x:v>2021-10-08</x:v>
      </x:c>
      <x:c r="J136" s="16" t="str">
        <x:v>day</x:v>
      </x:c>
      <x:c r="K136" s="16" t="str">
        <x:v>International English; source default date</x:v>
      </x:c>
      <x:c r="L136" s="16" t="n">
        <x:v>25</x:v>
      </x:c>
      <x:c r="M136" s="16" t="n">
        <x:v>0</x:v>
      </x:c>
      <x:c r="N136" s="16" t="n">
        <x:v>25</x:v>
      </x:c>
      <x:c r="O136" s="16" t="n">
        <x:v>50</x:v>
      </x:c>
      <x:c r="P136" s="16" t="n">
        <x:v>50</x:v>
      </x:c>
      <x:c r="Q136" s="16"/>
      <x:c r="R136" s="16"/>
      <x:c r="S136" s="16" t="str"/>
      <x:c r="T136" s="16"/>
      <x:c r="U136" s="16" t="str">
        <x:v>NO — review only</x:v>
      </x:c>
    </x:row>
    <x:row r="137" ht="54" customHeight="1">
      <x:c r="A137" s="16" t="str">
        <x:v>en-34452d845f59</x:v>
      </x:c>
      <x:c r="B137" s="16" t="str">
        <x:v>en</x:v>
      </x:c>
      <x:c r="C137" s="16" t="str">
        <x:v>Fusion Strike</x:v>
      </x:c>
      <x:c r="D137" s="16" t="str">
        <x:v>Fusion Strike</x:v>
      </x:c>
      <x:c r="E137" s="16" t="str">
        <x:v>Sword &amp; Shield</x:v>
      </x:c>
      <x:c r="F137" s="16" t="str">
        <x:v>Card set / collection</x:v>
      </x:c>
      <x:c r="G137" s="16" t="str">
        <x:v>FST</x:v>
      </x:c>
      <x:c r="H137" s="16" t="str">
        <x:v>Source abbreviation</x:v>
      </x:c>
      <x:c r="I137" s="16" t="str">
        <x:v>2021-11-12</x:v>
      </x:c>
      <x:c r="J137" s="16" t="str">
        <x:v>day</x:v>
      </x:c>
      <x:c r="K137" s="16" t="str">
        <x:v>International English; source default date</x:v>
      </x:c>
      <x:c r="L137" s="16" t="n">
        <x:v>264</x:v>
      </x:c>
      <x:c r="M137" s="16" t="n">
        <x:v>20</x:v>
      </x:c>
      <x:c r="N137" s="16" t="n">
        <x:v>0</x:v>
      </x:c>
      <x:c r="O137" s="16" t="n">
        <x:v>284</x:v>
      </x:c>
      <x:c r="P137" s="16" t="n">
        <x:v>284</x:v>
      </x:c>
      <x:c r="Q137" s="16"/>
      <x:c r="R137" s="16"/>
      <x:c r="S137" s="16" t="str"/>
      <x:c r="T137" s="16"/>
      <x:c r="U137" s="16" t="str">
        <x:v>NO — review only</x:v>
      </x:c>
    </x:row>
    <x:row r="138" ht="54" customHeight="1">
      <x:c r="A138" s="16" t="str">
        <x:v>en-6a335273a172</x:v>
      </x:c>
      <x:c r="B138" s="16" t="str">
        <x:v>en</x:v>
      </x:c>
      <x:c r="C138" s="16" t="str">
        <x:v>Brilliant Stars</x:v>
      </x:c>
      <x:c r="D138" s="16" t="str">
        <x:v>Brilliant Stars</x:v>
      </x:c>
      <x:c r="E138" s="16" t="str">
        <x:v>Sword &amp; Shield</x:v>
      </x:c>
      <x:c r="F138" s="16" t="str">
        <x:v>Card set / collection</x:v>
      </x:c>
      <x:c r="G138" s="16" t="str">
        <x:v>BRS</x:v>
      </x:c>
      <x:c r="H138" s="16" t="str">
        <x:v>Source abbreviation</x:v>
      </x:c>
      <x:c r="I138" s="16" t="str">
        <x:v>2022-02-25</x:v>
      </x:c>
      <x:c r="J138" s="16" t="str">
        <x:v>day</x:v>
      </x:c>
      <x:c r="K138" s="16" t="str">
        <x:v>International English; source default date</x:v>
      </x:c>
      <x:c r="L138" s="16" t="n">
        <x:v>172</x:v>
      </x:c>
      <x:c r="M138" s="16" t="n">
        <x:v>14</x:v>
      </x:c>
      <x:c r="N138" s="16" t="n">
        <x:v>30</x:v>
      </x:c>
      <x:c r="O138" s="16" t="n">
        <x:v>216</x:v>
      </x:c>
      <x:c r="P138" s="16" t="n">
        <x:v>216</x:v>
      </x:c>
      <x:c r="Q138" s="16"/>
      <x:c r="R138" s="16"/>
      <x:c r="S138" s="16" t="str"/>
      <x:c r="T138" s="16"/>
      <x:c r="U138" s="16" t="str">
        <x:v>NO — review only</x:v>
      </x:c>
    </x:row>
    <x:row r="139" ht="54" customHeight="1">
      <x:c r="A139" s="16" t="str">
        <x:v>en-e5998f2862b1</x:v>
      </x:c>
      <x:c r="B139" s="16" t="str">
        <x:v>en</x:v>
      </x:c>
      <x:c r="C139" s="16" t="str">
        <x:v>Astral Radiance</x:v>
      </x:c>
      <x:c r="D139" s="16" t="str">
        <x:v>Astral Radiance</x:v>
      </x:c>
      <x:c r="E139" s="16" t="str">
        <x:v>Sword &amp; Shield</x:v>
      </x:c>
      <x:c r="F139" s="16" t="str">
        <x:v>Card set / collection</x:v>
      </x:c>
      <x:c r="G139" s="16" t="str">
        <x:v>ASR</x:v>
      </x:c>
      <x:c r="H139" s="16" t="str">
        <x:v>Source abbreviation</x:v>
      </x:c>
      <x:c r="I139" s="16" t="str">
        <x:v>2022-05-27</x:v>
      </x:c>
      <x:c r="J139" s="16" t="str">
        <x:v>day</x:v>
      </x:c>
      <x:c r="K139" s="16" t="str">
        <x:v>International English; source default date</x:v>
      </x:c>
      <x:c r="L139" s="16" t="n">
        <x:v>189</x:v>
      </x:c>
      <x:c r="M139" s="16" t="n">
        <x:v>27</x:v>
      </x:c>
      <x:c r="N139" s="16" t="n">
        <x:v>30</x:v>
      </x:c>
      <x:c r="O139" s="16" t="n">
        <x:v>246</x:v>
      </x:c>
      <x:c r="P139" s="16" t="n">
        <x:v>246</x:v>
      </x:c>
      <x:c r="Q139" s="16"/>
      <x:c r="R139" s="16"/>
      <x:c r="S139" s="16" t="str"/>
      <x:c r="T139" s="16"/>
      <x:c r="U139" s="16" t="str">
        <x:v>NO — review only</x:v>
      </x:c>
    </x:row>
    <x:row r="140" ht="54" customHeight="1">
      <x:c r="A140" s="16" t="str">
        <x:v>en-7d9965a1af2f</x:v>
      </x:c>
      <x:c r="B140" s="16" t="str">
        <x:v>en</x:v>
      </x:c>
      <x:c r="C140" s="16" t="str">
        <x:v>Pokémon GO</x:v>
      </x:c>
      <x:c r="D140" s="16" t="str">
        <x:v>Pokémon GO</x:v>
      </x:c>
      <x:c r="E140" s="16" t="str">
        <x:v>Sword &amp; Shield</x:v>
      </x:c>
      <x:c r="F140" s="16" t="str">
        <x:v>Card set / collection</x:v>
      </x:c>
      <x:c r="G140" s="16" t="str">
        <x:v>PGO</x:v>
      </x:c>
      <x:c r="H140" s="16" t="str">
        <x:v>Source abbreviation</x:v>
      </x:c>
      <x:c r="I140" s="16" t="str">
        <x:v>2022-07-01</x:v>
      </x:c>
      <x:c r="J140" s="16" t="str">
        <x:v>day</x:v>
      </x:c>
      <x:c r="K140" s="16" t="str">
        <x:v>International English; source default date</x:v>
      </x:c>
      <x:c r="L140" s="16" t="n">
        <x:v>78</x:v>
      </x:c>
      <x:c r="M140" s="16" t="n">
        <x:v>10</x:v>
      </x:c>
      <x:c r="N140" s="16" t="n">
        <x:v>0</x:v>
      </x:c>
      <x:c r="O140" s="16" t="n">
        <x:v>88</x:v>
      </x:c>
      <x:c r="P140" s="16" t="n">
        <x:v>88</x:v>
      </x:c>
      <x:c r="Q140" s="16"/>
      <x:c r="R140" s="16"/>
      <x:c r="S140" s="16" t="str"/>
      <x:c r="T140" s="16"/>
      <x:c r="U140" s="16" t="str">
        <x:v>NO — review only</x:v>
      </x:c>
    </x:row>
    <x:row r="141" ht="54" customHeight="1">
      <x:c r="A141" s="16" t="str">
        <x:v>en-e10bc359ed58</x:v>
      </x:c>
      <x:c r="B141" s="16" t="str">
        <x:v>en</x:v>
      </x:c>
      <x:c r="C141" s="16" t="str">
        <x:v>McDonald's Collection 2022</x:v>
      </x:c>
      <x:c r="D141" s="16" t="str">
        <x:v>McDonald's Collection 2022</x:v>
      </x:c>
      <x:c r="E141" s="16" t="str">
        <x:v>McDonald's</x:v>
      </x:c>
      <x:c r="F141" s="16" t="str">
        <x:v>Promo catalogue</x:v>
      </x:c>
      <x:c r="G141" s="16" t="str">
        <x:v>M22</x:v>
      </x:c>
      <x:c r="H141" s="16" t="str">
        <x:v>Source abbreviation</x:v>
      </x:c>
      <x:c r="I141" s="16" t="str">
        <x:v>2022-08-03</x:v>
      </x:c>
      <x:c r="J141" s="16" t="str">
        <x:v>day</x:v>
      </x:c>
      <x:c r="K141" s="16" t="str">
        <x:v>International English; source default date</x:v>
      </x:c>
      <x:c r="L141" s="16" t="n">
        <x:v>15</x:v>
      </x:c>
      <x:c r="M141" s="16" t="n">
        <x:v>0</x:v>
      </x:c>
      <x:c r="N141" s="16" t="n">
        <x:v>0</x:v>
      </x:c>
      <x:c r="O141" s="16" t="n">
        <x:v>15</x:v>
      </x:c>
      <x:c r="P141" s="16" t="n">
        <x:v>15</x:v>
      </x:c>
      <x:c r="Q141" s="16"/>
      <x:c r="R141" s="16"/>
      <x:c r="S141" s="16" t="str"/>
      <x:c r="T141" s="16"/>
      <x:c r="U141" s="16" t="str">
        <x:v>NO — review only</x:v>
      </x:c>
    </x:row>
    <x:row r="142" ht="54" customHeight="1">
      <x:c r="A142" s="16" t="str">
        <x:v>en-3f3767d11463</x:v>
      </x:c>
      <x:c r="B142" s="16" t="str">
        <x:v>en</x:v>
      </x:c>
      <x:c r="C142" s="16" t="str">
        <x:v>Trick or Trade 2022</x:v>
      </x:c>
      <x:c r="D142" s="16" t="str">
        <x:v>Trick or Trade 2022</x:v>
      </x:c>
      <x:c r="E142" s="16" t="str">
        <x:v>Trick or Trade</x:v>
      </x:c>
      <x:c r="F142" s="16" t="str">
        <x:v>Promo catalogue</x:v>
      </x:c>
      <x:c r="G142" s="16" t="str">
        <x:v>TT22</x:v>
      </x:c>
      <x:c r="H142" s="16" t="str">
        <x:v>Source abbreviation</x:v>
      </x:c>
      <x:c r="I142" s="16" t="str">
        <x:v>2022-09-01</x:v>
      </x:c>
      <x:c r="J142" s="16" t="str">
        <x:v>day</x:v>
      </x:c>
      <x:c r="K142" s="16" t="str">
        <x:v>International English; source default date</x:v>
      </x:c>
      <x:c r="L142" s="16" t="n">
        <x:v>30</x:v>
      </x:c>
      <x:c r="M142" s="16" t="n">
        <x:v>0</x:v>
      </x:c>
      <x:c r="N142" s="16" t="n">
        <x:v>0</x:v>
      </x:c>
      <x:c r="O142" s="16" t="n">
        <x:v>30</x:v>
      </x:c>
      <x:c r="P142" s="16" t="n">
        <x:v>30</x:v>
      </x:c>
      <x:c r="Q142" s="16"/>
      <x:c r="R142" s="16"/>
      <x:c r="S142" s="16" t="str"/>
      <x:c r="T142" s="16"/>
      <x:c r="U142" s="16" t="str">
        <x:v>NO — review only</x:v>
      </x:c>
    </x:row>
    <x:row r="143" ht="54" customHeight="1">
      <x:c r="A143" s="16" t="str">
        <x:v>en-b7f9778c3458</x:v>
      </x:c>
      <x:c r="B143" s="16" t="str">
        <x:v>en</x:v>
      </x:c>
      <x:c r="C143" s="16" t="str">
        <x:v>Lost Origin</x:v>
      </x:c>
      <x:c r="D143" s="16" t="str">
        <x:v>Lost Origin</x:v>
      </x:c>
      <x:c r="E143" s="16" t="str">
        <x:v>Sword &amp; Shield</x:v>
      </x:c>
      <x:c r="F143" s="16" t="str">
        <x:v>Card set / collection</x:v>
      </x:c>
      <x:c r="G143" s="16" t="str">
        <x:v>LOR</x:v>
      </x:c>
      <x:c r="H143" s="16" t="str">
        <x:v>Source abbreviation</x:v>
      </x:c>
      <x:c r="I143" s="16" t="str">
        <x:v>2022-09-09</x:v>
      </x:c>
      <x:c r="J143" s="16" t="str">
        <x:v>day</x:v>
      </x:c>
      <x:c r="K143" s="16" t="str">
        <x:v>International English; source default date</x:v>
      </x:c>
      <x:c r="L143" s="16" t="n">
        <x:v>196</x:v>
      </x:c>
      <x:c r="M143" s="16" t="n">
        <x:v>21</x:v>
      </x:c>
      <x:c r="N143" s="16" t="n">
        <x:v>30</x:v>
      </x:c>
      <x:c r="O143" s="16" t="n">
        <x:v>247</x:v>
      </x:c>
      <x:c r="P143" s="16" t="n">
        <x:v>247</x:v>
      </x:c>
      <x:c r="Q143" s="16"/>
      <x:c r="R143" s="16"/>
      <x:c r="S143" s="16" t="str"/>
      <x:c r="T143" s="16"/>
      <x:c r="U143" s="16" t="str">
        <x:v>NO — review only</x:v>
      </x:c>
    </x:row>
    <x:row r="144" ht="54" customHeight="1">
      <x:c r="A144" s="16" t="str">
        <x:v>en-e10b0a22e149</x:v>
      </x:c>
      <x:c r="B144" s="16" t="str">
        <x:v>en</x:v>
      </x:c>
      <x:c r="C144" s="16" t="str">
        <x:v>Play! Pokémon Prize Pack Series One</x:v>
      </x:c>
      <x:c r="D144" s="16" t="str">
        <x:v>Play! Pokémon Prize Pack Series One</x:v>
      </x:c>
      <x:c r="E144" s="16" t="str">
        <x:v>Play! Pokémon</x:v>
      </x:c>
      <x:c r="F144" s="16" t="str">
        <x:v>Promo catalogue</x:v>
      </x:c>
      <x:c r="G144" s="16" t="str">
        <x:v>PPS1</x:v>
      </x:c>
      <x:c r="H144" s="16" t="str">
        <x:v>Source abbreviation</x:v>
      </x:c>
      <x:c r="I144" s="16" t="str">
        <x:v>2022-11-09</x:v>
      </x:c>
      <x:c r="J144" s="16" t="str">
        <x:v>day</x:v>
      </x:c>
      <x:c r="K144" s="16" t="str">
        <x:v>International English; source default date</x:v>
      </x:c>
      <x:c r="L144" s="16" t="n">
        <x:v>170</x:v>
      </x:c>
      <x:c r="M144" s="16" t="n">
        <x:v>0</x:v>
      </x:c>
      <x:c r="N144" s="16" t="n">
        <x:v>0</x:v>
      </x:c>
      <x:c r="O144" s="16" t="n">
        <x:v>170</x:v>
      </x:c>
      <x:c r="P144" s="16" t="n">
        <x:v>170</x:v>
      </x:c>
      <x:c r="Q144" s="16"/>
      <x:c r="R144" s="16"/>
      <x:c r="S144" s="16" t="str"/>
      <x:c r="T144" s="16"/>
      <x:c r="U144" s="16" t="str">
        <x:v>NO — review only</x:v>
      </x:c>
    </x:row>
    <x:row r="145" ht="54" customHeight="1">
      <x:c r="A145" s="16" t="str">
        <x:v>en-f753129c5e11</x:v>
      </x:c>
      <x:c r="B145" s="16" t="str">
        <x:v>en</x:v>
      </x:c>
      <x:c r="C145" s="16" t="str">
        <x:v>Silver Tempest</x:v>
      </x:c>
      <x:c r="D145" s="16" t="str">
        <x:v>Silver Tempest</x:v>
      </x:c>
      <x:c r="E145" s="16" t="str">
        <x:v>Sword &amp; Shield</x:v>
      </x:c>
      <x:c r="F145" s="16" t="str">
        <x:v>Card set / collection</x:v>
      </x:c>
      <x:c r="G145" s="16" t="str">
        <x:v>SIT</x:v>
      </x:c>
      <x:c r="H145" s="16" t="str">
        <x:v>Source abbreviation</x:v>
      </x:c>
      <x:c r="I145" s="16" t="str">
        <x:v>2022-11-11</x:v>
      </x:c>
      <x:c r="J145" s="16" t="str">
        <x:v>day</x:v>
      </x:c>
      <x:c r="K145" s="16" t="str">
        <x:v>International English; source default date</x:v>
      </x:c>
      <x:c r="L145" s="16" t="n">
        <x:v>195</x:v>
      </x:c>
      <x:c r="M145" s="16" t="n">
        <x:v>20</x:v>
      </x:c>
      <x:c r="N145" s="16" t="n">
        <x:v>30</x:v>
      </x:c>
      <x:c r="O145" s="16" t="n">
        <x:v>245</x:v>
      </x:c>
      <x:c r="P145" s="16" t="n">
        <x:v>245</x:v>
      </x:c>
      <x:c r="Q145" s="16"/>
      <x:c r="R145" s="16"/>
      <x:c r="S145" s="16" t="str"/>
      <x:c r="T145" s="16"/>
      <x:c r="U145" s="16" t="str">
        <x:v>NO — review only</x:v>
      </x:c>
    </x:row>
    <x:row r="146" ht="54" customHeight="1">
      <x:c r="A146" s="16" t="str">
        <x:v>en-30019a75acfd</x:v>
      </x:c>
      <x:c r="B146" s="16" t="str">
        <x:v>en</x:v>
      </x:c>
      <x:c r="C146" s="16" t="str">
        <x:v>SVP Black Star Promos</x:v>
      </x:c>
      <x:c r="D146" s="16" t="str">
        <x:v>SVP Black Star Promos</x:v>
      </x:c>
      <x:c r="E146" s="16" t="str">
        <x:v>Scarlet &amp; Violet</x:v>
      </x:c>
      <x:c r="F146" s="16" t="str">
        <x:v>Promo catalogue</x:v>
      </x:c>
      <x:c r="G146" s="16" t="str">
        <x:v>SVP</x:v>
      </x:c>
      <x:c r="H146" s="16" t="str">
        <x:v>Source abbreviation</x:v>
      </x:c>
      <x:c r="I146" s="16" t="str">
        <x:v>2023-01</x:v>
      </x:c>
      <x:c r="J146" s="16" t="str">
        <x:v>month</x:v>
      </x:c>
      <x:c r="K146" s="16" t="str">
        <x:v>International English; source default date</x:v>
      </x:c>
      <x:c r="L146" s="16"/>
      <x:c r="M146" s="16"/>
      <x:c r="N146" s="16"/>
      <x:c r="O146" s="16" t="n">
        <x:v>226</x:v>
      </x:c>
      <x:c r="P146" s="16" t="n">
        <x:v>226</x:v>
      </x:c>
      <x:c r="Q146" s="16"/>
      <x:c r="R146" s="16"/>
      <x:c r="S146" s="16" t="str">
        <x:v>numbered_total_provisional_snapshot</x:v>
      </x:c>
      <x:c r="T146" s="16" t="str">
        <x:v>https://bulbapedia.bulbagarden.net/wiki/SVP_Black_Star_Promos</x:v>
      </x:c>
      <x:c r="U146" s="16" t="str">
        <x:v>NO — review only</x:v>
      </x:c>
    </x:row>
    <x:row r="147" ht="54" customHeight="1">
      <x:c r="A147" s="16" t="str">
        <x:v>en-c42442301001</x:v>
      </x:c>
      <x:c r="B147" s="16" t="str">
        <x:v>en</x:v>
      </x:c>
      <x:c r="C147" s="16" t="str">
        <x:v>Play! Pokémon Prize Pack Series Two</x:v>
      </x:c>
      <x:c r="D147" s="16" t="str">
        <x:v>Play! Pokémon Prize Pack Series Two</x:v>
      </x:c>
      <x:c r="E147" s="16" t="str">
        <x:v>Play! Pokémon</x:v>
      </x:c>
      <x:c r="F147" s="16" t="str">
        <x:v>Promo catalogue</x:v>
      </x:c>
      <x:c r="G147" s="16" t="str">
        <x:v>PPS2</x:v>
      </x:c>
      <x:c r="H147" s="16" t="str">
        <x:v>Source abbreviation</x:v>
      </x:c>
      <x:c r="I147" s="16" t="str">
        <x:v>2023-01-19</x:v>
      </x:c>
      <x:c r="J147" s="16" t="str">
        <x:v>day</x:v>
      </x:c>
      <x:c r="K147" s="16" t="str">
        <x:v>International English; source default date</x:v>
      </x:c>
      <x:c r="L147" s="16" t="n">
        <x:v>154</x:v>
      </x:c>
      <x:c r="M147" s="16" t="n">
        <x:v>0</x:v>
      </x:c>
      <x:c r="N147" s="16" t="n">
        <x:v>0</x:v>
      </x:c>
      <x:c r="O147" s="16" t="n">
        <x:v>154</x:v>
      </x:c>
      <x:c r="P147" s="16" t="n">
        <x:v>154</x:v>
      </x:c>
      <x:c r="Q147" s="16"/>
      <x:c r="R147" s="16"/>
      <x:c r="S147" s="16" t="str"/>
      <x:c r="T147" s="16"/>
      <x:c r="U147" s="16" t="str">
        <x:v>NO — review only</x:v>
      </x:c>
    </x:row>
    <x:row r="148" ht="54" customHeight="1">
      <x:c r="A148" s="16" t="str">
        <x:v>en-1cb188ee356a</x:v>
      </x:c>
      <x:c r="B148" s="16" t="str">
        <x:v>en</x:v>
      </x:c>
      <x:c r="C148" s="16" t="str">
        <x:v>Crown Zenith</x:v>
      </x:c>
      <x:c r="D148" s="16" t="str">
        <x:v>Crown Zenith</x:v>
      </x:c>
      <x:c r="E148" s="16" t="str">
        <x:v>Sword &amp; Shield</x:v>
      </x:c>
      <x:c r="F148" s="16" t="str">
        <x:v>Card set / collection</x:v>
      </x:c>
      <x:c r="G148" s="16" t="str">
        <x:v>CRZ</x:v>
      </x:c>
      <x:c r="H148" s="16" t="str">
        <x:v>Source abbreviation</x:v>
      </x:c>
      <x:c r="I148" s="16" t="str">
        <x:v>2023-01-20</x:v>
      </x:c>
      <x:c r="J148" s="16" t="str">
        <x:v>day</x:v>
      </x:c>
      <x:c r="K148" s="16" t="str">
        <x:v>International English; source default date</x:v>
      </x:c>
      <x:c r="L148" s="16" t="n">
        <x:v>159</x:v>
      </x:c>
      <x:c r="M148" s="16" t="n">
        <x:v>1</x:v>
      </x:c>
      <x:c r="N148" s="16" t="n">
        <x:v>70</x:v>
      </x:c>
      <x:c r="O148" s="16" t="n">
        <x:v>230</x:v>
      </x:c>
      <x:c r="P148" s="16" t="n">
        <x:v>230</x:v>
      </x:c>
      <x:c r="Q148" s="16"/>
      <x:c r="R148" s="16"/>
      <x:c r="S148" s="16" t="str"/>
      <x:c r="T148" s="16"/>
      <x:c r="U148" s="16" t="str">
        <x:v>NO — review only</x:v>
      </x:c>
    </x:row>
    <x:row r="149" ht="54" customHeight="1">
      <x:c r="A149" s="16" t="str">
        <x:v>en-44b8071286c1</x:v>
      </x:c>
      <x:c r="B149" s="16" t="str">
        <x:v>en</x:v>
      </x:c>
      <x:c r="C149" s="16" t="str">
        <x:v>SVE Basic Energies</x:v>
      </x:c>
      <x:c r="D149" s="16" t="str">
        <x:v>SVE Basic Energies</x:v>
      </x:c>
      <x:c r="E149" s="16" t="str">
        <x:v>Scarlet &amp; Violet</x:v>
      </x:c>
      <x:c r="F149" s="16" t="str">
        <x:v>Card set / collection</x:v>
      </x:c>
      <x:c r="G149" s="16" t="str">
        <x:v>SVE</x:v>
      </x:c>
      <x:c r="H149" s="16" t="str">
        <x:v>Source abbreviation</x:v>
      </x:c>
      <x:c r="I149" s="16" t="str">
        <x:v>2023-03-31</x:v>
      </x:c>
      <x:c r="J149" s="16" t="str">
        <x:v>day</x:v>
      </x:c>
      <x:c r="K149" s="16" t="str">
        <x:v>International English; source default date</x:v>
      </x:c>
      <x:c r="L149" s="16" t="n">
        <x:v>24</x:v>
      </x:c>
      <x:c r="M149" s="16" t="n">
        <x:v>0</x:v>
      </x:c>
      <x:c r="N149" s="16" t="n">
        <x:v>0</x:v>
      </x:c>
      <x:c r="O149" s="16" t="n">
        <x:v>24</x:v>
      </x:c>
      <x:c r="P149" s="16" t="n">
        <x:v>24</x:v>
      </x:c>
      <x:c r="Q149" s="16"/>
      <x:c r="R149" s="16"/>
      <x:c r="S149" s="16" t="str"/>
      <x:c r="T149" s="16"/>
      <x:c r="U149" s="16" t="str">
        <x:v>NO — review only</x:v>
      </x:c>
    </x:row>
    <x:row r="150" ht="54" customHeight="1">
      <x:c r="A150" s="16" t="str">
        <x:v>en-ddfbd6b63b20</x:v>
      </x:c>
      <x:c r="B150" s="16" t="str">
        <x:v>en</x:v>
      </x:c>
      <x:c r="C150" s="16" t="str">
        <x:v>Scarlet &amp; Violet</x:v>
      </x:c>
      <x:c r="D150" s="16" t="str">
        <x:v>Scarlet &amp; Violet</x:v>
      </x:c>
      <x:c r="E150" s="16" t="str">
        <x:v>Scarlet &amp; Violet</x:v>
      </x:c>
      <x:c r="F150" s="16" t="str">
        <x:v>Card set / collection</x:v>
      </x:c>
      <x:c r="G150" s="16" t="str">
        <x:v>SVI</x:v>
      </x:c>
      <x:c r="H150" s="16" t="str">
        <x:v>Source abbreviation</x:v>
      </x:c>
      <x:c r="I150" s="16" t="str">
        <x:v>2023-03-31</x:v>
      </x:c>
      <x:c r="J150" s="16" t="str">
        <x:v>day</x:v>
      </x:c>
      <x:c r="K150" s="16" t="str">
        <x:v>International English; source default date</x:v>
      </x:c>
      <x:c r="L150" s="16" t="n">
        <x:v>198</x:v>
      </x:c>
      <x:c r="M150" s="16" t="n">
        <x:v>60</x:v>
      </x:c>
      <x:c r="N150" s="16" t="n">
        <x:v>0</x:v>
      </x:c>
      <x:c r="O150" s="16" t="n">
        <x:v>258</x:v>
      </x:c>
      <x:c r="P150" s="16" t="n">
        <x:v>258</x:v>
      </x:c>
      <x:c r="Q150" s="16"/>
      <x:c r="R150" s="16"/>
      <x:c r="S150" s="16" t="str"/>
      <x:c r="T150" s="16"/>
      <x:c r="U150" s="16" t="str">
        <x:v>NO — review only</x:v>
      </x:c>
    </x:row>
    <x:row r="151" ht="54" customHeight="1">
      <x:c r="A151" s="16" t="str">
        <x:v>en-9dda3ec7c416</x:v>
      </x:c>
      <x:c r="B151" s="16" t="str">
        <x:v>en</x:v>
      </x:c>
      <x:c r="C151" s="16" t="str">
        <x:v>Paldea Evolved</x:v>
      </x:c>
      <x:c r="D151" s="16" t="str">
        <x:v>Paldea Evolved</x:v>
      </x:c>
      <x:c r="E151" s="16" t="str">
        <x:v>Scarlet &amp; Violet</x:v>
      </x:c>
      <x:c r="F151" s="16" t="str">
        <x:v>Card set / collection</x:v>
      </x:c>
      <x:c r="G151" s="16" t="str">
        <x:v>PAL</x:v>
      </x:c>
      <x:c r="H151" s="16" t="str">
        <x:v>Source abbreviation</x:v>
      </x:c>
      <x:c r="I151" s="16" t="str">
        <x:v>2023-06-09</x:v>
      </x:c>
      <x:c r="J151" s="16" t="str">
        <x:v>day</x:v>
      </x:c>
      <x:c r="K151" s="16" t="str">
        <x:v>International English; source default date</x:v>
      </x:c>
      <x:c r="L151" s="16" t="n">
        <x:v>193</x:v>
      </x:c>
      <x:c r="M151" s="16" t="n">
        <x:v>86</x:v>
      </x:c>
      <x:c r="N151" s="16" t="n">
        <x:v>0</x:v>
      </x:c>
      <x:c r="O151" s="16" t="n">
        <x:v>279</x:v>
      </x:c>
      <x:c r="P151" s="16" t="n">
        <x:v>279</x:v>
      </x:c>
      <x:c r="Q151" s="16"/>
      <x:c r="R151" s="16"/>
      <x:c r="S151" s="16" t="str"/>
      <x:c r="T151" s="16"/>
      <x:c r="U151" s="16" t="str">
        <x:v>NO — review only</x:v>
      </x:c>
    </x:row>
    <x:row r="152" ht="54" customHeight="1">
      <x:c r="A152" s="16" t="str">
        <x:v>en-0a95a524f39c</x:v>
      </x:c>
      <x:c r="B152" s="16" t="str">
        <x:v>en</x:v>
      </x:c>
      <x:c r="C152" s="16" t="str">
        <x:v>McDonald's Collection 2023</x:v>
      </x:c>
      <x:c r="D152" s="16" t="str">
        <x:v>McDonald's Collection 2023</x:v>
      </x:c>
      <x:c r="E152" s="16" t="str">
        <x:v>McDonald's</x:v>
      </x:c>
      <x:c r="F152" s="16" t="str">
        <x:v>Promo catalogue</x:v>
      </x:c>
      <x:c r="G152" s="16" t="str">
        <x:v>M23</x:v>
      </x:c>
      <x:c r="H152" s="16" t="str">
        <x:v>Source abbreviation</x:v>
      </x:c>
      <x:c r="I152" s="16" t="str">
        <x:v>2023-07-27</x:v>
      </x:c>
      <x:c r="J152" s="16" t="str">
        <x:v>day</x:v>
      </x:c>
      <x:c r="K152" s="16" t="str">
        <x:v>International English; source default date</x:v>
      </x:c>
      <x:c r="L152" s="16" t="n">
        <x:v>15</x:v>
      </x:c>
      <x:c r="M152" s="16" t="n">
        <x:v>0</x:v>
      </x:c>
      <x:c r="N152" s="16" t="n">
        <x:v>0</x:v>
      </x:c>
      <x:c r="O152" s="16" t="n">
        <x:v>15</x:v>
      </x:c>
      <x:c r="P152" s="16" t="n">
        <x:v>15</x:v>
      </x:c>
      <x:c r="Q152" s="16"/>
      <x:c r="R152" s="16"/>
      <x:c r="S152" s="16" t="str"/>
      <x:c r="T152" s="16"/>
      <x:c r="U152" s="16" t="str">
        <x:v>NO — review only</x:v>
      </x:c>
    </x:row>
    <x:row r="153" ht="54" customHeight="1">
      <x:c r="A153" s="16" t="str">
        <x:v>en-9d4845056c98</x:v>
      </x:c>
      <x:c r="B153" s="16" t="str">
        <x:v>en</x:v>
      </x:c>
      <x:c r="C153" s="16" t="str">
        <x:v>Obsidian Flames</x:v>
      </x:c>
      <x:c r="D153" s="16" t="str">
        <x:v>Obsidian Flames</x:v>
      </x:c>
      <x:c r="E153" s="16" t="str">
        <x:v>Scarlet &amp; Violet</x:v>
      </x:c>
      <x:c r="F153" s="16" t="str">
        <x:v>Card set / collection</x:v>
      </x:c>
      <x:c r="G153" s="16" t="str">
        <x:v>OBF</x:v>
      </x:c>
      <x:c r="H153" s="16" t="str">
        <x:v>Source abbreviation</x:v>
      </x:c>
      <x:c r="I153" s="16" t="str">
        <x:v>2023-08-11</x:v>
      </x:c>
      <x:c r="J153" s="16" t="str">
        <x:v>day</x:v>
      </x:c>
      <x:c r="K153" s="16" t="str">
        <x:v>International English; source default date</x:v>
      </x:c>
      <x:c r="L153" s="16" t="n">
        <x:v>197</x:v>
      </x:c>
      <x:c r="M153" s="16" t="n">
        <x:v>33</x:v>
      </x:c>
      <x:c r="N153" s="16" t="n">
        <x:v>0</x:v>
      </x:c>
      <x:c r="O153" s="16" t="n">
        <x:v>230</x:v>
      </x:c>
      <x:c r="P153" s="16" t="n">
        <x:v>230</x:v>
      </x:c>
      <x:c r="Q153" s="16"/>
      <x:c r="R153" s="16"/>
      <x:c r="S153" s="16" t="str"/>
      <x:c r="T153" s="16"/>
      <x:c r="U153" s="16" t="str">
        <x:v>NO — review only</x:v>
      </x:c>
    </x:row>
    <x:row r="154" ht="54" customHeight="1">
      <x:c r="A154" s="16" t="str">
        <x:v>en-83f78934a517</x:v>
      </x:c>
      <x:c r="B154" s="16" t="str">
        <x:v>en</x:v>
      </x:c>
      <x:c r="C154" s="16" t="str">
        <x:v>Play! Pokémon Prize Pack Series Three</x:v>
      </x:c>
      <x:c r="D154" s="16" t="str">
        <x:v>Play! Pokémon Prize Pack Series Three</x:v>
      </x:c>
      <x:c r="E154" s="16" t="str">
        <x:v>Play! Pokémon</x:v>
      </x:c>
      <x:c r="F154" s="16" t="str">
        <x:v>Promo catalogue</x:v>
      </x:c>
      <x:c r="G154" s="16" t="str">
        <x:v>PPS3</x:v>
      </x:c>
      <x:c r="H154" s="16" t="str">
        <x:v>Source abbreviation</x:v>
      </x:c>
      <x:c r="I154" s="16" t="str">
        <x:v>2023-08-14</x:v>
      </x:c>
      <x:c r="J154" s="16" t="str">
        <x:v>day</x:v>
      </x:c>
      <x:c r="K154" s="16" t="str">
        <x:v>International English; source default date</x:v>
      </x:c>
      <x:c r="L154" s="16" t="n">
        <x:v>163</x:v>
      </x:c>
      <x:c r="M154" s="16" t="n">
        <x:v>0</x:v>
      </x:c>
      <x:c r="N154" s="16" t="n">
        <x:v>0</x:v>
      </x:c>
      <x:c r="O154" s="16" t="n">
        <x:v>163</x:v>
      </x:c>
      <x:c r="P154" s="16" t="n">
        <x:v>163</x:v>
      </x:c>
      <x:c r="Q154" s="16"/>
      <x:c r="R154" s="16"/>
      <x:c r="S154" s="16" t="str"/>
      <x:c r="T154" s="16"/>
      <x:c r="U154" s="16" t="str">
        <x:v>NO — review only</x:v>
      </x:c>
    </x:row>
    <x:row r="155" ht="54" customHeight="1">
      <x:c r="A155" s="16" t="str">
        <x:v>en-2ce37163524d</x:v>
      </x:c>
      <x:c r="B155" s="16" t="str">
        <x:v>en</x:v>
      </x:c>
      <x:c r="C155" s="16" t="str">
        <x:v>Trick or Trade 2023</x:v>
      </x:c>
      <x:c r="D155" s="16" t="str">
        <x:v>Trick or Trade 2023</x:v>
      </x:c>
      <x:c r="E155" s="16" t="str">
        <x:v>Trick or Trade</x:v>
      </x:c>
      <x:c r="F155" s="16" t="str">
        <x:v>Promo catalogue</x:v>
      </x:c>
      <x:c r="G155" s="16" t="str">
        <x:v>TT23</x:v>
      </x:c>
      <x:c r="H155" s="16" t="str">
        <x:v>Source abbreviation</x:v>
      </x:c>
      <x:c r="I155" s="16" t="str">
        <x:v>2023-09-01</x:v>
      </x:c>
      <x:c r="J155" s="16" t="str">
        <x:v>day</x:v>
      </x:c>
      <x:c r="K155" s="16" t="str">
        <x:v>International English; source default date</x:v>
      </x:c>
      <x:c r="L155" s="16" t="n">
        <x:v>30</x:v>
      </x:c>
      <x:c r="M155" s="16" t="n">
        <x:v>0</x:v>
      </x:c>
      <x:c r="N155" s="16" t="n">
        <x:v>0</x:v>
      </x:c>
      <x:c r="O155" s="16" t="n">
        <x:v>30</x:v>
      </x:c>
      <x:c r="P155" s="16" t="n">
        <x:v>30</x:v>
      </x:c>
      <x:c r="Q155" s="16"/>
      <x:c r="R155" s="16"/>
      <x:c r="S155" s="16" t="str"/>
      <x:c r="T155" s="16"/>
      <x:c r="U155" s="16" t="str">
        <x:v>NO — review only</x:v>
      </x:c>
    </x:row>
    <x:row r="156" ht="54" customHeight="1">
      <x:c r="A156" s="16" t="str">
        <x:v>en-c7c12c0f937d</x:v>
      </x:c>
      <x:c r="B156" s="16" t="str">
        <x:v>en</x:v>
      </x:c>
      <x:c r="C156" s="16" t="str">
        <x:v>151</x:v>
      </x:c>
      <x:c r="D156" s="16" t="str">
        <x:v>151</x:v>
      </x:c>
      <x:c r="E156" s="16" t="str">
        <x:v>Scarlet &amp; Violet</x:v>
      </x:c>
      <x:c r="F156" s="16" t="str">
        <x:v>Card set / collection</x:v>
      </x:c>
      <x:c r="G156" s="16" t="str">
        <x:v>MEW</x:v>
      </x:c>
      <x:c r="H156" s="16" t="str">
        <x:v>Source abbreviation</x:v>
      </x:c>
      <x:c r="I156" s="16" t="str">
        <x:v>2023-09-22</x:v>
      </x:c>
      <x:c r="J156" s="16" t="str">
        <x:v>day</x:v>
      </x:c>
      <x:c r="K156" s="16" t="str">
        <x:v>International English; source default date</x:v>
      </x:c>
      <x:c r="L156" s="16" t="n">
        <x:v>165</x:v>
      </x:c>
      <x:c r="M156" s="16" t="n">
        <x:v>42</x:v>
      </x:c>
      <x:c r="N156" s="16" t="n">
        <x:v>0</x:v>
      </x:c>
      <x:c r="O156" s="16" t="n">
        <x:v>207</x:v>
      </x:c>
      <x:c r="P156" s="16" t="n">
        <x:v>207</x:v>
      </x:c>
      <x:c r="Q156" s="16"/>
      <x:c r="R156" s="16"/>
      <x:c r="S156" s="16" t="str"/>
      <x:c r="T156" s="16"/>
      <x:c r="U156" s="16" t="str">
        <x:v>NO — review only</x:v>
      </x:c>
    </x:row>
    <x:row r="157" ht="54" customHeight="1">
      <x:c r="A157" s="16" t="str">
        <x:v>en-302cbdce5dc6</x:v>
      </x:c>
      <x:c r="B157" s="16" t="str">
        <x:v>en</x:v>
      </x:c>
      <x:c r="C157" s="16" t="str">
        <x:v>Paradox Rift</x:v>
      </x:c>
      <x:c r="D157" s="16" t="str">
        <x:v>Paradox Rift</x:v>
      </x:c>
      <x:c r="E157" s="16" t="str">
        <x:v>Scarlet &amp; Violet</x:v>
      </x:c>
      <x:c r="F157" s="16" t="str">
        <x:v>Card set / collection</x:v>
      </x:c>
      <x:c r="G157" s="16" t="str">
        <x:v>PAR</x:v>
      </x:c>
      <x:c r="H157" s="16" t="str">
        <x:v>Source abbreviation</x:v>
      </x:c>
      <x:c r="I157" s="16" t="str">
        <x:v>2023-11-03</x:v>
      </x:c>
      <x:c r="J157" s="16" t="str">
        <x:v>day</x:v>
      </x:c>
      <x:c r="K157" s="16" t="str">
        <x:v>International English; source default date</x:v>
      </x:c>
      <x:c r="L157" s="16" t="n">
        <x:v>182</x:v>
      </x:c>
      <x:c r="M157" s="16" t="n">
        <x:v>84</x:v>
      </x:c>
      <x:c r="N157" s="16" t="n">
        <x:v>0</x:v>
      </x:c>
      <x:c r="O157" s="16" t="n">
        <x:v>266</x:v>
      </x:c>
      <x:c r="P157" s="16" t="n">
        <x:v>266</x:v>
      </x:c>
      <x:c r="Q157" s="16"/>
      <x:c r="R157" s="16"/>
      <x:c r="S157" s="16" t="str"/>
      <x:c r="T157" s="16"/>
      <x:c r="U157" s="16" t="str">
        <x:v>NO — review only</x:v>
      </x:c>
    </x:row>
    <x:row r="158" ht="54" customHeight="1">
      <x:c r="A158" s="16" t="str">
        <x:v>en-479847d5d9d5</x:v>
      </x:c>
      <x:c r="B158" s="16" t="str">
        <x:v>en</x:v>
      </x:c>
      <x:c r="C158" s="16" t="str">
        <x:v>Pokémon Trading Card Game Classic</x:v>
      </x:c>
      <x:c r="D158" s="16" t="str">
        <x:v>Pokémon Trading Card Game Classic</x:v>
      </x:c>
      <x:c r="E158" s="16" t="str">
        <x:v>Miscellaneous</x:v>
      </x:c>
      <x:c r="F158" s="16" t="str">
        <x:v>Card set / collection</x:v>
      </x:c>
      <x:c r="G158" s="16" t="str">
        <x:v>PTCGC</x:v>
      </x:c>
      <x:c r="H158" s="16" t="str">
        <x:v>Stackr canonical internal alias for Pokémon Trading Card Game Classic; avoids same-language collision with Call of Legends (CL).</x:v>
      </x:c>
      <x:c r="I158" s="16" t="str">
        <x:v>2023-11-17</x:v>
      </x:c>
      <x:c r="J158" s="16" t="str">
        <x:v>day</x:v>
      </x:c>
      <x:c r="K158" s="16" t="str">
        <x:v>International English; source default date</x:v>
      </x:c>
      <x:c r="L158" s="16" t="n">
        <x:v>102</x:v>
      </x:c>
      <x:c r="M158" s="16" t="n">
        <x:v>0</x:v>
      </x:c>
      <x:c r="N158" s="16" t="n">
        <x:v>0</x:v>
      </x:c>
      <x:c r="O158" s="16" t="n">
        <x:v>102</x:v>
      </x:c>
      <x:c r="P158" s="16" t="n">
        <x:v>102</x:v>
      </x:c>
      <x:c r="Q158" s="16"/>
      <x:c r="R158" s="16"/>
      <x:c r="S158" s="16" t="str"/>
      <x:c r="T158" s="16"/>
      <x:c r="U158" s="16" t="str">
        <x:v>NO — review only</x:v>
      </x:c>
    </x:row>
    <x:row r="159" ht="54" customHeight="1">
      <x:c r="A159" s="16" t="str">
        <x:v>en-5922e3c676f6</x:v>
      </x:c>
      <x:c r="B159" s="16" t="str">
        <x:v>en</x:v>
      </x:c>
      <x:c r="C159" s="16" t="str">
        <x:v>Paldean Fates</x:v>
      </x:c>
      <x:c r="D159" s="16" t="str">
        <x:v>Paldean Fates</x:v>
      </x:c>
      <x:c r="E159" s="16" t="str">
        <x:v>Scarlet &amp; Violet</x:v>
      </x:c>
      <x:c r="F159" s="16" t="str">
        <x:v>Card set / collection</x:v>
      </x:c>
      <x:c r="G159" s="16" t="str">
        <x:v>PAF</x:v>
      </x:c>
      <x:c r="H159" s="16" t="str">
        <x:v>Source abbreviation</x:v>
      </x:c>
      <x:c r="I159" s="16" t="str">
        <x:v>2024-01-26</x:v>
      </x:c>
      <x:c r="J159" s="16" t="str">
        <x:v>day</x:v>
      </x:c>
      <x:c r="K159" s="16" t="str">
        <x:v>International English; source default date</x:v>
      </x:c>
      <x:c r="L159" s="16" t="n">
        <x:v>91</x:v>
      </x:c>
      <x:c r="M159" s="16" t="n">
        <x:v>154</x:v>
      </x:c>
      <x:c r="N159" s="16" t="n">
        <x:v>0</x:v>
      </x:c>
      <x:c r="O159" s="16" t="n">
        <x:v>245</x:v>
      </x:c>
      <x:c r="P159" s="16" t="n">
        <x:v>245</x:v>
      </x:c>
      <x:c r="Q159" s="16"/>
      <x:c r="R159" s="16"/>
      <x:c r="S159" s="16" t="str"/>
      <x:c r="T159" s="16"/>
      <x:c r="U159" s="16" t="str">
        <x:v>NO — review only</x:v>
      </x:c>
    </x:row>
    <x:row r="160" ht="54" customHeight="1">
      <x:c r="A160" s="16" t="str">
        <x:v>en-2b8243fd6d64</x:v>
      </x:c>
      <x:c r="B160" s="16" t="str">
        <x:v>en</x:v>
      </x:c>
      <x:c r="C160" s="16" t="str">
        <x:v>Play! Pokémon Prize Pack Series Four</x:v>
      </x:c>
      <x:c r="D160" s="16" t="str">
        <x:v>Play! Pokémon Prize Pack Series Four</x:v>
      </x:c>
      <x:c r="E160" s="16" t="str">
        <x:v>Play! Pokémon</x:v>
      </x:c>
      <x:c r="F160" s="16" t="str">
        <x:v>Promo catalogue</x:v>
      </x:c>
      <x:c r="G160" s="16" t="str">
        <x:v>PPS4</x:v>
      </x:c>
      <x:c r="H160" s="16" t="str">
        <x:v>Source abbreviation</x:v>
      </x:c>
      <x:c r="I160" s="16" t="str">
        <x:v>2024-02-14</x:v>
      </x:c>
      <x:c r="J160" s="16" t="str">
        <x:v>day</x:v>
      </x:c>
      <x:c r="K160" s="16" t="str">
        <x:v>International English; source default date</x:v>
      </x:c>
      <x:c r="L160" s="16" t="n">
        <x:v>86</x:v>
      </x:c>
      <x:c r="M160" s="16" t="n">
        <x:v>0</x:v>
      </x:c>
      <x:c r="N160" s="16" t="n">
        <x:v>0</x:v>
      </x:c>
      <x:c r="O160" s="16" t="n">
        <x:v>86</x:v>
      </x:c>
      <x:c r="P160" s="16" t="n">
        <x:v>86</x:v>
      </x:c>
      <x:c r="Q160" s="16"/>
      <x:c r="R160" s="16"/>
      <x:c r="S160" s="16" t="str"/>
      <x:c r="T160" s="16"/>
      <x:c r="U160" s="16" t="str">
        <x:v>NO — review only</x:v>
      </x:c>
    </x:row>
    <x:row r="161" ht="54" customHeight="1">
      <x:c r="A161" s="16" t="str">
        <x:v>en-e482d4044311</x:v>
      </x:c>
      <x:c r="B161" s="16" t="str">
        <x:v>en</x:v>
      </x:c>
      <x:c r="C161" s="16" t="str">
        <x:v>Temporal Forces</x:v>
      </x:c>
      <x:c r="D161" s="16" t="str">
        <x:v>Temporal Forces</x:v>
      </x:c>
      <x:c r="E161" s="16" t="str">
        <x:v>Scarlet &amp; Violet</x:v>
      </x:c>
      <x:c r="F161" s="16" t="str">
        <x:v>Card set / collection</x:v>
      </x:c>
      <x:c r="G161" s="16" t="str">
        <x:v>TEF</x:v>
      </x:c>
      <x:c r="H161" s="16" t="str">
        <x:v>Source abbreviation</x:v>
      </x:c>
      <x:c r="I161" s="16" t="str">
        <x:v>2024-03-22</x:v>
      </x:c>
      <x:c r="J161" s="16" t="str">
        <x:v>day</x:v>
      </x:c>
      <x:c r="K161" s="16" t="str">
        <x:v>International English; source default date</x:v>
      </x:c>
      <x:c r="L161" s="16" t="n">
        <x:v>162</x:v>
      </x:c>
      <x:c r="M161" s="16" t="n">
        <x:v>56</x:v>
      </x:c>
      <x:c r="N161" s="16" t="n">
        <x:v>0</x:v>
      </x:c>
      <x:c r="O161" s="16" t="n">
        <x:v>218</x:v>
      </x:c>
      <x:c r="P161" s="16" t="n">
        <x:v>218</x:v>
      </x:c>
      <x:c r="Q161" s="16"/>
      <x:c r="R161" s="16"/>
      <x:c r="S161" s="16" t="str"/>
      <x:c r="T161" s="16"/>
      <x:c r="U161" s="16" t="str">
        <x:v>NO — review only</x:v>
      </x:c>
    </x:row>
    <x:row r="162" ht="54" customHeight="1">
      <x:c r="A162" s="16" t="str">
        <x:v>en-7986d416b69e</x:v>
      </x:c>
      <x:c r="B162" s="16" t="str">
        <x:v>en</x:v>
      </x:c>
      <x:c r="C162" s="16" t="str">
        <x:v>Twilight Masquerade</x:v>
      </x:c>
      <x:c r="D162" s="16" t="str">
        <x:v>Twilight Masquerade</x:v>
      </x:c>
      <x:c r="E162" s="16" t="str">
        <x:v>Scarlet &amp; Violet</x:v>
      </x:c>
      <x:c r="F162" s="16" t="str">
        <x:v>Card set / collection</x:v>
      </x:c>
      <x:c r="G162" s="16" t="str">
        <x:v>TWM</x:v>
      </x:c>
      <x:c r="H162" s="16" t="str">
        <x:v>Source abbreviation</x:v>
      </x:c>
      <x:c r="I162" s="16" t="str">
        <x:v>2024-05-24</x:v>
      </x:c>
      <x:c r="J162" s="16" t="str">
        <x:v>day</x:v>
      </x:c>
      <x:c r="K162" s="16" t="str">
        <x:v>International English; source default date</x:v>
      </x:c>
      <x:c r="L162" s="16" t="n">
        <x:v>167</x:v>
      </x:c>
      <x:c r="M162" s="16" t="n">
        <x:v>59</x:v>
      </x:c>
      <x:c r="N162" s="16" t="n">
        <x:v>0</x:v>
      </x:c>
      <x:c r="O162" s="16" t="n">
        <x:v>226</x:v>
      </x:c>
      <x:c r="P162" s="16" t="n">
        <x:v>226</x:v>
      </x:c>
      <x:c r="Q162" s="16"/>
      <x:c r="R162" s="16"/>
      <x:c r="S162" s="16" t="str"/>
      <x:c r="T162" s="16"/>
      <x:c r="U162" s="16" t="str">
        <x:v>NO — review only</x:v>
      </x:c>
    </x:row>
    <x:row r="163" ht="54" customHeight="1">
      <x:c r="A163" s="16" t="str">
        <x:v>en-e1fef072b77d</x:v>
      </x:c>
      <x:c r="B163" s="16" t="str">
        <x:v>en</x:v>
      </x:c>
      <x:c r="C163" s="16" t="str">
        <x:v>Shrouded Fable</x:v>
      </x:c>
      <x:c r="D163" s="16" t="str">
        <x:v>Shrouded Fable</x:v>
      </x:c>
      <x:c r="E163" s="16" t="str">
        <x:v>Scarlet &amp; Violet</x:v>
      </x:c>
      <x:c r="F163" s="16" t="str">
        <x:v>Card set / collection</x:v>
      </x:c>
      <x:c r="G163" s="16" t="str">
        <x:v>SFA</x:v>
      </x:c>
      <x:c r="H163" s="16" t="str">
        <x:v>Source abbreviation</x:v>
      </x:c>
      <x:c r="I163" s="16" t="str">
        <x:v>2024-08-02</x:v>
      </x:c>
      <x:c r="J163" s="16" t="str">
        <x:v>day</x:v>
      </x:c>
      <x:c r="K163" s="16" t="str">
        <x:v>International English; source default date</x:v>
      </x:c>
      <x:c r="L163" s="16" t="n">
        <x:v>64</x:v>
      </x:c>
      <x:c r="M163" s="16" t="n">
        <x:v>35</x:v>
      </x:c>
      <x:c r="N163" s="16" t="n">
        <x:v>0</x:v>
      </x:c>
      <x:c r="O163" s="16" t="n">
        <x:v>99</x:v>
      </x:c>
      <x:c r="P163" s="16" t="n">
        <x:v>99</x:v>
      </x:c>
      <x:c r="Q163" s="16"/>
      <x:c r="R163" s="16"/>
      <x:c r="S163" s="16" t="str"/>
      <x:c r="T163" s="16"/>
      <x:c r="U163" s="16" t="str">
        <x:v>NO — review only</x:v>
      </x:c>
    </x:row>
    <x:row r="164" ht="54" customHeight="1">
      <x:c r="A164" s="16" t="str">
        <x:v>en-a1202513aacb</x:v>
      </x:c>
      <x:c r="B164" s="16" t="str">
        <x:v>en</x:v>
      </x:c>
      <x:c r="C164" s="16" t="str">
        <x:v>Play! Pokémon Prize Pack Series Five</x:v>
      </x:c>
      <x:c r="D164" s="16" t="str">
        <x:v>Play! Pokémon Prize Pack Series Five</x:v>
      </x:c>
      <x:c r="E164" s="16" t="str">
        <x:v>Play! Pokémon</x:v>
      </x:c>
      <x:c r="F164" s="16" t="str">
        <x:v>Promo catalogue</x:v>
      </x:c>
      <x:c r="G164" s="16" t="str">
        <x:v>PPS5</x:v>
      </x:c>
      <x:c r="H164" s="16" t="str">
        <x:v>Source abbreviation</x:v>
      </x:c>
      <x:c r="I164" s="16" t="str">
        <x:v>2024-08-14</x:v>
      </x:c>
      <x:c r="J164" s="16" t="str">
        <x:v>day</x:v>
      </x:c>
      <x:c r="K164" s="16" t="str">
        <x:v>International English; source default date</x:v>
      </x:c>
      <x:c r="L164" s="16" t="n">
        <x:v>86</x:v>
      </x:c>
      <x:c r="M164" s="16" t="n">
        <x:v>0</x:v>
      </x:c>
      <x:c r="N164" s="16" t="n">
        <x:v>0</x:v>
      </x:c>
      <x:c r="O164" s="16" t="n">
        <x:v>86</x:v>
      </x:c>
      <x:c r="P164" s="16" t="n">
        <x:v>86</x:v>
      </x:c>
      <x:c r="Q164" s="16"/>
      <x:c r="R164" s="16"/>
      <x:c r="S164" s="16" t="str"/>
      <x:c r="T164" s="16"/>
      <x:c r="U164" s="16" t="str">
        <x:v>NO — review only</x:v>
      </x:c>
    </x:row>
    <x:row r="165" ht="54" customHeight="1">
      <x:c r="A165" s="16" t="str">
        <x:v>en-df740e99a92d</x:v>
      </x:c>
      <x:c r="B165" s="16" t="str">
        <x:v>en</x:v>
      </x:c>
      <x:c r="C165" s="16" t="str">
        <x:v>Trick or Trade 2024</x:v>
      </x:c>
      <x:c r="D165" s="16" t="str">
        <x:v>Trick or Trade 2024</x:v>
      </x:c>
      <x:c r="E165" s="16" t="str">
        <x:v>Trick or Trade</x:v>
      </x:c>
      <x:c r="F165" s="16" t="str">
        <x:v>Promo catalogue</x:v>
      </x:c>
      <x:c r="G165" s="16" t="str">
        <x:v>TT24</x:v>
      </x:c>
      <x:c r="H165" s="16" t="str">
        <x:v>Source abbreviation</x:v>
      </x:c>
      <x:c r="I165" s="16" t="str">
        <x:v>2024-08-30</x:v>
      </x:c>
      <x:c r="J165" s="16" t="str">
        <x:v>day</x:v>
      </x:c>
      <x:c r="K165" s="16" t="str">
        <x:v>International English; source default date</x:v>
      </x:c>
      <x:c r="L165" s="16" t="n">
        <x:v>30</x:v>
      </x:c>
      <x:c r="M165" s="16" t="n">
        <x:v>0</x:v>
      </x:c>
      <x:c r="N165" s="16" t="n">
        <x:v>0</x:v>
      </x:c>
      <x:c r="O165" s="16" t="n">
        <x:v>30</x:v>
      </x:c>
      <x:c r="P165" s="16" t="n">
        <x:v>30</x:v>
      </x:c>
      <x:c r="Q165" s="16"/>
      <x:c r="R165" s="16"/>
      <x:c r="S165" s="16" t="str"/>
      <x:c r="T165" s="16"/>
      <x:c r="U165" s="16" t="str">
        <x:v>NO — review only</x:v>
      </x:c>
    </x:row>
    <x:row r="166" ht="54" customHeight="1">
      <x:c r="A166" s="16" t="str">
        <x:v>en-b8ef2c909f1e</x:v>
      </x:c>
      <x:c r="B166" s="16" t="str">
        <x:v>en</x:v>
      </x:c>
      <x:c r="C166" s="16" t="str">
        <x:v>Stellar Crown</x:v>
      </x:c>
      <x:c r="D166" s="16" t="str">
        <x:v>Stellar Crown</x:v>
      </x:c>
      <x:c r="E166" s="16" t="str">
        <x:v>Scarlet &amp; Violet</x:v>
      </x:c>
      <x:c r="F166" s="16" t="str">
        <x:v>Card set / collection</x:v>
      </x:c>
      <x:c r="G166" s="16" t="str">
        <x:v>SCR</x:v>
      </x:c>
      <x:c r="H166" s="16" t="str">
        <x:v>Source abbreviation</x:v>
      </x:c>
      <x:c r="I166" s="16" t="str">
        <x:v>2024-09-13</x:v>
      </x:c>
      <x:c r="J166" s="16" t="str">
        <x:v>day</x:v>
      </x:c>
      <x:c r="K166" s="16" t="str">
        <x:v>International English; source default date</x:v>
      </x:c>
      <x:c r="L166" s="16" t="n">
        <x:v>142</x:v>
      </x:c>
      <x:c r="M166" s="16" t="n">
        <x:v>33</x:v>
      </x:c>
      <x:c r="N166" s="16" t="n">
        <x:v>0</x:v>
      </x:c>
      <x:c r="O166" s="16" t="n">
        <x:v>175</x:v>
      </x:c>
      <x:c r="P166" s="16" t="n">
        <x:v>175</x:v>
      </x:c>
      <x:c r="Q166" s="16"/>
      <x:c r="R166" s="16"/>
      <x:c r="S166" s="16" t="str"/>
      <x:c r="T166" s="16"/>
      <x:c r="U166" s="16" t="str">
        <x:v>NO — review only</x:v>
      </x:c>
    </x:row>
    <x:row r="167" ht="54" customHeight="1">
      <x:c r="A167" s="16" t="str">
        <x:v>en-33e34a4c782d</x:v>
      </x:c>
      <x:c r="B167" s="16" t="str">
        <x:v>en</x:v>
      </x:c>
      <x:c r="C167" s="16" t="str">
        <x:v>Surging Sparks</x:v>
      </x:c>
      <x:c r="D167" s="16" t="str">
        <x:v>Surging Sparks</x:v>
      </x:c>
      <x:c r="E167" s="16" t="str">
        <x:v>Scarlet &amp; Violet</x:v>
      </x:c>
      <x:c r="F167" s="16" t="str">
        <x:v>Card set / collection</x:v>
      </x:c>
      <x:c r="G167" s="16" t="str">
        <x:v>SSP</x:v>
      </x:c>
      <x:c r="H167" s="16" t="str">
        <x:v>Source abbreviation</x:v>
      </x:c>
      <x:c r="I167" s="16" t="str">
        <x:v>2024-11-08</x:v>
      </x:c>
      <x:c r="J167" s="16" t="str">
        <x:v>day</x:v>
      </x:c>
      <x:c r="K167" s="16" t="str">
        <x:v>International English; source default date</x:v>
      </x:c>
      <x:c r="L167" s="16" t="n">
        <x:v>191</x:v>
      </x:c>
      <x:c r="M167" s="16" t="n">
        <x:v>61</x:v>
      </x:c>
      <x:c r="N167" s="16" t="n">
        <x:v>0</x:v>
      </x:c>
      <x:c r="O167" s="16" t="n">
        <x:v>252</x:v>
      </x:c>
      <x:c r="P167" s="16" t="n">
        <x:v>252</x:v>
      </x:c>
      <x:c r="Q167" s="16"/>
      <x:c r="R167" s="16"/>
      <x:c r="S167" s="16" t="str"/>
      <x:c r="T167" s="16"/>
      <x:c r="U167" s="16" t="str">
        <x:v>NO — review only</x:v>
      </x:c>
    </x:row>
    <x:row r="168" ht="54" customHeight="1">
      <x:c r="A168" s="16" t="str">
        <x:v>en-1e85d993e9e4</x:v>
      </x:c>
      <x:c r="B168" s="16" t="str">
        <x:v>en</x:v>
      </x:c>
      <x:c r="C168" s="16" t="str">
        <x:v>McDonald's Collection 2024</x:v>
      </x:c>
      <x:c r="D168" s="16" t="str">
        <x:v>McDonald's Collection 2024</x:v>
      </x:c>
      <x:c r="E168" s="16" t="str">
        <x:v>McDonald's</x:v>
      </x:c>
      <x:c r="F168" s="16" t="str">
        <x:v>Promo catalogue</x:v>
      </x:c>
      <x:c r="G168" s="16" t="str">
        <x:v>M24</x:v>
      </x:c>
      <x:c r="H168" s="16" t="str">
        <x:v>Source abbreviation</x:v>
      </x:c>
      <x:c r="I168" s="16" t="str">
        <x:v>2024-12-04</x:v>
      </x:c>
      <x:c r="J168" s="16" t="str">
        <x:v>day</x:v>
      </x:c>
      <x:c r="K168" s="16" t="str">
        <x:v>International English; source default date</x:v>
      </x:c>
      <x:c r="L168" s="16" t="n">
        <x:v>15</x:v>
      </x:c>
      <x:c r="M168" s="16" t="n">
        <x:v>0</x:v>
      </x:c>
      <x:c r="N168" s="16" t="n">
        <x:v>0</x:v>
      </x:c>
      <x:c r="O168" s="16" t="n">
        <x:v>15</x:v>
      </x:c>
      <x:c r="P168" s="16" t="n">
        <x:v>15</x:v>
      </x:c>
      <x:c r="Q168" s="16"/>
      <x:c r="R168" s="16"/>
      <x:c r="S168" s="16" t="str"/>
      <x:c r="T168" s="16"/>
      <x:c r="U168" s="16" t="str">
        <x:v>NO — review only</x:v>
      </x:c>
    </x:row>
    <x:row r="169" ht="54" customHeight="1">
      <x:c r="A169" s="16" t="str">
        <x:v>en-b86789f303e5</x:v>
      </x:c>
      <x:c r="B169" s="16" t="str">
        <x:v>en</x:v>
      </x:c>
      <x:c r="C169" s="16" t="str">
        <x:v>Prismatic Evolutions</x:v>
      </x:c>
      <x:c r="D169" s="16" t="str">
        <x:v>Prismatic Evolutions</x:v>
      </x:c>
      <x:c r="E169" s="16" t="str">
        <x:v>Scarlet &amp; Violet</x:v>
      </x:c>
      <x:c r="F169" s="16" t="str">
        <x:v>Card set / collection</x:v>
      </x:c>
      <x:c r="G169" s="16" t="str">
        <x:v>PRE</x:v>
      </x:c>
      <x:c r="H169" s="16" t="str">
        <x:v>Source abbreviation</x:v>
      </x:c>
      <x:c r="I169" s="16" t="str">
        <x:v>2025-01-17</x:v>
      </x:c>
      <x:c r="J169" s="16" t="str">
        <x:v>day</x:v>
      </x:c>
      <x:c r="K169" s="16" t="str">
        <x:v>International English; source default date</x:v>
      </x:c>
      <x:c r="L169" s="16" t="n">
        <x:v>131</x:v>
      </x:c>
      <x:c r="M169" s="16" t="n">
        <x:v>49</x:v>
      </x:c>
      <x:c r="N169" s="16" t="n">
        <x:v>0</x:v>
      </x:c>
      <x:c r="O169" s="16" t="n">
        <x:v>180</x:v>
      </x:c>
      <x:c r="P169" s="16" t="n">
        <x:v>180</x:v>
      </x:c>
      <x:c r="Q169" s="16"/>
      <x:c r="R169" s="16"/>
      <x:c r="S169" s="16" t="str"/>
      <x:c r="T169" s="16"/>
      <x:c r="U169" s="16" t="str">
        <x:v>NO — review only</x:v>
      </x:c>
    </x:row>
    <x:row r="170" ht="54" customHeight="1">
      <x:c r="A170" s="16" t="str">
        <x:v>en-dd51e73f9842</x:v>
      </x:c>
      <x:c r="B170" s="16" t="str">
        <x:v>en</x:v>
      </x:c>
      <x:c r="C170" s="16" t="str">
        <x:v>Play! Pokémon Prize Pack Series Six</x:v>
      </x:c>
      <x:c r="D170" s="16" t="str">
        <x:v>Play! Pokémon Prize Pack Series Six</x:v>
      </x:c>
      <x:c r="E170" s="16" t="str">
        <x:v>Play! Pokémon</x:v>
      </x:c>
      <x:c r="F170" s="16" t="str">
        <x:v>Promo catalogue</x:v>
      </x:c>
      <x:c r="G170" s="16" t="str">
        <x:v>PPS6</x:v>
      </x:c>
      <x:c r="H170" s="16" t="str">
        <x:v>Source abbreviation</x:v>
      </x:c>
      <x:c r="I170" s="16" t="str">
        <x:v>2025-02-14</x:v>
      </x:c>
      <x:c r="J170" s="16" t="str">
        <x:v>day</x:v>
      </x:c>
      <x:c r="K170" s="16" t="str">
        <x:v>International English; source default date</x:v>
      </x:c>
      <x:c r="L170" s="16" t="n">
        <x:v>94</x:v>
      </x:c>
      <x:c r="M170" s="16" t="n">
        <x:v>0</x:v>
      </x:c>
      <x:c r="N170" s="16" t="n">
        <x:v>0</x:v>
      </x:c>
      <x:c r="O170" s="16" t="n">
        <x:v>94</x:v>
      </x:c>
      <x:c r="P170" s="16" t="n">
        <x:v>94</x:v>
      </x:c>
      <x:c r="Q170" s="16"/>
      <x:c r="R170" s="16"/>
      <x:c r="S170" s="16" t="str"/>
      <x:c r="T170" s="16"/>
      <x:c r="U170" s="16" t="str">
        <x:v>NO — review only</x:v>
      </x:c>
    </x:row>
    <x:row r="171" ht="54" customHeight="1">
      <x:c r="A171" s="16" t="str">
        <x:v>en-7a6fbbd70315</x:v>
      </x:c>
      <x:c r="B171" s="16" t="str">
        <x:v>en</x:v>
      </x:c>
      <x:c r="C171" s="16" t="str">
        <x:v>Journey Together</x:v>
      </x:c>
      <x:c r="D171" s="16" t="str">
        <x:v>Journey Together</x:v>
      </x:c>
      <x:c r="E171" s="16" t="str">
        <x:v>Scarlet &amp; Violet</x:v>
      </x:c>
      <x:c r="F171" s="16" t="str">
        <x:v>Card set / collection</x:v>
      </x:c>
      <x:c r="G171" s="16" t="str">
        <x:v>JTG</x:v>
      </x:c>
      <x:c r="H171" s="16" t="str">
        <x:v>Source abbreviation</x:v>
      </x:c>
      <x:c r="I171" s="16" t="str">
        <x:v>2025-03-28</x:v>
      </x:c>
      <x:c r="J171" s="16" t="str">
        <x:v>day</x:v>
      </x:c>
      <x:c r="K171" s="16" t="str">
        <x:v>International English; source default date</x:v>
      </x:c>
      <x:c r="L171" s="16" t="n">
        <x:v>159</x:v>
      </x:c>
      <x:c r="M171" s="16" t="n">
        <x:v>31</x:v>
      </x:c>
      <x:c r="N171" s="16" t="n">
        <x:v>0</x:v>
      </x:c>
      <x:c r="O171" s="16" t="n">
        <x:v>190</x:v>
      </x:c>
      <x:c r="P171" s="16" t="n">
        <x:v>190</x:v>
      </x:c>
      <x:c r="Q171" s="16"/>
      <x:c r="R171" s="16"/>
      <x:c r="S171" s="16" t="str"/>
      <x:c r="T171" s="16"/>
      <x:c r="U171" s="16" t="str">
        <x:v>NO — review only</x:v>
      </x:c>
    </x:row>
    <x:row r="172" ht="54" customHeight="1">
      <x:c r="A172" s="16" t="str">
        <x:v>en-84fa355e03ce</x:v>
      </x:c>
      <x:c r="B172" s="16" t="str">
        <x:v>en</x:v>
      </x:c>
      <x:c r="C172" s="16" t="str">
        <x:v>Destined Rivals</x:v>
      </x:c>
      <x:c r="D172" s="16" t="str">
        <x:v>Destined Rivals</x:v>
      </x:c>
      <x:c r="E172" s="16" t="str">
        <x:v>Scarlet &amp; Violet</x:v>
      </x:c>
      <x:c r="F172" s="16" t="str">
        <x:v>Card set / collection</x:v>
      </x:c>
      <x:c r="G172" s="16" t="str">
        <x:v>DRI</x:v>
      </x:c>
      <x:c r="H172" s="16" t="str">
        <x:v>Source abbreviation</x:v>
      </x:c>
      <x:c r="I172" s="16" t="str">
        <x:v>2025-05-30</x:v>
      </x:c>
      <x:c r="J172" s="16" t="str">
        <x:v>day</x:v>
      </x:c>
      <x:c r="K172" s="16" t="str">
        <x:v>International English; source default date</x:v>
      </x:c>
      <x:c r="L172" s="16" t="n">
        <x:v>182</x:v>
      </x:c>
      <x:c r="M172" s="16" t="n">
        <x:v>62</x:v>
      </x:c>
      <x:c r="N172" s="16" t="n">
        <x:v>0</x:v>
      </x:c>
      <x:c r="O172" s="16" t="n">
        <x:v>244</x:v>
      </x:c>
      <x:c r="P172" s="16" t="n">
        <x:v>244</x:v>
      </x:c>
      <x:c r="Q172" s="16"/>
      <x:c r="R172" s="16"/>
      <x:c r="S172" s="16" t="str"/>
      <x:c r="T172" s="16"/>
      <x:c r="U172" s="16" t="str">
        <x:v>NO — review only</x:v>
      </x:c>
    </x:row>
    <x:row r="173" ht="54" customHeight="1">
      <x:c r="A173" s="16" t="str">
        <x:v>en-a459d84fe9e3</x:v>
      </x:c>
      <x:c r="B173" s="16" t="str">
        <x:v>en</x:v>
      </x:c>
      <x:c r="C173" s="16" t="str">
        <x:v>Black Bolt</x:v>
      </x:c>
      <x:c r="D173" s="16" t="str">
        <x:v>Black Bolt</x:v>
      </x:c>
      <x:c r="E173" s="16" t="str">
        <x:v>Scarlet &amp; Violet</x:v>
      </x:c>
      <x:c r="F173" s="16" t="str">
        <x:v>Card set / collection</x:v>
      </x:c>
      <x:c r="G173" s="16" t="str">
        <x:v>BLK</x:v>
      </x:c>
      <x:c r="H173" s="16" t="str">
        <x:v>Source abbreviation</x:v>
      </x:c>
      <x:c r="I173" s="16" t="str">
        <x:v>2025-07-18</x:v>
      </x:c>
      <x:c r="J173" s="16" t="str">
        <x:v>day</x:v>
      </x:c>
      <x:c r="K173" s="16" t="str">
        <x:v>International English; source default date</x:v>
      </x:c>
      <x:c r="L173" s="16" t="n">
        <x:v>86</x:v>
      </x:c>
      <x:c r="M173" s="16" t="n">
        <x:v>86</x:v>
      </x:c>
      <x:c r="N173" s="16" t="n">
        <x:v>0</x:v>
      </x:c>
      <x:c r="O173" s="16" t="n">
        <x:v>172</x:v>
      </x:c>
      <x:c r="P173" s="16" t="n">
        <x:v>172</x:v>
      </x:c>
      <x:c r="Q173" s="16"/>
      <x:c r="R173" s="16"/>
      <x:c r="S173" s="16" t="str"/>
      <x:c r="T173" s="16"/>
      <x:c r="U173" s="16" t="str">
        <x:v>NO — review only</x:v>
      </x:c>
    </x:row>
    <x:row r="174" ht="54" customHeight="1">
      <x:c r="A174" s="16" t="str">
        <x:v>en-a76544a31544</x:v>
      </x:c>
      <x:c r="B174" s="16" t="str">
        <x:v>en</x:v>
      </x:c>
      <x:c r="C174" s="16" t="str">
        <x:v>White Flare</x:v>
      </x:c>
      <x:c r="D174" s="16" t="str">
        <x:v>White Flare</x:v>
      </x:c>
      <x:c r="E174" s="16" t="str">
        <x:v>Scarlet &amp; Violet</x:v>
      </x:c>
      <x:c r="F174" s="16" t="str">
        <x:v>Card set / collection</x:v>
      </x:c>
      <x:c r="G174" s="16" t="str">
        <x:v>WHT</x:v>
      </x:c>
      <x:c r="H174" s="16" t="str">
        <x:v>Source abbreviation</x:v>
      </x:c>
      <x:c r="I174" s="16" t="str">
        <x:v>2025-07-18</x:v>
      </x:c>
      <x:c r="J174" s="16" t="str">
        <x:v>day</x:v>
      </x:c>
      <x:c r="K174" s="16" t="str">
        <x:v>International English; source default date</x:v>
      </x:c>
      <x:c r="L174" s="16" t="n">
        <x:v>86</x:v>
      </x:c>
      <x:c r="M174" s="16" t="n">
        <x:v>87</x:v>
      </x:c>
      <x:c r="N174" s="16" t="n">
        <x:v>0</x:v>
      </x:c>
      <x:c r="O174" s="16" t="n">
        <x:v>173</x:v>
      </x:c>
      <x:c r="P174" s="16" t="n">
        <x:v>173</x:v>
      </x:c>
      <x:c r="Q174" s="16"/>
      <x:c r="R174" s="16"/>
      <x:c r="S174" s="16" t="str"/>
      <x:c r="T174" s="16"/>
      <x:c r="U174" s="16" t="str">
        <x:v>NO — review only</x:v>
      </x:c>
    </x:row>
    <x:row r="175" ht="54" customHeight="1">
      <x:c r="A175" s="16" t="str">
        <x:v>en-f900154f1156</x:v>
      </x:c>
      <x:c r="B175" s="16" t="str">
        <x:v>en</x:v>
      </x:c>
      <x:c r="C175" s="16" t="str">
        <x:v>Play! Pokémon Prize Pack Series Seven</x:v>
      </x:c>
      <x:c r="D175" s="16" t="str">
        <x:v>Play! Pokémon Prize Pack Series Seven</x:v>
      </x:c>
      <x:c r="E175" s="16" t="str">
        <x:v>Play! Pokémon</x:v>
      </x:c>
      <x:c r="F175" s="16" t="str">
        <x:v>Promo catalogue</x:v>
      </x:c>
      <x:c r="G175" s="16" t="str">
        <x:v>PPS7</x:v>
      </x:c>
      <x:c r="H175" s="16" t="str">
        <x:v>Source abbreviation</x:v>
      </x:c>
      <x:c r="I175" s="16" t="str">
        <x:v>2025-08-14</x:v>
      </x:c>
      <x:c r="J175" s="16" t="str">
        <x:v>day</x:v>
      </x:c>
      <x:c r="K175" s="16" t="str">
        <x:v>International English; source default date</x:v>
      </x:c>
      <x:c r="L175" s="16" t="n">
        <x:v>96</x:v>
      </x:c>
      <x:c r="M175" s="16" t="n">
        <x:v>0</x:v>
      </x:c>
      <x:c r="N175" s="16" t="n">
        <x:v>0</x:v>
      </x:c>
      <x:c r="O175" s="16" t="n">
        <x:v>96</x:v>
      </x:c>
      <x:c r="P175" s="16" t="n">
        <x:v>96</x:v>
      </x:c>
      <x:c r="Q175" s="16"/>
      <x:c r="R175" s="16"/>
      <x:c r="S175" s="16" t="str"/>
      <x:c r="T175" s="16"/>
      <x:c r="U175" s="16" t="str">
        <x:v>NO — review only</x:v>
      </x:c>
    </x:row>
    <x:row r="176" ht="54" customHeight="1">
      <x:c r="A176" s="16" t="str">
        <x:v>en-5e7baa43c285</x:v>
      </x:c>
      <x:c r="B176" s="16" t="str">
        <x:v>en</x:v>
      </x:c>
      <x:c r="C176" s="16" t="str">
        <x:v>MEP Black Star Promos</x:v>
      </x:c>
      <x:c r="D176" s="16" t="str">
        <x:v>MEP Black Star Promos</x:v>
      </x:c>
      <x:c r="E176" s="16" t="str">
        <x:v>Mega Evolution</x:v>
      </x:c>
      <x:c r="F176" s="16" t="str">
        <x:v>Promo catalogue</x:v>
      </x:c>
      <x:c r="G176" s="16" t="str">
        <x:v>MEP</x:v>
      </x:c>
      <x:c r="H176" s="16" t="str">
        <x:v>Source abbreviation</x:v>
      </x:c>
      <x:c r="I176" s="16" t="str">
        <x:v>2025-09</x:v>
      </x:c>
      <x:c r="J176" s="16" t="str">
        <x:v>month</x:v>
      </x:c>
      <x:c r="K176" s="16" t="str">
        <x:v>International English; source default date</x:v>
      </x:c>
      <x:c r="L176" s="16"/>
      <x:c r="M176" s="16"/>
      <x:c r="N176" s="16"/>
      <x:c r="O176" s="16" t="n">
        <x:v>127</x:v>
      </x:c>
      <x:c r="P176" s="16" t="n">
        <x:v>127</x:v>
      </x:c>
      <x:c r="Q176" s="16"/>
      <x:c r="R176" s="16"/>
      <x:c r="S176" s="16" t="str">
        <x:v>numbered_total_provisional_snapshot</x:v>
      </x:c>
      <x:c r="T176" s="16" t="str">
        <x:v>https://www.cardtrader.com/en/pokemon/expansions</x:v>
      </x:c>
      <x:c r="U176" s="16" t="str">
        <x:v>NO — review only</x:v>
      </x:c>
    </x:row>
    <x:row r="177" ht="54" customHeight="1">
      <x:c r="A177" s="16" t="str">
        <x:v>en-4cea9dd34e60</x:v>
      </x:c>
      <x:c r="B177" s="16" t="str">
        <x:v>en</x:v>
      </x:c>
      <x:c r="C177" s="16" t="str">
        <x:v>MEE Basic Energies</x:v>
      </x:c>
      <x:c r="D177" s="16" t="str">
        <x:v>MEE Basic Energies</x:v>
      </x:c>
      <x:c r="E177" s="16" t="str">
        <x:v>Mega Evolution</x:v>
      </x:c>
      <x:c r="F177" s="16" t="str">
        <x:v>Card set / collection</x:v>
      </x:c>
      <x:c r="G177" s="16" t="str">
        <x:v>MEE</x:v>
      </x:c>
      <x:c r="H177" s="16" t="str">
        <x:v>Source abbreviation</x:v>
      </x:c>
      <x:c r="I177" s="16" t="str">
        <x:v>2025-09-26</x:v>
      </x:c>
      <x:c r="J177" s="16" t="str">
        <x:v>day</x:v>
      </x:c>
      <x:c r="K177" s="16" t="str">
        <x:v>International English; source default date</x:v>
      </x:c>
      <x:c r="L177" s="16" t="n">
        <x:v>16</x:v>
      </x:c>
      <x:c r="M177" s="16" t="n">
        <x:v>0</x:v>
      </x:c>
      <x:c r="N177" s="16" t="n">
        <x:v>0</x:v>
      </x:c>
      <x:c r="O177" s="16" t="n">
        <x:v>16</x:v>
      </x:c>
      <x:c r="P177" s="16" t="n">
        <x:v>16</x:v>
      </x:c>
      <x:c r="Q177" s="16"/>
      <x:c r="R177" s="16"/>
      <x:c r="S177" s="16" t="str"/>
      <x:c r="T177" s="16"/>
      <x:c r="U177" s="16" t="str">
        <x:v>NO — review only</x:v>
      </x:c>
    </x:row>
    <x:row r="178" ht="54" customHeight="1">
      <x:c r="A178" s="16" t="str">
        <x:v>en-ffa9ac4a086b</x:v>
      </x:c>
      <x:c r="B178" s="16" t="str">
        <x:v>en</x:v>
      </x:c>
      <x:c r="C178" s="16" t="str">
        <x:v>Mega Evolution</x:v>
      </x:c>
      <x:c r="D178" s="16" t="str">
        <x:v>Mega Evolution</x:v>
      </x:c>
      <x:c r="E178" s="16" t="str">
        <x:v>Mega Evolution</x:v>
      </x:c>
      <x:c r="F178" s="16" t="str">
        <x:v>Card set / collection</x:v>
      </x:c>
      <x:c r="G178" s="16" t="str">
        <x:v>MEG</x:v>
      </x:c>
      <x:c r="H178" s="16" t="str">
        <x:v>Source abbreviation</x:v>
      </x:c>
      <x:c r="I178" s="16" t="str">
        <x:v>2025-09-26</x:v>
      </x:c>
      <x:c r="J178" s="16" t="str">
        <x:v>day</x:v>
      </x:c>
      <x:c r="K178" s="16" t="str">
        <x:v>International English; source default date</x:v>
      </x:c>
      <x:c r="L178" s="16" t="n">
        <x:v>132</x:v>
      </x:c>
      <x:c r="M178" s="16" t="n">
        <x:v>56</x:v>
      </x:c>
      <x:c r="N178" s="16" t="n">
        <x:v>0</x:v>
      </x:c>
      <x:c r="O178" s="16" t="n">
        <x:v>188</x:v>
      </x:c>
      <x:c r="P178" s="16" t="n">
        <x:v>188</x:v>
      </x:c>
      <x:c r="Q178" s="16"/>
      <x:c r="R178" s="16"/>
      <x:c r="S178" s="16" t="str"/>
      <x:c r="T178" s="16"/>
      <x:c r="U178" s="16" t="str">
        <x:v>NO — review only</x:v>
      </x:c>
    </x:row>
    <x:row r="179" ht="54" customHeight="1">
      <x:c r="A179" s="16" t="str">
        <x:v>en-12b98e6f9204</x:v>
      </x:c>
      <x:c r="B179" s="16" t="str">
        <x:v>en</x:v>
      </x:c>
      <x:c r="C179" s="16" t="str">
        <x:v>Phantasmal Flames</x:v>
      </x:c>
      <x:c r="D179" s="16" t="str">
        <x:v>Phantasmal Flames</x:v>
      </x:c>
      <x:c r="E179" s="16" t="str">
        <x:v>Mega Evolution</x:v>
      </x:c>
      <x:c r="F179" s="16" t="str">
        <x:v>Card set / collection</x:v>
      </x:c>
      <x:c r="G179" s="16" t="str">
        <x:v>PFL</x:v>
      </x:c>
      <x:c r="H179" s="16" t="str">
        <x:v>Source abbreviation</x:v>
      </x:c>
      <x:c r="I179" s="16" t="str">
        <x:v>2025-11-14</x:v>
      </x:c>
      <x:c r="J179" s="16" t="str">
        <x:v>day</x:v>
      </x:c>
      <x:c r="K179" s="16" t="str">
        <x:v>International English; source default date</x:v>
      </x:c>
      <x:c r="L179" s="16" t="n">
        <x:v>94</x:v>
      </x:c>
      <x:c r="M179" s="16" t="n">
        <x:v>36</x:v>
      </x:c>
      <x:c r="N179" s="16" t="n">
        <x:v>0</x:v>
      </x:c>
      <x:c r="O179" s="16" t="n">
        <x:v>130</x:v>
      </x:c>
      <x:c r="P179" s="16" t="n">
        <x:v>130</x:v>
      </x:c>
      <x:c r="Q179" s="16"/>
      <x:c r="R179" s="16"/>
      <x:c r="S179" s="16" t="str"/>
      <x:c r="T179" s="16"/>
      <x:c r="U179" s="16" t="str">
        <x:v>NO — review only</x:v>
      </x:c>
    </x:row>
    <x:row r="180" ht="54" customHeight="1">
      <x:c r="A180" s="16" t="str">
        <x:v>en-737b1e423c62</x:v>
      </x:c>
      <x:c r="B180" s="16" t="str">
        <x:v>en</x:v>
      </x:c>
      <x:c r="C180" s="16" t="str">
        <x:v>Play! Pokémon Prize Pack Series Eight</x:v>
      </x:c>
      <x:c r="D180" s="16" t="str">
        <x:v>Play! Pokémon Prize Pack Series Eight</x:v>
      </x:c>
      <x:c r="E180" s="16" t="str">
        <x:v>Play! Pokémon</x:v>
      </x:c>
      <x:c r="F180" s="16" t="str">
        <x:v>Promo catalogue</x:v>
      </x:c>
      <x:c r="G180" s="16" t="str">
        <x:v>PPS8</x:v>
      </x:c>
      <x:c r="H180" s="16" t="str">
        <x:v>Source abbreviation</x:v>
      </x:c>
      <x:c r="I180" s="16" t="str">
        <x:v>2026-01-01</x:v>
      </x:c>
      <x:c r="J180" s="16" t="str">
        <x:v>day</x:v>
      </x:c>
      <x:c r="K180" s="16" t="str">
        <x:v>International English; source default date</x:v>
      </x:c>
      <x:c r="L180" s="16" t="n">
        <x:v>91</x:v>
      </x:c>
      <x:c r="M180" s="16" t="n">
        <x:v>0</x:v>
      </x:c>
      <x:c r="N180" s="16" t="n">
        <x:v>0</x:v>
      </x:c>
      <x:c r="O180" s="16" t="n">
        <x:v>91</x:v>
      </x:c>
      <x:c r="P180" s="16" t="n">
        <x:v>91</x:v>
      </x:c>
      <x:c r="Q180" s="16"/>
      <x:c r="R180" s="16"/>
      <x:c r="S180" s="16" t="str"/>
      <x:c r="T180" s="16"/>
      <x:c r="U180" s="16" t="str">
        <x:v>NO — review only</x:v>
      </x:c>
    </x:row>
    <x:row r="181" ht="54" customHeight="1">
      <x:c r="A181" s="16" t="str">
        <x:v>en-603ff366eb29</x:v>
      </x:c>
      <x:c r="B181" s="16" t="str">
        <x:v>en</x:v>
      </x:c>
      <x:c r="C181" s="16" t="str">
        <x:v>Ascended Heroes</x:v>
      </x:c>
      <x:c r="D181" s="16" t="str">
        <x:v>Ascended Heroes</x:v>
      </x:c>
      <x:c r="E181" s="16" t="str">
        <x:v>Mega Evolution</x:v>
      </x:c>
      <x:c r="F181" s="16" t="str">
        <x:v>Card set / collection</x:v>
      </x:c>
      <x:c r="G181" s="16" t="str">
        <x:v>ASC</x:v>
      </x:c>
      <x:c r="H181" s="16" t="str">
        <x:v>Source abbreviation</x:v>
      </x:c>
      <x:c r="I181" s="16" t="str">
        <x:v>2026-01-30</x:v>
      </x:c>
      <x:c r="J181" s="16" t="str">
        <x:v>day</x:v>
      </x:c>
      <x:c r="K181" s="16" t="str">
        <x:v>International English; source default date</x:v>
      </x:c>
      <x:c r="L181" s="16" t="n">
        <x:v>217</x:v>
      </x:c>
      <x:c r="M181" s="16" t="n">
        <x:v>78</x:v>
      </x:c>
      <x:c r="N181" s="16" t="n">
        <x:v>0</x:v>
      </x:c>
      <x:c r="O181" s="16" t="n">
        <x:v>295</x:v>
      </x:c>
      <x:c r="P181" s="16" t="n">
        <x:v>295</x:v>
      </x:c>
      <x:c r="Q181" s="16"/>
      <x:c r="R181" s="16"/>
      <x:c r="S181" s="16" t="str"/>
      <x:c r="T181" s="16"/>
      <x:c r="U181" s="16" t="str">
        <x:v>NO — review only</x:v>
      </x:c>
    </x:row>
    <x:row r="182" ht="54" customHeight="1">
      <x:c r="A182" s="16" t="str">
        <x:v>en-04ad102367c4</x:v>
      </x:c>
      <x:c r="B182" s="16" t="str">
        <x:v>en</x:v>
      </x:c>
      <x:c r="C182" s="16" t="str">
        <x:v>Perfect Order</x:v>
      </x:c>
      <x:c r="D182" s="16" t="str">
        <x:v>Perfect Order</x:v>
      </x:c>
      <x:c r="E182" s="16" t="str">
        <x:v>Mega Evolution</x:v>
      </x:c>
      <x:c r="F182" s="16" t="str">
        <x:v>Card set / collection</x:v>
      </x:c>
      <x:c r="G182" s="16" t="str">
        <x:v>POR</x:v>
      </x:c>
      <x:c r="H182" s="16" t="str">
        <x:v>Source abbreviation</x:v>
      </x:c>
      <x:c r="I182" s="16" t="str">
        <x:v>2026-03-27</x:v>
      </x:c>
      <x:c r="J182" s="16" t="str">
        <x:v>day</x:v>
      </x:c>
      <x:c r="K182" s="16" t="str">
        <x:v>International English; source default date</x:v>
      </x:c>
      <x:c r="L182" s="16" t="n">
        <x:v>88</x:v>
      </x:c>
      <x:c r="M182" s="16" t="n">
        <x:v>36</x:v>
      </x:c>
      <x:c r="N182" s="16" t="n">
        <x:v>0</x:v>
      </x:c>
      <x:c r="O182" s="16" t="n">
        <x:v>124</x:v>
      </x:c>
      <x:c r="P182" s="16" t="n">
        <x:v>124</x:v>
      </x:c>
      <x:c r="Q182" s="16"/>
      <x:c r="R182" s="16"/>
      <x:c r="S182" s="16" t="str"/>
      <x:c r="T182" s="16"/>
      <x:c r="U182" s="16" t="str">
        <x:v>NO — review only</x:v>
      </x:c>
    </x:row>
    <x:row r="183" ht="54" customHeight="1">
      <x:c r="A183" s="16" t="str">
        <x:v>en-8355779cb5d3</x:v>
      </x:c>
      <x:c r="B183" s="16" t="str">
        <x:v>en</x:v>
      </x:c>
      <x:c r="C183" s="16" t="str">
        <x:v>Chaos Rising</x:v>
      </x:c>
      <x:c r="D183" s="16" t="str">
        <x:v>Chaos Rising</x:v>
      </x:c>
      <x:c r="E183" s="16" t="str">
        <x:v>Mega Evolution</x:v>
      </x:c>
      <x:c r="F183" s="16" t="str">
        <x:v>Card set / collection</x:v>
      </x:c>
      <x:c r="G183" s="16" t="str">
        <x:v>CRI</x:v>
      </x:c>
      <x:c r="H183" s="16" t="str">
        <x:v>Source abbreviation</x:v>
      </x:c>
      <x:c r="I183" s="16" t="str">
        <x:v>2026-05-22</x:v>
      </x:c>
      <x:c r="J183" s="16" t="str">
        <x:v>day</x:v>
      </x:c>
      <x:c r="K183" s="16" t="str">
        <x:v>International English; source default date</x:v>
      </x:c>
      <x:c r="L183" s="16" t="n">
        <x:v>86</x:v>
      </x:c>
      <x:c r="M183" s="16" t="n">
        <x:v>36</x:v>
      </x:c>
      <x:c r="N183" s="16" t="n">
        <x:v>0</x:v>
      </x:c>
      <x:c r="O183" s="16" t="n">
        <x:v>122</x:v>
      </x:c>
      <x:c r="P183" s="16" t="n">
        <x:v>122</x:v>
      </x:c>
      <x:c r="Q183" s="16"/>
      <x:c r="R183" s="16"/>
      <x:c r="S183" s="16" t="str"/>
      <x:c r="T183" s="16"/>
      <x:c r="U183" s="16" t="str">
        <x:v>NO — review only</x:v>
      </x:c>
    </x:row>
    <x:row r="184" ht="54" customHeight="1">
      <x:c r="A184" s="16" t="str">
        <x:v>en-1d7b80eb920d</x:v>
      </x:c>
      <x:c r="B184" s="16" t="str">
        <x:v>en</x:v>
      </x:c>
      <x:c r="C184" s="16" t="str">
        <x:v>Play! Pokémon Prize Pack Series Nine</x:v>
      </x:c>
      <x:c r="D184" s="16" t="str">
        <x:v>Play! Pokémon Prize Pack Series Nine</x:v>
      </x:c>
      <x:c r="E184" s="16" t="str">
        <x:v>Play! Pokémon</x:v>
      </x:c>
      <x:c r="F184" s="16" t="str">
        <x:v>Promo catalogue</x:v>
      </x:c>
      <x:c r="G184" s="16" t="str">
        <x:v>PPS9</x:v>
      </x:c>
      <x:c r="H184" s="16" t="str">
        <x:v>Source abbreviation</x:v>
      </x:c>
      <x:c r="I184" s="16" t="str">
        <x:v>2026-07-01</x:v>
      </x:c>
      <x:c r="J184" s="16" t="str">
        <x:v>day</x:v>
      </x:c>
      <x:c r="K184" s="16" t="str">
        <x:v>International English; source default date</x:v>
      </x:c>
      <x:c r="L184" s="16" t="n">
        <x:v>80</x:v>
      </x:c>
      <x:c r="M184" s="16" t="n">
        <x:v>0</x:v>
      </x:c>
      <x:c r="N184" s="16" t="n">
        <x:v>0</x:v>
      </x:c>
      <x:c r="O184" s="16" t="n">
        <x:v>80</x:v>
      </x:c>
      <x:c r="P184" s="16" t="n">
        <x:v>80</x:v>
      </x:c>
      <x:c r="Q184" s="16"/>
      <x:c r="R184" s="16"/>
      <x:c r="S184" s="16" t="str"/>
      <x:c r="T184" s="16"/>
      <x:c r="U184" s="16" t="str">
        <x:v>NO — review only</x:v>
      </x:c>
    </x:row>
    <x:row r="185" ht="54" customHeight="1">
      <x:c r="A185" s="16" t="str">
        <x:v>en-40b9f502f511</x:v>
      </x:c>
      <x:c r="B185" s="16" t="str">
        <x:v>en</x:v>
      </x:c>
      <x:c r="C185" s="16" t="str">
        <x:v>Pitch Black</x:v>
      </x:c>
      <x:c r="D185" s="16" t="str">
        <x:v>Pitch Black</x:v>
      </x:c>
      <x:c r="E185" s="16" t="str">
        <x:v>Mega Evolution</x:v>
      </x:c>
      <x:c r="F185" s="16" t="str">
        <x:v>Card set / collection</x:v>
      </x:c>
      <x:c r="G185" s="16" t="str">
        <x:v>PBL</x:v>
      </x:c>
      <x:c r="H185" s="16" t="str">
        <x:v>Source abbreviation</x:v>
      </x:c>
      <x:c r="I185" s="16" t="str">
        <x:v>2026-07-17</x:v>
      </x:c>
      <x:c r="J185" s="16" t="str">
        <x:v>day</x:v>
      </x:c>
      <x:c r="K185" s="16" t="str">
        <x:v>International English; source default date</x:v>
      </x:c>
      <x:c r="L185" s="16" t="n">
        <x:v>84</x:v>
      </x:c>
      <x:c r="M185" s="16" t="n">
        <x:v>36</x:v>
      </x:c>
      <x:c r="N185" s="16" t="n">
        <x:v>0</x:v>
      </x:c>
      <x:c r="O185" s="16" t="n">
        <x:v>120</x:v>
      </x:c>
      <x:c r="P185" s="16" t="n">
        <x:v>120</x:v>
      </x:c>
      <x:c r="Q185" s="16"/>
      <x:c r="R185" s="16"/>
      <x:c r="S185" s="16" t="str"/>
      <x:c r="T185" s="16"/>
      <x:c r="U185" s="16" t="str">
        <x:v>NO — review only</x:v>
      </x:c>
    </x:row>
    <x:row r="186" ht="54" customHeight="1">
      <x:c r="A186" s="16" t="str">
        <x:v>en-ceccb90187e4</x:v>
      </x:c>
      <x:c r="B186" s="16" t="str">
        <x:v>en</x:v>
      </x:c>
      <x:c r="C186" s="16" t="str">
        <x:v>30th Celebration</x:v>
      </x:c>
      <x:c r="D186" s="16" t="str">
        <x:v>30th Celebration</x:v>
      </x:c>
      <x:c r="E186" s="16" t="str">
        <x:v>30th Celebration</x:v>
      </x:c>
      <x:c r="F186" s="16" t="str">
        <x:v>Card set / collection</x:v>
      </x:c>
      <x:c r="G186" s="16" t="str">
        <x:v>30C</x:v>
      </x:c>
      <x:c r="H186" s="16" t="str">
        <x:v>Source abbreviation</x:v>
      </x:c>
      <x:c r="I186" s="16" t="str">
        <x:v>2026-09-16</x:v>
      </x:c>
      <x:c r="J186" s="16" t="str">
        <x:v>day</x:v>
      </x:c>
      <x:c r="K186" s="16" t="str">
        <x:v>International English; source default date</x:v>
      </x:c>
      <x:c r="L186" s="16" t="n">
        <x:v>128</x:v>
      </x:c>
      <x:c r="M186" s="16" t="n">
        <x:v>71</x:v>
      </x:c>
      <x:c r="N186" s="16" t="n">
        <x:v>0</x:v>
      </x:c>
      <x:c r="O186" s="16" t="n">
        <x:v>199</x:v>
      </x:c>
      <x:c r="P186" s="16" t="n">
        <x:v>199</x:v>
      </x:c>
      <x:c r="Q186" s="16"/>
      <x:c r="R186" s="16"/>
      <x:c r="S186" s="16" t="str"/>
      <x:c r="T186" s="16" t="str">
        <x:v>https://bulbapedia.bulbagarden.net/wiki/List_of_Pok%C3%A9mon_Trading_Card_Game_expansions ; https://www.pokebeach.com/2026/09/30th-celebration-english-set-guide-full-card-list-products-store-promotions-and-more</x:v>
      </x:c>
      <x:c r="U186" s="16" t="str">
        <x:v>NO — review only</x:v>
      </x:c>
    </x:row>
    <x:row r="187" ht="54" customHeight="1">
      <x:c r="A187" s="16" t="str">
        <x:v>en-c2a4826cab63</x:v>
      </x:c>
      <x:c r="B187" s="16" t="str">
        <x:v>en</x:v>
      </x:c>
      <x:c r="C187" s="16" t="str">
        <x:v>Delta Reign</x:v>
      </x:c>
      <x:c r="D187" s="16" t="str">
        <x:v>Delta Reign</x:v>
      </x:c>
      <x:c r="E187" s="16" t="str">
        <x:v>Mega Evolution</x:v>
      </x:c>
      <x:c r="F187" s="16" t="str">
        <x:v>Card set / collection</x:v>
      </x:c>
      <x:c r="G187" s="16" t="str">
        <x:v>DLR</x:v>
      </x:c>
      <x:c r="H187" s="16" t="str">
        <x:v>Source abbreviation</x:v>
      </x:c>
      <x:c r="I187" s="16" t="str">
        <x:v>2026-11-06</x:v>
      </x:c>
      <x:c r="J187" s="16" t="str">
        <x:v>day</x:v>
      </x:c>
      <x:c r="K187" s="16" t="str">
        <x:v>International English; source default date</x:v>
      </x:c>
      <x:c r="L187" s="16" t="n">
        <x:v>103</x:v>
      </x:c>
      <x:c r="M187" s="16"/>
      <x:c r="N187" s="16" t="n">
        <x:v>0</x:v>
      </x:c>
      <x:c r="O187" s="16" t="n">
        <x:v>135</x:v>
      </x:c>
      <x:c r="P187" s="16" t="n">
        <x:v>135</x:v>
      </x:c>
      <x:c r="Q187" s="16"/>
      <x:c r="R187" s="16"/>
      <x:c r="S187" s="16" t="str">
        <x:v>numbered_total_minimum_pending_final_checklist</x:v>
      </x:c>
      <x:c r="T187" s="16" t="str">
        <x:v>https://bulbapedia.bulbagarden.net/wiki/List_of_Pok%C3%A9mon_Trading_Card_Game_expansions ; https://www.pokemon.com/uk/features/heat-rotom-ex-delibird-and-more-from-pokemon-tcg-mega-evolution-delta-reign</x:v>
      </x:c>
      <x:c r="U187" s="16" t="str">
        <x:v>NO — review only</x:v>
      </x:c>
    </x:row>
    <x:row r="188" ht="54" customHeight="1">
      <x:c r="A188" s="16" t="str">
        <x:v>en-21b02872eb20</x:v>
      </x:c>
      <x:c r="B188" s="16" t="str">
        <x:v>en</x:v>
      </x:c>
      <x:c r="C188" s="16" t="str">
        <x:v>Black &amp; White Trainer Kit</x:v>
      </x:c>
      <x:c r="D188" s="16" t="str">
        <x:v>Black &amp; White Trainer Kit</x:v>
      </x:c>
      <x:c r="E188" s="16" t="str">
        <x:v>Black &amp; White</x:v>
      </x:c>
      <x:c r="F188" s="16" t="str">
        <x:v>Product / deck</x:v>
      </x:c>
      <x:c r="G188" s="16" t="str">
        <x:v>TK5</x:v>
      </x:c>
      <x:c r="H188" s="16" t="str">
        <x:v>Database/trainer-kit designator; component aliases TK5E/TK5Z</x:v>
      </x:c>
      <x:c r="I188" s="16" t="str">
        <x:v>2011-09</x:v>
      </x:c>
      <x:c r="J188" s="16" t="str">
        <x:v>month</x:v>
      </x:c>
      <x:c r="K188" s="16" t="str">
        <x:v>International English; source default date</x:v>
      </x:c>
      <x:c r="L188" s="16"/>
      <x:c r="M188" s="16"/>
      <x:c r="N188" s="16"/>
      <x:c r="O188" s="16" t="n">
        <x:v>60</x:v>
      </x:c>
      <x:c r="P188" s="16" t="n">
        <x:v>60</x:v>
      </x:c>
      <x:c r="Q188" s="16"/>
      <x:c r="R188" s="16"/>
      <x:c r="S188" s="16" t="str"/>
      <x:c r="T188" s="16" t="str">
        <x:v>https://pkmncards.com/sets/ ; https://bulbapedia.bulbagarden.net/wiki/Black_%26_White_Trainer_Kit_(TCG)</x:v>
      </x:c>
      <x:c r="U188" s="16" t="str">
        <x:v>NO — review only</x:v>
      </x:c>
    </x:row>
    <x:row r="189" ht="54" customHeight="1">
      <x:c r="A189" s="16" t="str">
        <x:v>en-6f8abbba436c</x:v>
      </x:c>
      <x:c r="B189" s="16" t="str">
        <x:v>en</x:v>
      </x:c>
      <x:c r="C189" s="16" t="str">
        <x:v>Diamond &amp; Pearl Trainer Kit</x:v>
      </x:c>
      <x:c r="D189" s="16" t="str">
        <x:v>Diamond &amp; Pearl Trainer Kit</x:v>
      </x:c>
      <x:c r="E189" s="16" t="str">
        <x:v>Diamond &amp; Pearl</x:v>
      </x:c>
      <x:c r="F189" s="16" t="str">
        <x:v>Product / deck</x:v>
      </x:c>
      <x:c r="G189" s="16" t="str">
        <x:v>DP-TK</x:v>
      </x:c>
      <x:c r="H189" s="16" t="str">
        <x:v>Stackr canonical trainer-kit designator; alias TK-DP</x:v>
      </x:c>
      <x:c r="I189" s="16" t="str">
        <x:v>2007-09</x:v>
      </x:c>
      <x:c r="J189" s="16" t="str">
        <x:v>month</x:v>
      </x:c>
      <x:c r="K189" s="16" t="str">
        <x:v>International English; source default date</x:v>
      </x:c>
      <x:c r="L189" s="16"/>
      <x:c r="M189" s="16"/>
      <x:c r="N189" s="16"/>
      <x:c r="O189" s="16" t="n">
        <x:v>23</x:v>
      </x:c>
      <x:c r="P189" s="16" t="n">
        <x:v>23</x:v>
      </x:c>
      <x:c r="Q189" s="16"/>
      <x:c r="R189" s="16"/>
      <x:c r="S189" s="16" t="str"/>
      <x:c r="T189" s="16" t="str">
        <x:v>https://pkmncards.com/sets/ ; https://bulbapedia.bulbagarden.net/wiki/Diamond_%26_Pearl_Trainer_Kit_(TCG)</x:v>
      </x:c>
      <x:c r="U189" s="16" t="str">
        <x:v>NO — review only</x:v>
      </x:c>
    </x:row>
    <x:row r="190" ht="54" customHeight="1">
      <x:c r="A190" s="16" t="str">
        <x:v>en-e2138469cc4d</x:v>
      </x:c>
      <x:c r="B190" s="16" t="str">
        <x:v>en</x:v>
      </x:c>
      <x:c r="C190" s="16" t="str">
        <x:v>EX Trainer Kit</x:v>
      </x:c>
      <x:c r="D190" s="16" t="str">
        <x:v>EX Trainer Kit</x:v>
      </x:c>
      <x:c r="E190" s="16" t="str">
        <x:v>EX</x:v>
      </x:c>
      <x:c r="F190" s="16" t="str">
        <x:v>Product / deck</x:v>
      </x:c>
      <x:c r="G190" s="16" t="str">
        <x:v>EX-TK</x:v>
      </x:c>
      <x:c r="H190" s="16" t="str">
        <x:v>Stackr canonical trainer-kit designator; alias TK1</x:v>
      </x:c>
      <x:c r="I190" s="16" t="str">
        <x:v>2004-06</x:v>
      </x:c>
      <x:c r="J190" s="16" t="str">
        <x:v>month</x:v>
      </x:c>
      <x:c r="K190" s="16" t="str">
        <x:v>International English; source default date</x:v>
      </x:c>
      <x:c r="L190" s="16"/>
      <x:c r="M190" s="16"/>
      <x:c r="N190" s="16"/>
      <x:c r="O190" s="16" t="n">
        <x:v>20</x:v>
      </x:c>
      <x:c r="P190" s="16" t="n">
        <x:v>20</x:v>
      </x:c>
      <x:c r="Q190" s="16"/>
      <x:c r="R190" s="16"/>
      <x:c r="S190" s="16" t="str"/>
      <x:c r="T190" s="16" t="str">
        <x:v>https://pkmncards.com/sets/ ; https://bulbapedia.bulbagarden.net/wiki/EX_Trainer_Kit_(TCG)</x:v>
      </x:c>
      <x:c r="U190" s="16" t="str">
        <x:v>NO — review only</x:v>
      </x:c>
    </x:row>
    <x:row r="191" ht="54" customHeight="1">
      <x:c r="A191" s="16" t="str">
        <x:v>en-f5c65c7b0a45</x:v>
      </x:c>
      <x:c r="B191" s="16" t="str">
        <x:v>en</x:v>
      </x:c>
      <x:c r="C191" s="16" t="str">
        <x:v>EX Trainer Kit 2</x:v>
      </x:c>
      <x:c r="D191" s="16" t="str">
        <x:v>EX Trainer Kit 2</x:v>
      </x:c>
      <x:c r="E191" s="16" t="str">
        <x:v>EX</x:v>
      </x:c>
      <x:c r="F191" s="16" t="str">
        <x:v>Product / deck</x:v>
      </x:c>
      <x:c r="G191" s="16" t="str">
        <x:v>EX-TK2</x:v>
      </x:c>
      <x:c r="H191" s="16" t="str">
        <x:v>Stackr canonical trainer-kit designator; alias TK2</x:v>
      </x:c>
      <x:c r="I191" s="16" t="str">
        <x:v>2006-03</x:v>
      </x:c>
      <x:c r="J191" s="16" t="str">
        <x:v>month</x:v>
      </x:c>
      <x:c r="K191" s="16" t="str">
        <x:v>International English; source default date</x:v>
      </x:c>
      <x:c r="L191" s="16"/>
      <x:c r="M191" s="16"/>
      <x:c r="N191" s="16"/>
      <x:c r="O191" s="16" t="n">
        <x:v>24</x:v>
      </x:c>
      <x:c r="P191" s="16" t="n">
        <x:v>24</x:v>
      </x:c>
      <x:c r="Q191" s="16"/>
      <x:c r="R191" s="16"/>
      <x:c r="S191" s="16" t="str"/>
      <x:c r="T191" s="16" t="str">
        <x:v>https://pkmncards.com/sets/ ; https://bulbapedia.bulbagarden.net/wiki/EX_Trainer_Kit_2_(TCG)</x:v>
      </x:c>
      <x:c r="U191" s="16" t="str">
        <x:v>NO — review only</x:v>
      </x:c>
    </x:row>
    <x:row r="192" ht="54" customHeight="1">
      <x:c r="A192" s="16" t="str">
        <x:v>en-3b501faa2faf</x:v>
      </x:c>
      <x:c r="B192" s="16" t="str">
        <x:v>en</x:v>
      </x:c>
      <x:c r="C192" s="16" t="str">
        <x:v>HS Trainer Kit</x:v>
      </x:c>
      <x:c r="D192" s="16" t="str">
        <x:v>HS Trainer Kit</x:v>
      </x:c>
      <x:c r="E192" s="16" t="str">
        <x:v>HeartGold &amp; SoulSilver</x:v>
      </x:c>
      <x:c r="F192" s="16" t="str">
        <x:v>Product / deck</x:v>
      </x:c>
      <x:c r="G192" s="16" t="str">
        <x:v>HS-TK</x:v>
      </x:c>
      <x:c r="H192" s="16" t="str">
        <x:v>Stackr canonical trainer-kit designator; alias TK-HGSS</x:v>
      </x:c>
      <x:c r="I192" s="16" t="str">
        <x:v>2010-05-12</x:v>
      </x:c>
      <x:c r="J192" s="16" t="str">
        <x:v>day</x:v>
      </x:c>
      <x:c r="K192" s="16" t="str">
        <x:v>International English; source default date</x:v>
      </x:c>
      <x:c r="L192" s="16"/>
      <x:c r="M192" s="16"/>
      <x:c r="N192" s="16"/>
      <x:c r="O192" s="16" t="n">
        <x:v>60</x:v>
      </x:c>
      <x:c r="P192" s="16" t="n">
        <x:v>60</x:v>
      </x:c>
      <x:c r="Q192" s="16"/>
      <x:c r="R192" s="16"/>
      <x:c r="S192" s="16" t="str"/>
      <x:c r="T192" s="16" t="str">
        <x:v>https://pkmncards.com/sets/ ; https://bulbapedia.bulbagarden.net/wiki/HS_Trainer_Kit_(TCG)</x:v>
      </x:c>
      <x:c r="U192" s="16" t="str">
        <x:v>NO — review only</x:v>
      </x:c>
    </x:row>
    <x:row r="193" ht="54" customHeight="1">
      <x:c r="A193" s="16" t="str">
        <x:v>en-ecc3b9bb3ca7</x:v>
      </x:c>
      <x:c r="B193" s="16" t="str">
        <x:v>en</x:v>
      </x:c>
      <x:c r="C193" s="16" t="str">
        <x:v>Sun &amp; Moon Trainer Kit: Lycanroc &amp; Alolan Raichu</x:v>
      </x:c>
      <x:c r="D193" s="16" t="str">
        <x:v>Sun &amp; Moon Trainer Kit: Lycanroc &amp; Alolan Raichu</x:v>
      </x:c>
      <x:c r="E193" s="16" t="str">
        <x:v>Sun &amp; Moon</x:v>
      </x:c>
      <x:c r="F193" s="16" t="str">
        <x:v>Product / deck</x:v>
      </x:c>
      <x:c r="G193" s="16" t="str">
        <x:v>SM-TK</x:v>
      </x:c>
      <x:c r="H193" s="16" t="str">
        <x:v>Stackr canonical trainer-kit designator; alias TK-SM3</x:v>
      </x:c>
      <x:c r="I193" s="16" t="str">
        <x:v>2017-04-21</x:v>
      </x:c>
      <x:c r="J193" s="16" t="str">
        <x:v>day</x:v>
      </x:c>
      <x:c r="K193" s="16" t="str">
        <x:v>International English; source default date</x:v>
      </x:c>
      <x:c r="L193" s="16"/>
      <x:c r="M193" s="16"/>
      <x:c r="N193" s="16"/>
      <x:c r="O193" s="16" t="n">
        <x:v>60</x:v>
      </x:c>
      <x:c r="P193" s="16" t="n">
        <x:v>60</x:v>
      </x:c>
      <x:c r="Q193" s="16"/>
      <x:c r="R193" s="16"/>
      <x:c r="S193" s="16" t="str"/>
      <x:c r="T193" s="16" t="str">
        <x:v>https://pkmncards.com/sets/ ; https://bulbapedia.bulbagarden.net/wiki/Sun_%26_Moon_Trainer_Kit_(TCG)</x:v>
      </x:c>
      <x:c r="U193" s="16" t="str">
        <x:v>NO — review only</x:v>
      </x:c>
    </x:row>
    <x:row r="194" ht="54" customHeight="1">
      <x:c r="A194" s="16" t="str">
        <x:v>en-07817e7127e4</x:v>
      </x:c>
      <x:c r="B194" s="16" t="str">
        <x:v>en</x:v>
      </x:c>
      <x:c r="C194" s="16" t="str">
        <x:v>XY Trainer Kit: Bisharp &amp; Wigglytuff</x:v>
      </x:c>
      <x:c r="D194" s="16" t="str">
        <x:v>XY Trainer Kit: Bisharp &amp; Wigglytuff</x:v>
      </x:c>
      <x:c r="E194" s="16" t="str">
        <x:v>XY</x:v>
      </x:c>
      <x:c r="F194" s="16" t="str">
        <x:v>Product / deck</x:v>
      </x:c>
      <x:c r="G194" s="16" t="str">
        <x:v>TK7</x:v>
      </x:c>
      <x:c r="H194" s="16" t="str">
        <x:v>Database/trainer-kit designator; component aliases TK7A/TK7B</x:v>
      </x:c>
      <x:c r="I194" s="16" t="str">
        <x:v>2014-11</x:v>
      </x:c>
      <x:c r="J194" s="16" t="str">
        <x:v>month</x:v>
      </x:c>
      <x:c r="K194" s="16" t="str">
        <x:v>International English; source default date</x:v>
      </x:c>
      <x:c r="L194" s="16"/>
      <x:c r="M194" s="16"/>
      <x:c r="N194" s="16"/>
      <x:c r="O194" s="16" t="n">
        <x:v>60</x:v>
      </x:c>
      <x:c r="P194" s="16" t="n">
        <x:v>60</x:v>
      </x:c>
      <x:c r="Q194" s="16"/>
      <x:c r="R194" s="16"/>
      <x:c r="S194" s="16" t="str"/>
      <x:c r="T194" s="16" t="str">
        <x:v>https://pkmncards.com/sets/ ; https://bulbapedia.bulbagarden.net/wiki/XY_Trainer_Kit_(TCG)</x:v>
      </x:c>
      <x:c r="U194" s="16" t="str">
        <x:v>NO — review only</x:v>
      </x:c>
    </x:row>
    <x:row r="195" ht="54" customHeight="1">
      <x:c r="A195" s="16" t="str">
        <x:v>en-302071e0cf37</x:v>
      </x:c>
      <x:c r="B195" s="16" t="str">
        <x:v>en</x:v>
      </x:c>
      <x:c r="C195" s="16" t="str">
        <x:v>XY Trainer Kit: Pikachu Libre &amp; Suicune</x:v>
      </x:c>
      <x:c r="D195" s="16" t="str">
        <x:v>XY Trainer Kit: Pikachu Libre &amp; Suicune</x:v>
      </x:c>
      <x:c r="E195" s="16" t="str">
        <x:v>XY</x:v>
      </x:c>
      <x:c r="F195" s="16" t="str">
        <x:v>Product / deck</x:v>
      </x:c>
      <x:c r="G195" s="16" t="str">
        <x:v>TK8</x:v>
      </x:c>
      <x:c r="H195" s="16" t="str">
        <x:v>Database/trainer-kit designator</x:v>
      </x:c>
      <x:c r="I195" s="16" t="str">
        <x:v>2016-04-27</x:v>
      </x:c>
      <x:c r="J195" s="16" t="str">
        <x:v>day</x:v>
      </x:c>
      <x:c r="K195" s="16" t="str">
        <x:v>International English; source default date</x:v>
      </x:c>
      <x:c r="L195" s="16"/>
      <x:c r="M195" s="16"/>
      <x:c r="N195" s="16"/>
      <x:c r="O195" s="16" t="n">
        <x:v>60</x:v>
      </x:c>
      <x:c r="P195" s="16" t="n">
        <x:v>60</x:v>
      </x:c>
      <x:c r="Q195" s="16"/>
      <x:c r="R195" s="16"/>
      <x:c r="S195" s="16" t="str"/>
      <x:c r="T195" s="16" t="str">
        <x:v>https://pkmncards.com/sets/ ; https://bulbapedia.bulbagarden.net/wiki/XY_Trainer_Kit_(TCG)</x:v>
      </x:c>
      <x:c r="U195" s="16" t="str">
        <x:v>NO — review only</x:v>
      </x:c>
    </x:row>
    <x:row r="196" ht="54" customHeight="1">
      <x:c r="A196" s="16" t="str">
        <x:v>en-6acc5b28480e</x:v>
      </x:c>
      <x:c r="B196" s="16" t="str">
        <x:v>en</x:v>
      </x:c>
      <x:c r="C196" s="16" t="str">
        <x:v>XY Trainer Kit: Sylveon &amp; Noivern</x:v>
      </x:c>
      <x:c r="D196" s="16" t="str">
        <x:v>XY Trainer Kit: Sylveon &amp; Noivern</x:v>
      </x:c>
      <x:c r="E196" s="16" t="str">
        <x:v>XY</x:v>
      </x:c>
      <x:c r="F196" s="16" t="str">
        <x:v>Product / deck</x:v>
      </x:c>
      <x:c r="G196" s="16" t="str">
        <x:v>TK6</x:v>
      </x:c>
      <x:c r="H196" s="16" t="str">
        <x:v>Database/trainer-kit designator; component aliases TK6N/TK6S</x:v>
      </x:c>
      <x:c r="I196" s="16" t="str">
        <x:v>2014-03-12</x:v>
      </x:c>
      <x:c r="J196" s="16" t="str">
        <x:v>day</x:v>
      </x:c>
      <x:c r="K196" s="16" t="str">
        <x:v>International English; source default date</x:v>
      </x:c>
      <x:c r="L196" s="16"/>
      <x:c r="M196" s="16"/>
      <x:c r="N196" s="16"/>
      <x:c r="O196" s="16" t="n">
        <x:v>60</x:v>
      </x:c>
      <x:c r="P196" s="16" t="n">
        <x:v>60</x:v>
      </x:c>
      <x:c r="Q196" s="16"/>
      <x:c r="R196" s="16"/>
      <x:c r="S196" s="16" t="str"/>
      <x:c r="T196" s="16" t="str">
        <x:v>https://pkmncards.com/sets/ ; https://bulbapedia.bulbagarden.net/wiki/XY_Trainer_Kit_(TCG)</x:v>
      </x:c>
      <x:c r="U196" s="16" t="str">
        <x:v>NO — review only</x:v>
      </x:c>
    </x:row>
    <x:row r="197" ht="54" customHeight="1">
      <x:c r="A197" s="16" t="str">
        <x:v>ja-d722650df667</x:v>
      </x:c>
      <x:c r="B197" s="16" t="str">
        <x:v>ja</x:v>
      </x:c>
      <x:c r="C197" s="16" t="str">
        <x:v>Expansion Pack</x:v>
      </x:c>
      <x:c r="D197" s="16" t="str">
        <x:v>拡張パック</x:v>
      </x:c>
      <x:c r="E197" s="16" t="str">
        <x:v>Original</x:v>
      </x:c>
      <x:c r="F197" s="16" t="str">
        <x:v>Card set / collection</x:v>
      </x:c>
      <x:c r="G197" s="16" t="str">
        <x:v>PMCG1</x:v>
      </x:c>
      <x:c r="H197" s="16" t="str">
        <x:v>Stackr/database series designator; official Japanese expansion no. 1</x:v>
      </x:c>
      <x:c r="I197" s="16" t="str">
        <x:v>1996-10-20</x:v>
      </x:c>
      <x:c r="J197" s="16" t="str">
        <x:v>day</x:v>
      </x:c>
      <x:c r="K197" s="16" t="str">
        <x:v>Japan</x:v>
      </x:c>
      <x:c r="L197" s="16" t="n">
        <x:v>102</x:v>
      </x:c>
      <x:c r="M197" s="16" t="n">
        <x:v>0</x:v>
      </x:c>
      <x:c r="N197" s="16" t="n">
        <x:v>0</x:v>
      </x:c>
      <x:c r="O197" s="16" t="n">
        <x:v>102</x:v>
      </x:c>
      <x:c r="P197" s="16" t="n">
        <x:v>102</x:v>
      </x:c>
      <x:c r="Q197" s="16"/>
      <x:c r="R197" s="16"/>
      <x:c r="S197" s="16" t="str"/>
      <x:c r="T197" s="16" t="str">
        <x:v>https://bulbapedia.bulbagarden.net/wiki/List_of_Japanese_TCG_Expansions</x:v>
      </x:c>
      <x:c r="U197" s="16" t="str">
        <x:v>NO — review only</x:v>
      </x:c>
    </x:row>
    <x:row r="198" ht="54" customHeight="1">
      <x:c r="A198" s="16" t="str">
        <x:v>ja-e7895419dae9</x:v>
      </x:c>
      <x:c r="B198" s="16" t="str">
        <x:v>ja</x:v>
      </x:c>
      <x:c r="C198" s="16" t="str">
        <x:v>Pokémon Jungle</x:v>
      </x:c>
      <x:c r="D198" s="16" t="str">
        <x:v>ポケモンジャングル</x:v>
      </x:c>
      <x:c r="E198" s="16" t="str">
        <x:v>Original</x:v>
      </x:c>
      <x:c r="F198" s="16" t="str">
        <x:v>Card set / collection</x:v>
      </x:c>
      <x:c r="G198" s="16" t="str">
        <x:v>PMCG2</x:v>
      </x:c>
      <x:c r="H198" s="16" t="str">
        <x:v>Stackr/database series designator; official Japanese expansion no. 2</x:v>
      </x:c>
      <x:c r="I198" s="16" t="str">
        <x:v>1997-03-05</x:v>
      </x:c>
      <x:c r="J198" s="16" t="str">
        <x:v>day</x:v>
      </x:c>
      <x:c r="K198" s="16" t="str">
        <x:v>Japan</x:v>
      </x:c>
      <x:c r="L198" s="16" t="n">
        <x:v>48</x:v>
      </x:c>
      <x:c r="M198" s="16" t="n">
        <x:v>0</x:v>
      </x:c>
      <x:c r="N198" s="16" t="n">
        <x:v>0</x:v>
      </x:c>
      <x:c r="O198" s="16" t="n">
        <x:v>48</x:v>
      </x:c>
      <x:c r="P198" s="16" t="n">
        <x:v>48</x:v>
      </x:c>
      <x:c r="Q198" s="16"/>
      <x:c r="R198" s="16"/>
      <x:c r="S198" s="16" t="str"/>
      <x:c r="T198" s="16" t="str">
        <x:v>https://bulbapedia.bulbagarden.net/wiki/List_of_Japanese_TCG_Expansions</x:v>
      </x:c>
      <x:c r="U198" s="16" t="str">
        <x:v>NO — review only</x:v>
      </x:c>
    </x:row>
    <x:row r="199" ht="54" customHeight="1">
      <x:c r="A199" s="16" t="str">
        <x:v>ja-96cbc157b1b7</x:v>
      </x:c>
      <x:c r="B199" s="16" t="str">
        <x:v>ja</x:v>
      </x:c>
      <x:c r="C199" s="16" t="str">
        <x:v>Mystery of the Fossils</x:v>
      </x:c>
      <x:c r="D199" s="16" t="str">
        <x:v>化石の秘密</x:v>
      </x:c>
      <x:c r="E199" s="16" t="str">
        <x:v>Original</x:v>
      </x:c>
      <x:c r="F199" s="16" t="str">
        <x:v>Card set / collection</x:v>
      </x:c>
      <x:c r="G199" s="16" t="str">
        <x:v>PMCG3</x:v>
      </x:c>
      <x:c r="H199" s="16" t="str">
        <x:v>Stackr/database series designator; official Japanese expansion no. 3</x:v>
      </x:c>
      <x:c r="I199" s="16" t="str">
        <x:v>1997-06-21</x:v>
      </x:c>
      <x:c r="J199" s="16" t="str">
        <x:v>day</x:v>
      </x:c>
      <x:c r="K199" s="16" t="str">
        <x:v>Japan</x:v>
      </x:c>
      <x:c r="L199" s="16" t="n">
        <x:v>48</x:v>
      </x:c>
      <x:c r="M199" s="16" t="n">
        <x:v>0</x:v>
      </x:c>
      <x:c r="N199" s="16" t="n">
        <x:v>0</x:v>
      </x:c>
      <x:c r="O199" s="16" t="n">
        <x:v>48</x:v>
      </x:c>
      <x:c r="P199" s="16" t="n">
        <x:v>48</x:v>
      </x:c>
      <x:c r="Q199" s="16"/>
      <x:c r="R199" s="16"/>
      <x:c r="S199" s="16" t="str"/>
      <x:c r="T199" s="16" t="str">
        <x:v>https://bulbapedia.bulbagarden.net/wiki/List_of_Japanese_TCG_Expansions</x:v>
      </x:c>
      <x:c r="U199" s="16" t="str">
        <x:v>NO — review only</x:v>
      </x:c>
    </x:row>
    <x:row r="200" ht="54" customHeight="1">
      <x:c r="A200" s="16" t="str">
        <x:v>ja-f556d02e1e51</x:v>
      </x:c>
      <x:c r="B200" s="16" t="str">
        <x:v>ja</x:v>
      </x:c>
      <x:c r="C200" s="16" t="str">
        <x:v>Rocket Gang</x:v>
      </x:c>
      <x:c r="D200" s="16" t="str">
        <x:v>ロケット団</x:v>
      </x:c>
      <x:c r="E200" s="16" t="str">
        <x:v>Original</x:v>
      </x:c>
      <x:c r="F200" s="16" t="str">
        <x:v>Card set / collection</x:v>
      </x:c>
      <x:c r="G200" s="16" t="str">
        <x:v>PMCG4</x:v>
      </x:c>
      <x:c r="H200" s="16" t="str">
        <x:v>Stackr/database series designator; official Japanese expansion no. 4</x:v>
      </x:c>
      <x:c r="I200" s="16" t="str">
        <x:v>1997-11-21</x:v>
      </x:c>
      <x:c r="J200" s="16" t="str">
        <x:v>day</x:v>
      </x:c>
      <x:c r="K200" s="16" t="str">
        <x:v>Japan</x:v>
      </x:c>
      <x:c r="L200" s="16" t="n">
        <x:v>65</x:v>
      </x:c>
      <x:c r="M200" s="16" t="n">
        <x:v>0</x:v>
      </x:c>
      <x:c r="N200" s="16" t="n">
        <x:v>0</x:v>
      </x:c>
      <x:c r="O200" s="16" t="n">
        <x:v>65</x:v>
      </x:c>
      <x:c r="P200" s="16" t="n">
        <x:v>65</x:v>
      </x:c>
      <x:c r="Q200" s="16"/>
      <x:c r="R200" s="16"/>
      <x:c r="S200" s="16" t="str"/>
      <x:c r="T200" s="16" t="str">
        <x:v>https://bulbapedia.bulbagarden.net/wiki/List_of_Japanese_TCG_Expansions</x:v>
      </x:c>
      <x:c r="U200" s="16" t="str">
        <x:v>NO — review only</x:v>
      </x:c>
    </x:row>
    <x:row r="201" ht="54" customHeight="1">
      <x:c r="A201" s="16" t="str">
        <x:v>ja-67f6283ec86c</x:v>
      </x:c>
      <x:c r="B201" s="16" t="str">
        <x:v>ja</x:v>
      </x:c>
      <x:c r="C201" s="16" t="str">
        <x:v>Expansion Sheet: Vending Series 1 (Blue)</x:v>
      </x:c>
      <x:c r="D201" s="16" t="str">
        <x:v>拡張シート 第1弾</x:v>
      </x:c>
      <x:c r="E201" s="16" t="str">
        <x:v>Original</x:v>
      </x:c>
      <x:c r="F201" s="16" t="str">
        <x:v>Card set / collection</x:v>
      </x:c>
      <x:c r="G201" s="16" t="str">
        <x:v>Vending1</x:v>
      </x:c>
      <x:c r="H201" s="16" t="str">
        <x:v>Stackr canonical alias; promotional Vending Series 1</x:v>
      </x:c>
      <x:c r="I201" s="16" t="str">
        <x:v>1998-03-23</x:v>
      </x:c>
      <x:c r="J201" s="16" t="str">
        <x:v>day</x:v>
      </x:c>
      <x:c r="K201" s="16" t="str">
        <x:v>Japan</x:v>
      </x:c>
      <x:c r="L201" s="16" t="n">
        <x:v>36</x:v>
      </x:c>
      <x:c r="M201" s="16" t="n">
        <x:v>0</x:v>
      </x:c>
      <x:c r="N201" s="16" t="n">
        <x:v>0</x:v>
      </x:c>
      <x:c r="O201" s="16" t="n">
        <x:v>36</x:v>
      </x:c>
      <x:c r="P201" s="16" t="n">
        <x:v>36</x:v>
      </x:c>
      <x:c r="Q201" s="16"/>
      <x:c r="R201" s="16"/>
      <x:c r="S201" s="16" t="str"/>
      <x:c r="T201" s="16" t="str">
        <x:v>https://bulbapedia.bulbagarden.net/wiki/List_of_Japanese_TCG_Expansions</x:v>
      </x:c>
      <x:c r="U201" s="16" t="str">
        <x:v>NO — review only</x:v>
      </x:c>
    </x:row>
    <x:row r="202" ht="54" customHeight="1">
      <x:c r="A202" s="16" t="str">
        <x:v>ja-9bd76242f73f</x:v>
      </x:c>
      <x:c r="B202" s="16" t="str">
        <x:v>ja</x:v>
      </x:c>
      <x:c r="C202" s="16" t="str">
        <x:v>Expansion Sheet: Vending Series 2 (Red)</x:v>
      </x:c>
      <x:c r="D202" s="16" t="str">
        <x:v>拡張シート 第2弾</x:v>
      </x:c>
      <x:c r="E202" s="16" t="str">
        <x:v>Original</x:v>
      </x:c>
      <x:c r="F202" s="16" t="str">
        <x:v>Card set / collection</x:v>
      </x:c>
      <x:c r="G202" s="16" t="str">
        <x:v>Vending2</x:v>
      </x:c>
      <x:c r="H202" s="16" t="str">
        <x:v>Stackr canonical alias; promotional Vending Series 2</x:v>
      </x:c>
      <x:c r="I202" s="16" t="str">
        <x:v>1998-06-17</x:v>
      </x:c>
      <x:c r="J202" s="16" t="str">
        <x:v>day</x:v>
      </x:c>
      <x:c r="K202" s="16" t="str">
        <x:v>Japan</x:v>
      </x:c>
      <x:c r="L202" s="16" t="n">
        <x:v>36</x:v>
      </x:c>
      <x:c r="M202" s="16" t="n">
        <x:v>0</x:v>
      </x:c>
      <x:c r="N202" s="16" t="n">
        <x:v>0</x:v>
      </x:c>
      <x:c r="O202" s="16" t="n">
        <x:v>36</x:v>
      </x:c>
      <x:c r="P202" s="16" t="n">
        <x:v>36</x:v>
      </x:c>
      <x:c r="Q202" s="16"/>
      <x:c r="R202" s="16"/>
      <x:c r="S202" s="16" t="str"/>
      <x:c r="T202" s="16" t="str">
        <x:v>https://bulbapedia.bulbagarden.net/wiki/List_of_Japanese_TCG_Expansions</x:v>
      </x:c>
      <x:c r="U202" s="16" t="str">
        <x:v>NO — review only</x:v>
      </x:c>
    </x:row>
    <x:row r="203" ht="54" customHeight="1">
      <x:c r="A203" s="16" t="str">
        <x:v>ja-f18120dbfa37</x:v>
      </x:c>
      <x:c r="B203" s="16" t="str">
        <x:v>ja</x:v>
      </x:c>
      <x:c r="C203" s="16" t="str">
        <x:v>Leaders' Stadium</x:v>
      </x:c>
      <x:c r="D203" s="16" t="str">
        <x:v>リーダーズスタジアム</x:v>
      </x:c>
      <x:c r="E203" s="16" t="str">
        <x:v>Original</x:v>
      </x:c>
      <x:c r="F203" s="16" t="str">
        <x:v>Card set / collection</x:v>
      </x:c>
      <x:c r="G203" s="16" t="str">
        <x:v>PMCG5</x:v>
      </x:c>
      <x:c r="H203" s="16" t="str">
        <x:v>Stackr/database series designator; official Japanese expansion no. 5; alias Gym1</x:v>
      </x:c>
      <x:c r="I203" s="16" t="str">
        <x:v>1998-10-24</x:v>
      </x:c>
      <x:c r="J203" s="16" t="str">
        <x:v>day</x:v>
      </x:c>
      <x:c r="K203" s="16" t="str">
        <x:v>Japan</x:v>
      </x:c>
      <x:c r="L203" s="16" t="n">
        <x:v>96</x:v>
      </x:c>
      <x:c r="M203" s="16" t="n">
        <x:v>0</x:v>
      </x:c>
      <x:c r="N203" s="16" t="n">
        <x:v>0</x:v>
      </x:c>
      <x:c r="O203" s="16" t="n">
        <x:v>96</x:v>
      </x:c>
      <x:c r="P203" s="16" t="n">
        <x:v>96</x:v>
      </x:c>
      <x:c r="Q203" s="16"/>
      <x:c r="R203" s="16"/>
      <x:c r="S203" s="16" t="str"/>
      <x:c r="T203" s="16" t="str">
        <x:v>https://bulbapedia.bulbagarden.net/wiki/List_of_Japanese_TCG_Expansions</x:v>
      </x:c>
      <x:c r="U203" s="16" t="str">
        <x:v>NO — review only</x:v>
      </x:c>
    </x:row>
    <x:row r="204" ht="54" customHeight="1">
      <x:c r="A204" s="16" t="str">
        <x:v>ja-5bdb5008be38</x:v>
      </x:c>
      <x:c r="B204" s="16" t="str">
        <x:v>ja</x:v>
      </x:c>
      <x:c r="C204" s="16" t="str">
        <x:v>Expansion Sheet: Vending Series 3 (Green)</x:v>
      </x:c>
      <x:c r="D204" s="16" t="str">
        <x:v>拡張シート 第3弾</x:v>
      </x:c>
      <x:c r="E204" s="16" t="str">
        <x:v>Original</x:v>
      </x:c>
      <x:c r="F204" s="16" t="str">
        <x:v>Card set / collection</x:v>
      </x:c>
      <x:c r="G204" s="16" t="str">
        <x:v>Vending3</x:v>
      </x:c>
      <x:c r="H204" s="16" t="str">
        <x:v>Stackr canonical alias; promotional Vending Series 3</x:v>
      </x:c>
      <x:c r="I204" s="16" t="str">
        <x:v>1998-11-24</x:v>
      </x:c>
      <x:c r="J204" s="16" t="str">
        <x:v>day</x:v>
      </x:c>
      <x:c r="K204" s="16" t="str">
        <x:v>Japan</x:v>
      </x:c>
      <x:c r="L204" s="16" t="n">
        <x:v>36</x:v>
      </x:c>
      <x:c r="M204" s="16" t="n">
        <x:v>0</x:v>
      </x:c>
      <x:c r="N204" s="16" t="n">
        <x:v>0</x:v>
      </x:c>
      <x:c r="O204" s="16" t="n">
        <x:v>36</x:v>
      </x:c>
      <x:c r="P204" s="16" t="n">
        <x:v>36</x:v>
      </x:c>
      <x:c r="Q204" s="16"/>
      <x:c r="R204" s="16"/>
      <x:c r="S204" s="16" t="str"/>
      <x:c r="T204" s="16" t="str">
        <x:v>https://bulbapedia.bulbagarden.net/wiki/List_of_Japanese_TCG_Expansions</x:v>
      </x:c>
      <x:c r="U204" s="16" t="str">
        <x:v>NO — review only</x:v>
      </x:c>
    </x:row>
    <x:row r="205" ht="54" customHeight="1">
      <x:c r="A205" s="16" t="str">
        <x:v>ja-f204abc8bf9b</x:v>
      </x:c>
      <x:c r="B205" s="16" t="str">
        <x:v>ja</x:v>
      </x:c>
      <x:c r="C205" s="16" t="str">
        <x:v>Challenge from the Darkness</x:v>
      </x:c>
      <x:c r="D205" s="16" t="str">
        <x:v>闇からの挑戦</x:v>
      </x:c>
      <x:c r="E205" s="16" t="str">
        <x:v>Original</x:v>
      </x:c>
      <x:c r="F205" s="16" t="str">
        <x:v>Card set / collection</x:v>
      </x:c>
      <x:c r="G205" s="16" t="str">
        <x:v>PMCG6</x:v>
      </x:c>
      <x:c r="H205" s="16" t="str">
        <x:v>Stackr/database series designator; official Japanese expansion no. 6; alias Gym2</x:v>
      </x:c>
      <x:c r="I205" s="16" t="str">
        <x:v>1999-06-25</x:v>
      </x:c>
      <x:c r="J205" s="16" t="str">
        <x:v>day</x:v>
      </x:c>
      <x:c r="K205" s="16" t="str">
        <x:v>Japan</x:v>
      </x:c>
      <x:c r="L205" s="16" t="n">
        <x:v>98</x:v>
      </x:c>
      <x:c r="M205" s="16" t="n">
        <x:v>0</x:v>
      </x:c>
      <x:c r="N205" s="16" t="n">
        <x:v>0</x:v>
      </x:c>
      <x:c r="O205" s="16" t="n">
        <x:v>98</x:v>
      </x:c>
      <x:c r="P205" s="16" t="n">
        <x:v>98</x:v>
      </x:c>
      <x:c r="Q205" s="16"/>
      <x:c r="R205" s="16"/>
      <x:c r="S205" s="16" t="str"/>
      <x:c r="T205" s="16" t="str">
        <x:v>https://bulbapedia.bulbagarden.net/wiki/List_of_Japanese_TCG_Expansions</x:v>
      </x:c>
      <x:c r="U205" s="16" t="str">
        <x:v>NO — review only</x:v>
      </x:c>
    </x:row>
    <x:row r="206" ht="54" customHeight="1">
      <x:c r="A206" s="16" t="str">
        <x:v>ja-c8ebd015e6c7</x:v>
      </x:c>
      <x:c r="B206" s="16" t="str">
        <x:v>ja</x:v>
      </x:c>
      <x:c r="C206" s="16" t="str">
        <x:v>Southern Islands</x:v>
      </x:c>
      <x:c r="D206" s="16" t="str">
        <x:v>サザンアイランド</x:v>
      </x:c>
      <x:c r="E206" s="16" t="str">
        <x:v>Original</x:v>
      </x:c>
      <x:c r="F206" s="16" t="str">
        <x:v>Card set / collection</x:v>
      </x:c>
      <x:c r="G206" s="16" t="str">
        <x:v>JA-SI</x:v>
      </x:c>
      <x:c r="H206" s="16" t="str">
        <x:v>Stackr canonical internal alias for Japanese Southern Islands; avoids collision with the official SI identifier used by Start Deck 100.</x:v>
      </x:c>
      <x:c r="I206" s="16" t="str">
        <x:v>1999-07-17</x:v>
      </x:c>
      <x:c r="J206" s="16" t="str">
        <x:v>day</x:v>
      </x:c>
      <x:c r="K206" s="16" t="str">
        <x:v>Japan</x:v>
      </x:c>
      <x:c r="L206" s="16" t="n">
        <x:v>18</x:v>
      </x:c>
      <x:c r="M206" s="16" t="n">
        <x:v>0</x:v>
      </x:c>
      <x:c r="N206" s="16" t="n">
        <x:v>0</x:v>
      </x:c>
      <x:c r="O206" s="16" t="n">
        <x:v>18</x:v>
      </x:c>
      <x:c r="P206" s="16" t="n">
        <x:v>18</x:v>
      </x:c>
      <x:c r="Q206" s="16"/>
      <x:c r="R206" s="16"/>
      <x:c r="S206" s="16" t="str"/>
      <x:c r="T206" s="16" t="str">
        <x:v>https://bulbapedia.bulbagarden.net/wiki/List_of_Japanese_TCG_Expansions</x:v>
      </x:c>
      <x:c r="U206" s="16" t="str">
        <x:v>NO — review only</x:v>
      </x:c>
    </x:row>
    <x:row r="207" ht="54" customHeight="1">
      <x:c r="A207" s="16" t="str">
        <x:v>ja-a532d3dde077</x:v>
      </x:c>
      <x:c r="B207" s="16" t="str">
        <x:v>ja</x:v>
      </x:c>
      <x:c r="C207" s="16" t="str">
        <x:v>Gold, Silver, to a New World...</x:v>
      </x:c>
      <x:c r="D207" s="16" t="str">
        <x:v>金、銀、新世界へ...</x:v>
      </x:c>
      <x:c r="E207" s="16" t="str">
        <x:v>Neo</x:v>
      </x:c>
      <x:c r="F207" s="16" t="str">
        <x:v>Card set / collection</x:v>
      </x:c>
      <x:c r="G207" s="16" t="str">
        <x:v>Neo1</x:v>
      </x:c>
      <x:c r="H207" s="16" t="str">
        <x:v>Series designator; Neo main expansion no. 1</x:v>
      </x:c>
      <x:c r="I207" s="16" t="str">
        <x:v>2000-02-04</x:v>
      </x:c>
      <x:c r="J207" s="16" t="str">
        <x:v>day</x:v>
      </x:c>
      <x:c r="K207" s="16" t="str">
        <x:v>Japan</x:v>
      </x:c>
      <x:c r="L207" s="16" t="n">
        <x:v>96</x:v>
      </x:c>
      <x:c r="M207" s="16" t="n">
        <x:v>0</x:v>
      </x:c>
      <x:c r="N207" s="16" t="n">
        <x:v>0</x:v>
      </x:c>
      <x:c r="O207" s="16" t="n">
        <x:v>96</x:v>
      </x:c>
      <x:c r="P207" s="16" t="n">
        <x:v>96</x:v>
      </x:c>
      <x:c r="Q207" s="16"/>
      <x:c r="R207" s="16"/>
      <x:c r="S207" s="16" t="str"/>
      <x:c r="T207" s="16" t="str">
        <x:v>https://bulbapedia.bulbagarden.net/wiki/List_of_Japanese_TCG_Expansions</x:v>
      </x:c>
      <x:c r="U207" s="16" t="str">
        <x:v>NO — review only</x:v>
      </x:c>
    </x:row>
    <x:row r="208" ht="54" customHeight="1">
      <x:c r="A208" s="16" t="str">
        <x:v>ja-4c0b4b1b444a</x:v>
      </x:c>
      <x:c r="B208" s="16" t="str">
        <x:v>ja</x:v>
      </x:c>
      <x:c r="C208" s="16" t="str">
        <x:v>Crossing the Ruins...</x:v>
      </x:c>
      <x:c r="D208" s="16" t="str">
        <x:v>遺跡をこえて...</x:v>
      </x:c>
      <x:c r="E208" s="16" t="str">
        <x:v>Neo</x:v>
      </x:c>
      <x:c r="F208" s="16" t="str">
        <x:v>Card set / collection</x:v>
      </x:c>
      <x:c r="G208" s="16" t="str">
        <x:v>Neo2</x:v>
      </x:c>
      <x:c r="H208" s="16" t="str">
        <x:v>Series designator; Neo main expansion no. 2</x:v>
      </x:c>
      <x:c r="I208" s="16" t="str">
        <x:v>2000-07-07</x:v>
      </x:c>
      <x:c r="J208" s="16" t="str">
        <x:v>day</x:v>
      </x:c>
      <x:c r="K208" s="16" t="str">
        <x:v>Japan</x:v>
      </x:c>
      <x:c r="L208" s="16" t="n">
        <x:v>56</x:v>
      </x:c>
      <x:c r="M208" s="16" t="n">
        <x:v>0</x:v>
      </x:c>
      <x:c r="N208" s="16" t="n">
        <x:v>0</x:v>
      </x:c>
      <x:c r="O208" s="16" t="n">
        <x:v>56</x:v>
      </x:c>
      <x:c r="P208" s="16" t="n">
        <x:v>56</x:v>
      </x:c>
      <x:c r="Q208" s="16"/>
      <x:c r="R208" s="16"/>
      <x:c r="S208" s="16" t="str"/>
      <x:c r="T208" s="16" t="str">
        <x:v>https://bulbapedia.bulbagarden.net/wiki/List_of_Japanese_TCG_Expansions</x:v>
      </x:c>
      <x:c r="U208" s="16" t="str">
        <x:v>NO — review only</x:v>
      </x:c>
    </x:row>
    <x:row r="209" ht="54" customHeight="1">
      <x:c r="A209" s="16" t="str">
        <x:v>ja-14ecd336f6c4</x:v>
      </x:c>
      <x:c r="B209" s="16" t="str">
        <x:v>ja</x:v>
      </x:c>
      <x:c r="C209" s="16" t="str">
        <x:v>Awakening Legends</x:v>
      </x:c>
      <x:c r="D209" s="16" t="str">
        <x:v>めざめる伝説</x:v>
      </x:c>
      <x:c r="E209" s="16" t="str">
        <x:v>Neo</x:v>
      </x:c>
      <x:c r="F209" s="16" t="str">
        <x:v>Card set / collection</x:v>
      </x:c>
      <x:c r="G209" s="16" t="str">
        <x:v>Neo3</x:v>
      </x:c>
      <x:c r="H209" s="16" t="str">
        <x:v>Series designator; Neo main expansion no. 3</x:v>
      </x:c>
      <x:c r="I209" s="16" t="str">
        <x:v>2000-11-23</x:v>
      </x:c>
      <x:c r="J209" s="16" t="str">
        <x:v>day</x:v>
      </x:c>
      <x:c r="K209" s="16" t="str">
        <x:v>Japan</x:v>
      </x:c>
      <x:c r="L209" s="16" t="n">
        <x:v>57</x:v>
      </x:c>
      <x:c r="M209" s="16" t="n">
        <x:v>0</x:v>
      </x:c>
      <x:c r="N209" s="16" t="n">
        <x:v>0</x:v>
      </x:c>
      <x:c r="O209" s="16" t="n">
        <x:v>57</x:v>
      </x:c>
      <x:c r="P209" s="16" t="n">
        <x:v>57</x:v>
      </x:c>
      <x:c r="Q209" s="16"/>
      <x:c r="R209" s="16"/>
      <x:c r="S209" s="16" t="str"/>
      <x:c r="T209" s="16" t="str">
        <x:v>https://bulbapedia.bulbagarden.net/wiki/List_of_Japanese_TCG_Expansions</x:v>
      </x:c>
      <x:c r="U209" s="16" t="str">
        <x:v>NO — review only</x:v>
      </x:c>
    </x:row>
    <x:row r="210" ht="54" customHeight="1">
      <x:c r="A210" s="16" t="str">
        <x:v>ja-1ab5b2841927</x:v>
      </x:c>
      <x:c r="B210" s="16" t="str">
        <x:v>ja</x:v>
      </x:c>
      <x:c r="C210" s="16" t="str">
        <x:v>Darkness, and to Light...</x:v>
      </x:c>
      <x:c r="D210" s="16" t="str">
        <x:v>闇、そして光へ...</x:v>
      </x:c>
      <x:c r="E210" s="16" t="str">
        <x:v>Neo</x:v>
      </x:c>
      <x:c r="F210" s="16" t="str">
        <x:v>Card set / collection</x:v>
      </x:c>
      <x:c r="G210" s="16" t="str">
        <x:v>Neo4</x:v>
      </x:c>
      <x:c r="H210" s="16" t="str">
        <x:v>Series designator; Neo main expansion no. 4</x:v>
      </x:c>
      <x:c r="I210" s="16" t="str">
        <x:v>2001-04-20</x:v>
      </x:c>
      <x:c r="J210" s="16" t="str">
        <x:v>day</x:v>
      </x:c>
      <x:c r="K210" s="16" t="str">
        <x:v>Japan</x:v>
      </x:c>
      <x:c r="L210" s="16" t="n">
        <x:v>113</x:v>
      </x:c>
      <x:c r="M210" s="16" t="n">
        <x:v>0</x:v>
      </x:c>
      <x:c r="N210" s="16" t="n">
        <x:v>0</x:v>
      </x:c>
      <x:c r="O210" s="16" t="n">
        <x:v>113</x:v>
      </x:c>
      <x:c r="P210" s="16" t="n">
        <x:v>113</x:v>
      </x:c>
      <x:c r="Q210" s="16"/>
      <x:c r="R210" s="16"/>
      <x:c r="S210" s="16" t="str"/>
      <x:c r="T210" s="16" t="str">
        <x:v>https://bulbapedia.bulbagarden.net/wiki/List_of_Japanese_TCG_Expansions</x:v>
      </x:c>
      <x:c r="U210" s="16" t="str">
        <x:v>NO — review only</x:v>
      </x:c>
    </x:row>
    <x:row r="211" ht="54" customHeight="1">
      <x:c r="A211" s="16" t="str">
        <x:v>ja-694d6a421da5</x:v>
      </x:c>
      <x:c r="B211" s="16" t="str">
        <x:v>ja</x:v>
      </x:c>
      <x:c r="C211" s="16" t="str">
        <x:v>P Promotional cards</x:v>
      </x:c>
      <x:c r="D211" s="16" t="str">
        <x:v>Pプロモカード</x:v>
      </x:c>
      <x:c r="E211" s="16" t="str">
        <x:v>e-Card</x:v>
      </x:c>
      <x:c r="F211" s="16" t="str">
        <x:v>Promo catalogue</x:v>
      </x:c>
      <x:c r="G211" s="16" t="str">
        <x:v>P</x:v>
      </x:c>
      <x:c r="H211" s="16" t="str">
        <x:v>Promotional numbering prefix</x:v>
      </x:c>
      <x:c r="I211" s="16" t="str">
        <x:v>2001-07</x:v>
      </x:c>
      <x:c r="J211" s="16" t="str">
        <x:v>month</x:v>
      </x:c>
      <x:c r="K211" s="16" t="str">
        <x:v>Japan</x:v>
      </x:c>
      <x:c r="L211" s="16" t="n">
        <x:v>47</x:v>
      </x:c>
      <x:c r="M211" s="16" t="n">
        <x:v>0</x:v>
      </x:c>
      <x:c r="N211" s="16" t="n">
        <x:v>0</x:v>
      </x:c>
      <x:c r="O211" s="16" t="n">
        <x:v>47</x:v>
      </x:c>
      <x:c r="P211" s="16" t="n">
        <x:v>47</x:v>
      </x:c>
      <x:c r="Q211" s="16"/>
      <x:c r="R211" s="16"/>
      <x:c r="S211" s="16" t="str"/>
      <x:c r="T211" s="16" t="str">
        <x:v>https://bulbapedia.bulbagarden.net/wiki/P_Promotional_cards_%28TCG%29</x:v>
      </x:c>
      <x:c r="U211" s="16" t="str">
        <x:v>NO — review only</x:v>
      </x:c>
    </x:row>
    <x:row r="212" ht="54" customHeight="1">
      <x:c r="A212" s="16" t="str">
        <x:v>ja-6e4fae6e522b</x:v>
      </x:c>
      <x:c r="B212" s="16" t="str">
        <x:v>ja</x:v>
      </x:c>
      <x:c r="C212" s="16" t="str">
        <x:v>Pokémon Card★VS</x:v>
      </x:c>
      <x:c r="D212" s="16" t="str">
        <x:v>ポケモンカード★VS</x:v>
      </x:c>
      <x:c r="E212" s="16" t="str">
        <x:v>VS</x:v>
      </x:c>
      <x:c r="F212" s="16" t="str">
        <x:v>Card set / collection</x:v>
      </x:c>
      <x:c r="G212" s="16" t="str">
        <x:v>VS</x:v>
      </x:c>
      <x:c r="H212" s="16" t="str">
        <x:v>Series designator; VS era</x:v>
      </x:c>
      <x:c r="I212" s="16" t="str">
        <x:v>2001-07-19</x:v>
      </x:c>
      <x:c r="J212" s="16" t="str">
        <x:v>day</x:v>
      </x:c>
      <x:c r="K212" s="16" t="str">
        <x:v>Japan</x:v>
      </x:c>
      <x:c r="L212" s="16" t="n">
        <x:v>141</x:v>
      </x:c>
      <x:c r="M212" s="16" t="n">
        <x:v>1</x:v>
      </x:c>
      <x:c r="N212" s="16" t="n">
        <x:v>0</x:v>
      </x:c>
      <x:c r="O212" s="16" t="n">
        <x:v>142</x:v>
      </x:c>
      <x:c r="P212" s="16" t="n">
        <x:v>142</x:v>
      </x:c>
      <x:c r="Q212" s="16"/>
      <x:c r="R212" s="16"/>
      <x:c r="S212" s="16" t="str"/>
      <x:c r="T212" s="16" t="str">
        <x:v>https://bulbapedia.bulbagarden.net/wiki/List_of_Japanese_TCG_Expansions</x:v>
      </x:c>
      <x:c r="U212" s="16" t="str">
        <x:v>NO — review only</x:v>
      </x:c>
    </x:row>
    <x:row r="213" ht="54" customHeight="1">
      <x:c r="A213" s="16" t="str">
        <x:v>ja-ddb55a1b97e2</x:v>
      </x:c>
      <x:c r="B213" s="16" t="str">
        <x:v>ja</x:v>
      </x:c>
      <x:c r="C213" s="16" t="str">
        <x:v>J Promotional cards</x:v>
      </x:c>
      <x:c r="D213" s="16" t="str">
        <x:v>Jプロモカード</x:v>
      </x:c>
      <x:c r="E213" s="16" t="str">
        <x:v>e-Card</x:v>
      </x:c>
      <x:c r="F213" s="16" t="str">
        <x:v>Promo catalogue</x:v>
      </x:c>
      <x:c r="G213" s="16" t="str">
        <x:v>J</x:v>
      </x:c>
      <x:c r="H213" s="16" t="str">
        <x:v>Promotional numbering prefix</x:v>
      </x:c>
      <x:c r="I213" s="16" t="str">
        <x:v>2001-08</x:v>
      </x:c>
      <x:c r="J213" s="16" t="str">
        <x:v>month</x:v>
      </x:c>
      <x:c r="K213" s="16" t="str">
        <x:v>Japan</x:v>
      </x:c>
      <x:c r="L213" s="16" t="n">
        <x:v>2</x:v>
      </x:c>
      <x:c r="M213" s="16" t="n">
        <x:v>0</x:v>
      </x:c>
      <x:c r="N213" s="16" t="n">
        <x:v>0</x:v>
      </x:c>
      <x:c r="O213" s="16" t="n">
        <x:v>2</x:v>
      </x:c>
      <x:c r="P213" s="16" t="n">
        <x:v>2</x:v>
      </x:c>
      <x:c r="Q213" s="16"/>
      <x:c r="R213" s="16"/>
      <x:c r="S213" s="16" t="str"/>
      <x:c r="T213" s="16" t="str">
        <x:v>https://bulbapedia.bulbagarden.net/wiki/Category%3AJapanese_promotional_cards</x:v>
      </x:c>
      <x:c r="U213" s="16" t="str">
        <x:v>NO — review only</x:v>
      </x:c>
    </x:row>
    <x:row r="214" ht="54" customHeight="1">
      <x:c r="A214" s="16" t="str">
        <x:v>ja-bd87aa858368</x:v>
      </x:c>
      <x:c r="B214" s="16" t="str">
        <x:v>ja</x:v>
      </x:c>
      <x:c r="C214" s="16" t="str">
        <x:v>Pokémon Card★web</x:v>
      </x:c>
      <x:c r="D214" s="16" t="str">
        <x:v>ポケモンカード★web</x:v>
      </x:c>
      <x:c r="E214" s="16" t="str">
        <x:v>Web</x:v>
      </x:c>
      <x:c r="F214" s="16" t="str">
        <x:v>Card set / collection</x:v>
      </x:c>
      <x:c r="G214" s="16" t="str">
        <x:v>Web</x:v>
      </x:c>
      <x:c r="H214" s="16" t="str">
        <x:v>Established database shorthand; Web collection</x:v>
      </x:c>
      <x:c r="I214" s="16" t="str">
        <x:v>2001-10-20</x:v>
      </x:c>
      <x:c r="J214" s="16" t="str">
        <x:v>day</x:v>
      </x:c>
      <x:c r="K214" s="16" t="str">
        <x:v>Japan</x:v>
      </x:c>
      <x:c r="L214" s="16" t="n">
        <x:v>48</x:v>
      </x:c>
      <x:c r="M214" s="16" t="n">
        <x:v>0</x:v>
      </x:c>
      <x:c r="N214" s="16" t="n">
        <x:v>0</x:v>
      </x:c>
      <x:c r="O214" s="16" t="n">
        <x:v>48</x:v>
      </x:c>
      <x:c r="P214" s="16" t="n">
        <x:v>48</x:v>
      </x:c>
      <x:c r="Q214" s="16"/>
      <x:c r="R214" s="16"/>
      <x:c r="S214" s="16" t="str"/>
      <x:c r="T214" s="16" t="str">
        <x:v>https://bulbapedia.bulbagarden.net/wiki/List_of_Japanese_TCG_Expansions</x:v>
      </x:c>
      <x:c r="U214" s="16" t="str">
        <x:v>NO — review only</x:v>
      </x:c>
    </x:row>
    <x:row r="215" ht="54" customHeight="1">
      <x:c r="A215" s="16" t="str">
        <x:v>ja-19b0125d0ef2</x:v>
      </x:c>
      <x:c r="B215" s="16" t="str">
        <x:v>ja</x:v>
      </x:c>
      <x:c r="C215" s="16" t="str">
        <x:v>Base Expansion Pack</x:v>
      </x:c>
      <x:c r="D215" s="16" t="str">
        <x:v>基本拡張パック</x:v>
      </x:c>
      <x:c r="E215" s="16" t="str">
        <x:v>e-Card</x:v>
      </x:c>
      <x:c r="F215" s="16" t="str">
        <x:v>Card set / collection</x:v>
      </x:c>
      <x:c r="G215" s="16" t="str">
        <x:v>e1</x:v>
      </x:c>
      <x:c r="H215" s="16" t="str">
        <x:v>Series designator; e-Card main expansion no. 1</x:v>
      </x:c>
      <x:c r="I215" s="16" t="str">
        <x:v>2001-12-01</x:v>
      </x:c>
      <x:c r="J215" s="16" t="str">
        <x:v>day</x:v>
      </x:c>
      <x:c r="K215" s="16" t="str">
        <x:v>Japan</x:v>
      </x:c>
      <x:c r="L215" s="16" t="n">
        <x:v>128</x:v>
      </x:c>
      <x:c r="M215" s="16" t="n">
        <x:v>0</x:v>
      </x:c>
      <x:c r="N215" s="16" t="n">
        <x:v>0</x:v>
      </x:c>
      <x:c r="O215" s="16" t="n">
        <x:v>128</x:v>
      </x:c>
      <x:c r="P215" s="16" t="n">
        <x:v>128</x:v>
      </x:c>
      <x:c r="Q215" s="16"/>
      <x:c r="R215" s="16"/>
      <x:c r="S215" s="16" t="str"/>
      <x:c r="T215" s="16" t="str">
        <x:v>https://bulbapedia.bulbagarden.net/wiki/List_of_Japanese_TCG_Expansions</x:v>
      </x:c>
      <x:c r="U215" s="16" t="str">
        <x:v>NO — review only</x:v>
      </x:c>
    </x:row>
    <x:row r="216" ht="54" customHeight="1">
      <x:c r="A216" s="16" t="str">
        <x:v>ja-50f9d368a5bd</x:v>
      </x:c>
      <x:c r="B216" s="16" t="str">
        <x:v>ja</x:v>
      </x:c>
      <x:c r="C216" s="16" t="str">
        <x:v>T Promotional cards</x:v>
      </x:c>
      <x:c r="D216" s="16" t="str">
        <x:v>Tプロモカード</x:v>
      </x:c>
      <x:c r="E216" s="16" t="str">
        <x:v>e-Card</x:v>
      </x:c>
      <x:c r="F216" s="16" t="str">
        <x:v>Promo catalogue</x:v>
      </x:c>
      <x:c r="G216" s="16" t="str">
        <x:v>T</x:v>
      </x:c>
      <x:c r="H216" s="16" t="str">
        <x:v>Promotional numbering prefix</x:v>
      </x:c>
      <x:c r="I216" s="16" t="str">
        <x:v>2002-01</x:v>
      </x:c>
      <x:c r="J216" s="16" t="str">
        <x:v>month</x:v>
      </x:c>
      <x:c r="K216" s="16" t="str">
        <x:v>Japan</x:v>
      </x:c>
      <x:c r="L216" s="16" t="n">
        <x:v>24</x:v>
      </x:c>
      <x:c r="M216" s="16" t="n">
        <x:v>0</x:v>
      </x:c>
      <x:c r="N216" s="16" t="n">
        <x:v>0</x:v>
      </x:c>
      <x:c r="O216" s="16" t="n">
        <x:v>24</x:v>
      </x:c>
      <x:c r="P216" s="16" t="n">
        <x:v>24</x:v>
      </x:c>
      <x:c r="Q216" s="16"/>
      <x:c r="R216" s="16"/>
      <x:c r="S216" s="16" t="str"/>
      <x:c r="T216" s="16" t="str">
        <x:v>https://bulbapedia.bulbagarden.net/wiki/Category%3AJapanese_promotional_cards</x:v>
      </x:c>
      <x:c r="U216" s="16" t="str">
        <x:v>NO — review only</x:v>
      </x:c>
    </x:row>
    <x:row r="217" ht="54" customHeight="1">
      <x:c r="A217" s="16" t="str">
        <x:v>ja-91f917868d08</x:v>
      </x:c>
      <x:c r="B217" s="16" t="str">
        <x:v>ja</x:v>
      </x:c>
      <x:c r="C217" s="16" t="str">
        <x:v>McDonald's Original Minimum★Pack</x:v>
      </x:c>
      <x:c r="D217" s="16" t="str">
        <x:v>マクドナルドオリジナル ミニマム★パック</x:v>
      </x:c>
      <x:c r="E217" s="16" t="str">
        <x:v>e-Card</x:v>
      </x:c>
      <x:c r="F217" s="16" t="str">
        <x:v>Promo catalogue</x:v>
      </x:c>
      <x:c r="G217" s="16" t="str">
        <x:v>MCD02</x:v>
      </x:c>
      <x:c r="H217" s="16" t="str">
        <x:v>Stackr internal alias for the 2002 McDonald's Original Minimum★Pack; no normal expansion code established</x:v>
      </x:c>
      <x:c r="I217" s="16" t="str">
        <x:v>2002-01-26</x:v>
      </x:c>
      <x:c r="J217" s="16" t="str">
        <x:v>day</x:v>
      </x:c>
      <x:c r="K217" s="16" t="str">
        <x:v>Japan</x:v>
      </x:c>
      <x:c r="L217" s="16" t="n">
        <x:v>30</x:v>
      </x:c>
      <x:c r="M217" s="16" t="n">
        <x:v>0</x:v>
      </x:c>
      <x:c r="N217" s="16" t="n">
        <x:v>0</x:v>
      </x:c>
      <x:c r="O217" s="16" t="n">
        <x:v>30</x:v>
      </x:c>
      <x:c r="P217" s="16" t="n">
        <x:v>30</x:v>
      </x:c>
      <x:c r="Q217" s="16"/>
      <x:c r="R217" s="16"/>
      <x:c r="S217" s="16" t="str"/>
      <x:c r="T217" s="16" t="str">
        <x:v>https://bulbapedia.bulbagarden.net/wiki/McDonald%27s_Pokemon-e_Minimum_Pack</x:v>
      </x:c>
      <x:c r="U217" s="16" t="str">
        <x:v>NO — review only</x:v>
      </x:c>
    </x:row>
    <x:row r="218" ht="54" customHeight="1">
      <x:c r="A218" s="16" t="str">
        <x:v>ja-1b38a138c59c</x:v>
      </x:c>
      <x:c r="B218" s="16" t="str">
        <x:v>ja</x:v>
      </x:c>
      <x:c r="C218" s="16" t="str">
        <x:v>The Town on No Map</x:v>
      </x:c>
      <x:c r="D218" s="16" t="str">
        <x:v>地図にない町</x:v>
      </x:c>
      <x:c r="E218" s="16" t="str">
        <x:v>e-Card</x:v>
      </x:c>
      <x:c r="F218" s="16" t="str">
        <x:v>Card set / collection</x:v>
      </x:c>
      <x:c r="G218" s="16" t="str">
        <x:v>e2</x:v>
      </x:c>
      <x:c r="H218" s="16" t="str">
        <x:v>Series designator; e-Card main expansion no. 2</x:v>
      </x:c>
      <x:c r="I218" s="16" t="str">
        <x:v>2002-03-08</x:v>
      </x:c>
      <x:c r="J218" s="16" t="str">
        <x:v>day</x:v>
      </x:c>
      <x:c r="K218" s="16" t="str">
        <x:v>Japan</x:v>
      </x:c>
      <x:c r="L218" s="16" t="n">
        <x:v>92</x:v>
      </x:c>
      <x:c r="M218" s="16" t="n">
        <x:v>0</x:v>
      </x:c>
      <x:c r="N218" s="16" t="n">
        <x:v>0</x:v>
      </x:c>
      <x:c r="O218" s="16" t="n">
        <x:v>92</x:v>
      </x:c>
      <x:c r="P218" s="16" t="n">
        <x:v>92</x:v>
      </x:c>
      <x:c r="Q218" s="16"/>
      <x:c r="R218" s="16"/>
      <x:c r="S218" s="16" t="str"/>
      <x:c r="T218" s="16" t="str">
        <x:v>https://bulbapedia.bulbagarden.net/wiki/List_of_Japanese_TCG_Expansions</x:v>
      </x:c>
      <x:c r="U218" s="16" t="str">
        <x:v>NO — review only</x:v>
      </x:c>
    </x:row>
    <x:row r="219" ht="54" customHeight="1">
      <x:c r="A219" s="16" t="str">
        <x:v>ja-61b293a47b88</x:v>
      </x:c>
      <x:c r="B219" s="16" t="str">
        <x:v>ja</x:v>
      </x:c>
      <x:c r="C219" s="16" t="str">
        <x:v>Wind from the Sea</x:v>
      </x:c>
      <x:c r="D219" s="16" t="str">
        <x:v>海からの風</x:v>
      </x:c>
      <x:c r="E219" s="16" t="str">
        <x:v>e-Card</x:v>
      </x:c>
      <x:c r="F219" s="16" t="str">
        <x:v>Card set / collection</x:v>
      </x:c>
      <x:c r="G219" s="16" t="str">
        <x:v>e3</x:v>
      </x:c>
      <x:c r="H219" s="16" t="str">
        <x:v>Series designator; e-Card main expansion no. 3</x:v>
      </x:c>
      <x:c r="I219" s="16" t="str">
        <x:v>2002-05-24</x:v>
      </x:c>
      <x:c r="J219" s="16" t="str">
        <x:v>day</x:v>
      </x:c>
      <x:c r="K219" s="16" t="str">
        <x:v>Japan</x:v>
      </x:c>
      <x:c r="L219" s="16" t="n">
        <x:v>87</x:v>
      </x:c>
      <x:c r="M219" s="16" t="n">
        <x:v>3</x:v>
      </x:c>
      <x:c r="N219" s="16" t="n">
        <x:v>0</x:v>
      </x:c>
      <x:c r="O219" s="16" t="n">
        <x:v>90</x:v>
      </x:c>
      <x:c r="P219" s="16" t="n">
        <x:v>90</x:v>
      </x:c>
      <x:c r="Q219" s="16"/>
      <x:c r="R219" s="16"/>
      <x:c r="S219" s="16" t="str"/>
      <x:c r="T219" s="16" t="str">
        <x:v>https://bulbapedia.bulbagarden.net/wiki/List_of_Japanese_TCG_Expansions</x:v>
      </x:c>
      <x:c r="U219" s="16" t="str">
        <x:v>NO — review only</x:v>
      </x:c>
    </x:row>
    <x:row r="220" ht="54" customHeight="1">
      <x:c r="A220" s="16" t="str">
        <x:v>ja-6a862845aa36</x:v>
      </x:c>
      <x:c r="B220" s="16" t="str">
        <x:v>ja</x:v>
      </x:c>
      <x:c r="C220" s="16" t="str">
        <x:v>Split Earth</x:v>
      </x:c>
      <x:c r="D220" s="16" t="str">
        <x:v>裂けた大地</x:v>
      </x:c>
      <x:c r="E220" s="16" t="str">
        <x:v>e-Card</x:v>
      </x:c>
      <x:c r="F220" s="16" t="str">
        <x:v>Card set / collection</x:v>
      </x:c>
      <x:c r="G220" s="16" t="str">
        <x:v>e4</x:v>
      </x:c>
      <x:c r="H220" s="16" t="str">
        <x:v>Series designator; e-Card main expansion no. 4</x:v>
      </x:c>
      <x:c r="I220" s="16" t="str">
        <x:v>2002-08-23</x:v>
      </x:c>
      <x:c r="J220" s="16" t="str">
        <x:v>day</x:v>
      </x:c>
      <x:c r="K220" s="16" t="str">
        <x:v>Japan</x:v>
      </x:c>
      <x:c r="L220" s="16" t="n">
        <x:v>88</x:v>
      </x:c>
      <x:c r="M220" s="16" t="n">
        <x:v>3</x:v>
      </x:c>
      <x:c r="N220" s="16" t="n">
        <x:v>0</x:v>
      </x:c>
      <x:c r="O220" s="16" t="n">
        <x:v>91</x:v>
      </x:c>
      <x:c r="P220" s="16" t="n">
        <x:v>91</x:v>
      </x:c>
      <x:c r="Q220" s="16"/>
      <x:c r="R220" s="16"/>
      <x:c r="S220" s="16" t="str"/>
      <x:c r="T220" s="16" t="str">
        <x:v>https://bulbapedia.bulbagarden.net/wiki/List_of_Japanese_TCG_Expansions</x:v>
      </x:c>
      <x:c r="U220" s="16" t="str">
        <x:v>NO — review only</x:v>
      </x:c>
    </x:row>
    <x:row r="221" ht="54" customHeight="1">
      <x:c r="A221" s="16" t="str">
        <x:v>ja-e4c00d42f6bb</x:v>
      </x:c>
      <x:c r="B221" s="16" t="str">
        <x:v>ja</x:v>
      </x:c>
      <x:c r="C221" s="16" t="str">
        <x:v>Mysterious Mountains</x:v>
      </x:c>
      <x:c r="D221" s="16" t="str">
        <x:v>神秘なる山</x:v>
      </x:c>
      <x:c r="E221" s="16" t="str">
        <x:v>e-Card</x:v>
      </x:c>
      <x:c r="F221" s="16" t="str">
        <x:v>Card set / collection</x:v>
      </x:c>
      <x:c r="G221" s="16" t="str">
        <x:v>e5</x:v>
      </x:c>
      <x:c r="H221" s="16" t="str">
        <x:v>Series designator; e-Card main expansion no. 5</x:v>
      </x:c>
      <x:c r="I221" s="16" t="str">
        <x:v>2002-10-04</x:v>
      </x:c>
      <x:c r="J221" s="16" t="str">
        <x:v>day</x:v>
      </x:c>
      <x:c r="K221" s="16" t="str">
        <x:v>Japan</x:v>
      </x:c>
      <x:c r="L221" s="16" t="n">
        <x:v>88</x:v>
      </x:c>
      <x:c r="M221" s="16" t="n">
        <x:v>3</x:v>
      </x:c>
      <x:c r="N221" s="16" t="n">
        <x:v>0</x:v>
      </x:c>
      <x:c r="O221" s="16" t="n">
        <x:v>91</x:v>
      </x:c>
      <x:c r="P221" s="16" t="n">
        <x:v>91</x:v>
      </x:c>
      <x:c r="Q221" s="16"/>
      <x:c r="R221" s="16"/>
      <x:c r="S221" s="16" t="str"/>
      <x:c r="T221" s="16" t="str">
        <x:v>https://bulbapedia.bulbagarden.net/wiki/List_of_Japanese_TCG_Expansions</x:v>
      </x:c>
      <x:c r="U221" s="16" t="str">
        <x:v>NO — review only</x:v>
      </x:c>
    </x:row>
    <x:row r="222" ht="54" customHeight="1">
      <x:c r="A222" s="16" t="str">
        <x:v>ja-41afcbcca321</x:v>
      </x:c>
      <x:c r="B222" s="16" t="str">
        <x:v>ja</x:v>
      </x:c>
      <x:c r="C222" s="16" t="str">
        <x:v>ADV-P Promotional cards</x:v>
      </x:c>
      <x:c r="D222" s="16" t="str">
        <x:v>ADV-Pプロモカード</x:v>
      </x:c>
      <x:c r="E222" s="16" t="str">
        <x:v>ADV</x:v>
      </x:c>
      <x:c r="F222" s="16" t="str">
        <x:v>Promo catalogue</x:v>
      </x:c>
      <x:c r="G222" s="16" t="str">
        <x:v>ADV-P</x:v>
      </x:c>
      <x:c r="H222" s="16" t="str">
        <x:v>Promotional numbering prefix</x:v>
      </x:c>
      <x:c r="I222" s="16" t="str">
        <x:v>2003-01</x:v>
      </x:c>
      <x:c r="J222" s="16" t="str">
        <x:v>month</x:v>
      </x:c>
      <x:c r="K222" s="16" t="str">
        <x:v>Japan</x:v>
      </x:c>
      <x:c r="L222" s="16" t="n">
        <x:v>63</x:v>
      </x:c>
      <x:c r="M222" s="16" t="n">
        <x:v>0</x:v>
      </x:c>
      <x:c r="N222" s="16" t="n">
        <x:v>0</x:v>
      </x:c>
      <x:c r="O222" s="16" t="n">
        <x:v>63</x:v>
      </x:c>
      <x:c r="P222" s="16" t="n">
        <x:v>63</x:v>
      </x:c>
      <x:c r="Q222" s="16"/>
      <x:c r="R222" s="16"/>
      <x:c r="S222" s="16" t="str"/>
      <x:c r="T222" s="16" t="str">
        <x:v>https://bulbapedia.bulbagarden.net/wiki/ADV-P</x:v>
      </x:c>
      <x:c r="U222" s="16" t="str">
        <x:v>NO — review only</x:v>
      </x:c>
    </x:row>
    <x:row r="223" ht="54" customHeight="1">
      <x:c r="A223" s="16" t="str">
        <x:v>ja-d25bf55a9cb2</x:v>
      </x:c>
      <x:c r="B223" s="16" t="str">
        <x:v>ja</x:v>
      </x:c>
      <x:c r="C223" s="16" t="str">
        <x:v>PLAY Promotional cards</x:v>
      </x:c>
      <x:c r="D223" s="16" t="str">
        <x:v>PLAYプロモカード</x:v>
      </x:c>
      <x:c r="E223" s="16" t="str">
        <x:v>ADV</x:v>
      </x:c>
      <x:c r="F223" s="16" t="str">
        <x:v>Promo catalogue</x:v>
      </x:c>
      <x:c r="G223" s="16" t="str">
        <x:v>PLAY</x:v>
      </x:c>
      <x:c r="H223" s="16" t="str">
        <x:v>Promotional numbering prefix</x:v>
      </x:c>
      <x:c r="I223" s="16" t="str">
        <x:v>2003-01</x:v>
      </x:c>
      <x:c r="J223" s="16" t="str">
        <x:v>month</x:v>
      </x:c>
      <x:c r="K223" s="16" t="str">
        <x:v>Japan</x:v>
      </x:c>
      <x:c r="L223" s="16" t="n">
        <x:v>32</x:v>
      </x:c>
      <x:c r="M223" s="16" t="n">
        <x:v>0</x:v>
      </x:c>
      <x:c r="N223" s="16" t="n">
        <x:v>0</x:v>
      </x:c>
      <x:c r="O223" s="16" t="n">
        <x:v>32</x:v>
      </x:c>
      <x:c r="P223" s="16" t="n">
        <x:v>32</x:v>
      </x:c>
      <x:c r="Q223" s="16"/>
      <x:c r="R223" s="16"/>
      <x:c r="S223" s="16" t="str"/>
      <x:c r="T223" s="16" t="str">
        <x:v>https://bulbapedia.bulbagarden.net/wiki/Category%3AJapanese_promotional_cards</x:v>
      </x:c>
      <x:c r="U223" s="16" t="str">
        <x:v>NO — review only</x:v>
      </x:c>
    </x:row>
    <x:row r="224" ht="54" customHeight="1">
      <x:c r="A224" s="16" t="str">
        <x:v>ja-d5664388d43a</x:v>
      </x:c>
      <x:c r="B224" s="16" t="str">
        <x:v>ja</x:v>
      </x:c>
      <x:c r="C224" s="16" t="str">
        <x:v>ADV Expansion Pack</x:v>
      </x:c>
      <x:c r="D224" s="16" t="str">
        <x:v>拡張パック</x:v>
      </x:c>
      <x:c r="E224" s="16" t="str">
        <x:v>ADV</x:v>
      </x:c>
      <x:c r="F224" s="16" t="str">
        <x:v>Card set / collection</x:v>
      </x:c>
      <x:c r="G224" s="16" t="str">
        <x:v>ADV1</x:v>
      </x:c>
      <x:c r="H224" s="16" t="str">
        <x:v>Series designator; ADV main expansion no. 1</x:v>
      </x:c>
      <x:c r="I224" s="16" t="str">
        <x:v>2003-01-31</x:v>
      </x:c>
      <x:c r="J224" s="16" t="str">
        <x:v>day</x:v>
      </x:c>
      <x:c r="K224" s="16" t="str">
        <x:v>Japan</x:v>
      </x:c>
      <x:c r="L224" s="16" t="n">
        <x:v>55</x:v>
      </x:c>
      <x:c r="M224" s="16" t="n">
        <x:v>0</x:v>
      </x:c>
      <x:c r="N224" s="16" t="n">
        <x:v>0</x:v>
      </x:c>
      <x:c r="O224" s="16" t="n">
        <x:v>55</x:v>
      </x:c>
      <x:c r="P224" s="16" t="n">
        <x:v>55</x:v>
      </x:c>
      <x:c r="Q224" s="16"/>
      <x:c r="R224" s="16"/>
      <x:c r="S224" s="16" t="str"/>
      <x:c r="T224" s="16" t="str">
        <x:v>https://bulbapedia.bulbagarden.net/wiki/List_of_Japanese_TCG_Expansions</x:v>
      </x:c>
      <x:c r="U224" s="16" t="str">
        <x:v>NO — review only</x:v>
      </x:c>
    </x:row>
    <x:row r="225" ht="54" customHeight="1">
      <x:c r="A225" s="16" t="str">
        <x:v>ja-b1f20b82870a</x:v>
      </x:c>
      <x:c r="B225" s="16" t="str">
        <x:v>ja</x:v>
      </x:c>
      <x:c r="C225" s="16" t="str">
        <x:v>Miracle of the Desert</x:v>
      </x:c>
      <x:c r="D225" s="16" t="str">
        <x:v>砂漠のきせき</x:v>
      </x:c>
      <x:c r="E225" s="16" t="str">
        <x:v>ADV</x:v>
      </x:c>
      <x:c r="F225" s="16" t="str">
        <x:v>Card set / collection</x:v>
      </x:c>
      <x:c r="G225" s="16" t="str">
        <x:v>ADV2</x:v>
      </x:c>
      <x:c r="H225" s="16" t="str">
        <x:v>Series designator; ADV main expansion no. 2</x:v>
      </x:c>
      <x:c r="I225" s="16" t="str">
        <x:v>2003-04-18</x:v>
      </x:c>
      <x:c r="J225" s="16" t="str">
        <x:v>day</x:v>
      </x:c>
      <x:c r="K225" s="16" t="str">
        <x:v>Japan</x:v>
      </x:c>
      <x:c r="L225" s="16" t="n">
        <x:v>53</x:v>
      </x:c>
      <x:c r="M225" s="16" t="n">
        <x:v>0</x:v>
      </x:c>
      <x:c r="N225" s="16" t="n">
        <x:v>0</x:v>
      </x:c>
      <x:c r="O225" s="16" t="n">
        <x:v>53</x:v>
      </x:c>
      <x:c r="P225" s="16" t="n">
        <x:v>53</x:v>
      </x:c>
      <x:c r="Q225" s="16"/>
      <x:c r="R225" s="16"/>
      <x:c r="S225" s="16" t="str"/>
      <x:c r="T225" s="16" t="str">
        <x:v>https://bulbapedia.bulbagarden.net/wiki/List_of_Japanese_TCG_Expansions</x:v>
      </x:c>
      <x:c r="U225" s="16" t="str">
        <x:v>NO — review only</x:v>
      </x:c>
    </x:row>
    <x:row r="226" ht="54" customHeight="1">
      <x:c r="A226" s="16" t="str">
        <x:v>ja-65c3523196a0</x:v>
      </x:c>
      <x:c r="B226" s="16" t="str">
        <x:v>ja</x:v>
      </x:c>
      <x:c r="C226" s="16" t="str">
        <x:v>Rulers of the Heavens</x:v>
      </x:c>
      <x:c r="D226" s="16" t="str">
        <x:v>天空の覇者</x:v>
      </x:c>
      <x:c r="E226" s="16" t="str">
        <x:v>ADV</x:v>
      </x:c>
      <x:c r="F226" s="16" t="str">
        <x:v>Card set / collection</x:v>
      </x:c>
      <x:c r="G226" s="16" t="str">
        <x:v>ADV3</x:v>
      </x:c>
      <x:c r="H226" s="16" t="str">
        <x:v>Series designator; ADV main expansion no. 3</x:v>
      </x:c>
      <x:c r="I226" s="16" t="str">
        <x:v>2003-06-25</x:v>
      </x:c>
      <x:c r="J226" s="16" t="str">
        <x:v>day</x:v>
      </x:c>
      <x:c r="K226" s="16" t="str">
        <x:v>Japan</x:v>
      </x:c>
      <x:c r="L226" s="16" t="n">
        <x:v>54</x:v>
      </x:c>
      <x:c r="M226" s="16" t="n">
        <x:v>0</x:v>
      </x:c>
      <x:c r="N226" s="16" t="n">
        <x:v>0</x:v>
      </x:c>
      <x:c r="O226" s="16" t="n">
        <x:v>54</x:v>
      </x:c>
      <x:c r="P226" s="16" t="n">
        <x:v>54</x:v>
      </x:c>
      <x:c r="Q226" s="16"/>
      <x:c r="R226" s="16"/>
      <x:c r="S226" s="16" t="str"/>
      <x:c r="T226" s="16" t="str">
        <x:v>https://bulbapedia.bulbagarden.net/wiki/List_of_Japanese_TCG_Expansions</x:v>
      </x:c>
      <x:c r="U226" s="16" t="str">
        <x:v>NO — review only</x:v>
      </x:c>
    </x:row>
    <x:row r="227" ht="54" customHeight="1">
      <x:c r="A227" s="16" t="str">
        <x:v>ja-ac97c5a93e93</x:v>
      </x:c>
      <x:c r="B227" s="16" t="str">
        <x:v>ja</x:v>
      </x:c>
      <x:c r="C227" s="16" t="str">
        <x:v>Magma VS Aqua: Two Ambitions</x:v>
      </x:c>
      <x:c r="D227" s="16" t="str">
        <x:v>マグマVSアクア ふたつの野望</x:v>
      </x:c>
      <x:c r="E227" s="16" t="str">
        <x:v>ADV</x:v>
      </x:c>
      <x:c r="F227" s="16" t="str">
        <x:v>Card set / collection</x:v>
      </x:c>
      <x:c r="G227" s="16" t="str">
        <x:v>ADV-MVA</x:v>
      </x:c>
      <x:c r="H227" s="16" t="str">
        <x:v>Stackr canonical alias for ADV-era subset; not ADV4</x:v>
      </x:c>
      <x:c r="I227" s="16" t="str">
        <x:v>2003-10-24</x:v>
      </x:c>
      <x:c r="J227" s="16" t="str">
        <x:v>day</x:v>
      </x:c>
      <x:c r="K227" s="16" t="str">
        <x:v>Japan</x:v>
      </x:c>
      <x:c r="L227" s="16" t="n">
        <x:v>80</x:v>
      </x:c>
      <x:c r="M227" s="16" t="n">
        <x:v>0</x:v>
      </x:c>
      <x:c r="N227" s="16" t="n">
        <x:v>0</x:v>
      </x:c>
      <x:c r="O227" s="16" t="n">
        <x:v>80</x:v>
      </x:c>
      <x:c r="P227" s="16" t="n">
        <x:v>80</x:v>
      </x:c>
      <x:c r="Q227" s="16"/>
      <x:c r="R227" s="16"/>
      <x:c r="S227" s="16" t="str"/>
      <x:c r="T227" s="16" t="str">
        <x:v>https://bulbapedia.bulbagarden.net/wiki/List_of_Japanese_TCG_Expansions</x:v>
      </x:c>
      <x:c r="U227" s="16" t="str">
        <x:v>NO — review only</x:v>
      </x:c>
    </x:row>
    <x:row r="228" ht="54" customHeight="1">
      <x:c r="A228" s="16" t="str">
        <x:v>ja-c2fcd6909311</x:v>
      </x:c>
      <x:c r="B228" s="16" t="str">
        <x:v>ja</x:v>
      </x:c>
      <x:c r="C228" s="16" t="str">
        <x:v>Undone Seal</x:v>
      </x:c>
      <x:c r="D228" s="16" t="str">
        <x:v>とかれた封印</x:v>
      </x:c>
      <x:c r="E228" s="16" t="str">
        <x:v>ADV</x:v>
      </x:c>
      <x:c r="F228" s="16" t="str">
        <x:v>Card set / collection</x:v>
      </x:c>
      <x:c r="G228" s="16" t="str">
        <x:v>ADV4</x:v>
      </x:c>
      <x:c r="H228" s="16" t="str">
        <x:v>Series designator; ADV main expansion no. 4</x:v>
      </x:c>
      <x:c r="I228" s="16" t="str">
        <x:v>2004-01-16</x:v>
      </x:c>
      <x:c r="J228" s="16" t="str">
        <x:v>day</x:v>
      </x:c>
      <x:c r="K228" s="16" t="str">
        <x:v>Japan</x:v>
      </x:c>
      <x:c r="L228" s="16" t="n">
        <x:v>83</x:v>
      </x:c>
      <x:c r="M228" s="16" t="n">
        <x:v>0</x:v>
      </x:c>
      <x:c r="N228" s="16" t="n">
        <x:v>0</x:v>
      </x:c>
      <x:c r="O228" s="16" t="n">
        <x:v>83</x:v>
      </x:c>
      <x:c r="P228" s="16" t="n">
        <x:v>83</x:v>
      </x:c>
      <x:c r="Q228" s="16"/>
      <x:c r="R228" s="16"/>
      <x:c r="S228" s="16" t="str"/>
      <x:c r="T228" s="16" t="str">
        <x:v>https://bulbapedia.bulbagarden.net/wiki/List_of_Japanese_TCG_Expansions</x:v>
      </x:c>
      <x:c r="U228" s="16" t="str">
        <x:v>NO — review only</x:v>
      </x:c>
    </x:row>
    <x:row r="229" ht="54" customHeight="1">
      <x:c r="A229" s="16" t="str">
        <x:v>ja-69e99c848c8f</x:v>
      </x:c>
      <x:c r="B229" s="16" t="str">
        <x:v>ja</x:v>
      </x:c>
      <x:c r="C229" s="16" t="str">
        <x:v>PCG-P Promotional cards</x:v>
      </x:c>
      <x:c r="D229" s="16" t="str">
        <x:v>PCG-Pプロモカード</x:v>
      </x:c>
      <x:c r="E229" s="16" t="str">
        <x:v>PCG</x:v>
      </x:c>
      <x:c r="F229" s="16" t="str">
        <x:v>Promo catalogue</x:v>
      </x:c>
      <x:c r="G229" s="16" t="str">
        <x:v>PCG-P</x:v>
      </x:c>
      <x:c r="H229" s="16" t="str">
        <x:v>Promotional numbering prefix</x:v>
      </x:c>
      <x:c r="I229" s="16" t="str">
        <x:v>2004-02</x:v>
      </x:c>
      <x:c r="J229" s="16" t="str">
        <x:v>month</x:v>
      </x:c>
      <x:c r="K229" s="16" t="str">
        <x:v>Japan</x:v>
      </x:c>
      <x:c r="L229" s="16" t="n">
        <x:v>154</x:v>
      </x:c>
      <x:c r="M229" s="16" t="n">
        <x:v>0</x:v>
      </x:c>
      <x:c r="N229" s="16" t="n">
        <x:v>0</x:v>
      </x:c>
      <x:c r="O229" s="16" t="n">
        <x:v>154</x:v>
      </x:c>
      <x:c r="P229" s="16" t="n">
        <x:v>154</x:v>
      </x:c>
      <x:c r="Q229" s="16"/>
      <x:c r="R229" s="16"/>
      <x:c r="S229" s="16" t="str"/>
      <x:c r="T229" s="16" t="str">
        <x:v>https://bulbapedia.bulbagarden.net/wiki/Category%3AJapanese_promotional_cards</x:v>
      </x:c>
      <x:c r="U229" s="16" t="str">
        <x:v>NO — review only</x:v>
      </x:c>
    </x:row>
    <x:row r="230" ht="54" customHeight="1">
      <x:c r="A230" s="16" t="str">
        <x:v>ja-f4ad1a5de8de</x:v>
      </x:c>
      <x:c r="B230" s="16" t="str">
        <x:v>ja</x:v>
      </x:c>
      <x:c r="C230" s="16" t="str">
        <x:v>Flight of Legends</x:v>
      </x:c>
      <x:c r="D230" s="16" t="str">
        <x:v>伝説の飛翔</x:v>
      </x:c>
      <x:c r="E230" s="16" t="str">
        <x:v>PCG</x:v>
      </x:c>
      <x:c r="F230" s="16" t="str">
        <x:v>Card set / collection</x:v>
      </x:c>
      <x:c r="G230" s="16" t="str">
        <x:v>PCG1</x:v>
      </x:c>
      <x:c r="H230" s="16" t="str">
        <x:v>Series designator; PCG main expansion no. 1</x:v>
      </x:c>
      <x:c r="I230" s="16" t="str">
        <x:v>2004-04-09</x:v>
      </x:c>
      <x:c r="J230" s="16" t="str">
        <x:v>day</x:v>
      </x:c>
      <x:c r="K230" s="16" t="str">
        <x:v>Japan</x:v>
      </x:c>
      <x:c r="L230" s="16" t="n">
        <x:v>82</x:v>
      </x:c>
      <x:c r="M230" s="16" t="n">
        <x:v>0</x:v>
      </x:c>
      <x:c r="N230" s="16" t="n">
        <x:v>0</x:v>
      </x:c>
      <x:c r="O230" s="16" t="n">
        <x:v>82</x:v>
      </x:c>
      <x:c r="P230" s="16" t="n">
        <x:v>82</x:v>
      </x:c>
      <x:c r="Q230" s="16"/>
      <x:c r="R230" s="16"/>
      <x:c r="S230" s="16" t="str"/>
      <x:c r="T230" s="16" t="str">
        <x:v>https://bulbapedia.bulbagarden.net/wiki/List_of_Japanese_TCG_Expansions</x:v>
      </x:c>
      <x:c r="U230" s="16" t="str">
        <x:v>NO — review only</x:v>
      </x:c>
    </x:row>
    <x:row r="231" ht="54" customHeight="1">
      <x:c r="A231" s="16" t="str">
        <x:v>ja-fbdbd21d3497</x:v>
      </x:c>
      <x:c r="B231" s="16" t="str">
        <x:v>ja</x:v>
      </x:c>
      <x:c r="C231" s="16" t="str">
        <x:v>Clash of the Blue Sky</x:v>
      </x:c>
      <x:c r="D231" s="16" t="str">
        <x:v>蒼空の激突</x:v>
      </x:c>
      <x:c r="E231" s="16" t="str">
        <x:v>PCG</x:v>
      </x:c>
      <x:c r="F231" s="16" t="str">
        <x:v>Card set / collection</x:v>
      </x:c>
      <x:c r="G231" s="16" t="str">
        <x:v>PCG2</x:v>
      </x:c>
      <x:c r="H231" s="16" t="str">
        <x:v>Series designator; PCG main expansion no. 2</x:v>
      </x:c>
      <x:c r="I231" s="16" t="str">
        <x:v>2004-07-01</x:v>
      </x:c>
      <x:c r="J231" s="16" t="str">
        <x:v>day</x:v>
      </x:c>
      <x:c r="K231" s="16" t="str">
        <x:v>Japan</x:v>
      </x:c>
      <x:c r="L231" s="16" t="n">
        <x:v>82</x:v>
      </x:c>
      <x:c r="M231" s="16" t="n">
        <x:v>0</x:v>
      </x:c>
      <x:c r="N231" s="16" t="n">
        <x:v>0</x:v>
      </x:c>
      <x:c r="O231" s="16" t="n">
        <x:v>82</x:v>
      </x:c>
      <x:c r="P231" s="16" t="n">
        <x:v>82</x:v>
      </x:c>
      <x:c r="Q231" s="16"/>
      <x:c r="R231" s="16"/>
      <x:c r="S231" s="16" t="str"/>
      <x:c r="T231" s="16" t="str">
        <x:v>https://bulbapedia.bulbagarden.net/wiki/List_of_Japanese_TCG_Expansions</x:v>
      </x:c>
      <x:c r="U231" s="16" t="str">
        <x:v>NO — review only</x:v>
      </x:c>
    </x:row>
    <x:row r="232" ht="54" customHeight="1">
      <x:c r="A232" s="16" t="str">
        <x:v>ja-ad3e200bd99c</x:v>
      </x:c>
      <x:c r="B232" s="16" t="str">
        <x:v>ja</x:v>
      </x:c>
      <x:c r="C232" s="16" t="str">
        <x:v>Rocket Gang Strikes Back</x:v>
      </x:c>
      <x:c r="D232" s="16" t="str">
        <x:v>ロケット団の逆襲</x:v>
      </x:c>
      <x:c r="E232" s="16" t="str">
        <x:v>PCG</x:v>
      </x:c>
      <x:c r="F232" s="16" t="str">
        <x:v>Card set / collection</x:v>
      </x:c>
      <x:c r="G232" s="16" t="str">
        <x:v>PCG3</x:v>
      </x:c>
      <x:c r="H232" s="16" t="str">
        <x:v>Series designator; PCG main expansion no. 3</x:v>
      </x:c>
      <x:c r="I232" s="16" t="str">
        <x:v>2004-10-15</x:v>
      </x:c>
      <x:c r="J232" s="16" t="str">
        <x:v>day</x:v>
      </x:c>
      <x:c r="K232" s="16" t="str">
        <x:v>Japan</x:v>
      </x:c>
      <x:c r="L232" s="16" t="n">
        <x:v>84</x:v>
      </x:c>
      <x:c r="M232" s="16" t="n">
        <x:v>1</x:v>
      </x:c>
      <x:c r="N232" s="16" t="n">
        <x:v>0</x:v>
      </x:c>
      <x:c r="O232" s="16" t="n">
        <x:v>85</x:v>
      </x:c>
      <x:c r="P232" s="16" t="n">
        <x:v>85</x:v>
      </x:c>
      <x:c r="Q232" s="16"/>
      <x:c r="R232" s="16"/>
      <x:c r="S232" s="16" t="str"/>
      <x:c r="T232" s="16" t="str">
        <x:v>https://bulbapedia.bulbagarden.net/wiki/List_of_Japanese_TCG_Expansions</x:v>
      </x:c>
      <x:c r="U232" s="16" t="str">
        <x:v>NO — review only</x:v>
      </x:c>
    </x:row>
    <x:row r="233" ht="54" customHeight="1">
      <x:c r="A233" s="16" t="str">
        <x:v>ja-9dd6c248531c</x:v>
      </x:c>
      <x:c r="B233" s="16" t="str">
        <x:v>ja</x:v>
      </x:c>
      <x:c r="C233" s="16" t="str">
        <x:v>Golden Sky, Silvery Ocean</x:v>
      </x:c>
      <x:c r="D233" s="16" t="str">
        <x:v>金の空、銀の海</x:v>
      </x:c>
      <x:c r="E233" s="16" t="str">
        <x:v>PCG</x:v>
      </x:c>
      <x:c r="F233" s="16" t="str">
        <x:v>Card set / collection</x:v>
      </x:c>
      <x:c r="G233" s="16" t="str">
        <x:v>PCG4</x:v>
      </x:c>
      <x:c r="H233" s="16" t="str">
        <x:v>Series designator; PCG main expansion no. 4</x:v>
      </x:c>
      <x:c r="I233" s="16" t="str">
        <x:v>2005-04-08</x:v>
      </x:c>
      <x:c r="J233" s="16" t="str">
        <x:v>day</x:v>
      </x:c>
      <x:c r="K233" s="16" t="str">
        <x:v>Japan</x:v>
      </x:c>
      <x:c r="L233" s="16" t="n">
        <x:v>106</x:v>
      </x:c>
      <x:c r="M233" s="16" t="n">
        <x:v>0</x:v>
      </x:c>
      <x:c r="N233" s="16" t="n">
        <x:v>0</x:v>
      </x:c>
      <x:c r="O233" s="16" t="n">
        <x:v>106</x:v>
      </x:c>
      <x:c r="P233" s="16" t="n">
        <x:v>106</x:v>
      </x:c>
      <x:c r="Q233" s="16"/>
      <x:c r="R233" s="16"/>
      <x:c r="S233" s="16" t="str"/>
      <x:c r="T233" s="16" t="str">
        <x:v>https://bulbapedia.bulbagarden.net/wiki/List_of_Japanese_TCG_Expansions</x:v>
      </x:c>
      <x:c r="U233" s="16" t="str">
        <x:v>NO — review only</x:v>
      </x:c>
    </x:row>
    <x:row r="234" ht="54" customHeight="1">
      <x:c r="A234" s="16" t="str">
        <x:v>ja-9b8346044725</x:v>
      </x:c>
      <x:c r="B234" s="16" t="str">
        <x:v>ja</x:v>
      </x:c>
      <x:c r="C234" s="16" t="str">
        <x:v>Mirage Forest</x:v>
      </x:c>
      <x:c r="D234" s="16" t="str">
        <x:v>まぼろしの森</x:v>
      </x:c>
      <x:c r="E234" s="16" t="str">
        <x:v>PCG</x:v>
      </x:c>
      <x:c r="F234" s="16" t="str">
        <x:v>Card set / collection</x:v>
      </x:c>
      <x:c r="G234" s="16" t="str">
        <x:v>PCG5</x:v>
      </x:c>
      <x:c r="H234" s="16" t="str">
        <x:v>Series designator; PCG main expansion no. 5</x:v>
      </x:c>
      <x:c r="I234" s="16" t="str">
        <x:v>2005-06-30</x:v>
      </x:c>
      <x:c r="J234" s="16" t="str">
        <x:v>day</x:v>
      </x:c>
      <x:c r="K234" s="16" t="str">
        <x:v>Japan</x:v>
      </x:c>
      <x:c r="L234" s="16" t="n">
        <x:v>86</x:v>
      </x:c>
      <x:c r="M234" s="16" t="n">
        <x:v>0</x:v>
      </x:c>
      <x:c r="N234" s="16" t="n">
        <x:v>0</x:v>
      </x:c>
      <x:c r="O234" s="16" t="n">
        <x:v>86</x:v>
      </x:c>
      <x:c r="P234" s="16" t="n">
        <x:v>86</x:v>
      </x:c>
      <x:c r="Q234" s="16"/>
      <x:c r="R234" s="16"/>
      <x:c r="S234" s="16" t="str"/>
      <x:c r="T234" s="16" t="str">
        <x:v>https://bulbapedia.bulbagarden.net/wiki/List_of_Japanese_TCG_Expansions</x:v>
      </x:c>
      <x:c r="U234" s="16" t="str">
        <x:v>NO — review only</x:v>
      </x:c>
    </x:row>
    <x:row r="235" ht="54" customHeight="1">
      <x:c r="A235" s="16" t="str">
        <x:v>ja-575fbe513ad9</x:v>
      </x:c>
      <x:c r="B235" s="16" t="str">
        <x:v>ja</x:v>
      </x:c>
      <x:c r="C235" s="16" t="str">
        <x:v>Holon Research Tower</x:v>
      </x:c>
      <x:c r="D235" s="16" t="str">
        <x:v>ホロンの研究塔</x:v>
      </x:c>
      <x:c r="E235" s="16" t="str">
        <x:v>PCG</x:v>
      </x:c>
      <x:c r="F235" s="16" t="str">
        <x:v>Card set / collection</x:v>
      </x:c>
      <x:c r="G235" s="16" t="str">
        <x:v>PCG6</x:v>
      </x:c>
      <x:c r="H235" s="16" t="str">
        <x:v>Series designator; PCG main expansion no. 6</x:v>
      </x:c>
      <x:c r="I235" s="16" t="str">
        <x:v>2005-10-28</x:v>
      </x:c>
      <x:c r="J235" s="16" t="str">
        <x:v>day</x:v>
      </x:c>
      <x:c r="K235" s="16" t="str">
        <x:v>Japan</x:v>
      </x:c>
      <x:c r="L235" s="16" t="n">
        <x:v>86</x:v>
      </x:c>
      <x:c r="M235" s="16" t="n">
        <x:v>0</x:v>
      </x:c>
      <x:c r="N235" s="16" t="n">
        <x:v>0</x:v>
      </x:c>
      <x:c r="O235" s="16" t="n">
        <x:v>86</x:v>
      </x:c>
      <x:c r="P235" s="16" t="n">
        <x:v>86</x:v>
      </x:c>
      <x:c r="Q235" s="16"/>
      <x:c r="R235" s="16"/>
      <x:c r="S235" s="16" t="str"/>
      <x:c r="T235" s="16" t="str">
        <x:v>https://bulbapedia.bulbagarden.net/wiki/List_of_Japanese_TCG_Expansions</x:v>
      </x:c>
      <x:c r="U235" s="16" t="str">
        <x:v>NO — review only</x:v>
      </x:c>
    </x:row>
    <x:row r="236" ht="54" customHeight="1">
      <x:c r="A236" s="16" t="str">
        <x:v>ja-ee699b245332</x:v>
      </x:c>
      <x:c r="B236" s="16" t="str">
        <x:v>ja</x:v>
      </x:c>
      <x:c r="C236" s="16" t="str">
        <x:v>Holon Phantom</x:v>
      </x:c>
      <x:c r="D236" s="16" t="str">
        <x:v>ホロンの幻影</x:v>
      </x:c>
      <x:c r="E236" s="16" t="str">
        <x:v>PCG</x:v>
      </x:c>
      <x:c r="F236" s="16" t="str">
        <x:v>Card set / collection</x:v>
      </x:c>
      <x:c r="G236" s="16" t="str">
        <x:v>PCG7</x:v>
      </x:c>
      <x:c r="H236" s="16" t="str">
        <x:v>Series designator; PCG main expansion no. 7</x:v>
      </x:c>
      <x:c r="I236" s="16" t="str">
        <x:v>2006-01-27</x:v>
      </x:c>
      <x:c r="J236" s="16" t="str">
        <x:v>day</x:v>
      </x:c>
      <x:c r="K236" s="16" t="str">
        <x:v>Japan</x:v>
      </x:c>
      <x:c r="L236" s="16" t="n">
        <x:v>52</x:v>
      </x:c>
      <x:c r="M236" s="16" t="n">
        <x:v>0</x:v>
      </x:c>
      <x:c r="N236" s="16" t="n">
        <x:v>0</x:v>
      </x:c>
      <x:c r="O236" s="16" t="n">
        <x:v>52</x:v>
      </x:c>
      <x:c r="P236" s="16" t="n">
        <x:v>52</x:v>
      </x:c>
      <x:c r="Q236" s="16"/>
      <x:c r="R236" s="16"/>
      <x:c r="S236" s="16" t="str"/>
      <x:c r="T236" s="16" t="str">
        <x:v>https://bulbapedia.bulbagarden.net/wiki/List_of_Japanese_TCG_Expansions</x:v>
      </x:c>
      <x:c r="U236" s="16" t="str">
        <x:v>NO — review only</x:v>
      </x:c>
    </x:row>
    <x:row r="237" ht="54" customHeight="1">
      <x:c r="A237" s="16" t="str">
        <x:v>ja-18798a4981e5</x:v>
      </x:c>
      <x:c r="B237" s="16" t="str">
        <x:v>ja</x:v>
      </x:c>
      <x:c r="C237" s="16" t="str">
        <x:v>Miracle Crystal</x:v>
      </x:c>
      <x:c r="D237" s="16" t="str">
        <x:v>きせきの結晶</x:v>
      </x:c>
      <x:c r="E237" s="16" t="str">
        <x:v>PCG</x:v>
      </x:c>
      <x:c r="F237" s="16" t="str">
        <x:v>Card set / collection</x:v>
      </x:c>
      <x:c r="G237" s="16" t="str">
        <x:v>PCG8</x:v>
      </x:c>
      <x:c r="H237" s="16" t="str">
        <x:v>Series designator; PCG main expansion no. 8</x:v>
      </x:c>
      <x:c r="I237" s="16" t="str">
        <x:v>2006-03-10</x:v>
      </x:c>
      <x:c r="J237" s="16" t="str">
        <x:v>day</x:v>
      </x:c>
      <x:c r="K237" s="16" t="str">
        <x:v>Japan</x:v>
      </x:c>
      <x:c r="L237" s="16" t="n">
        <x:v>75</x:v>
      </x:c>
      <x:c r="M237" s="16" t="n">
        <x:v>0</x:v>
      </x:c>
      <x:c r="N237" s="16" t="n">
        <x:v>0</x:v>
      </x:c>
      <x:c r="O237" s="16" t="n">
        <x:v>75</x:v>
      </x:c>
      <x:c r="P237" s="16" t="n">
        <x:v>75</x:v>
      </x:c>
      <x:c r="Q237" s="16"/>
      <x:c r="R237" s="16"/>
      <x:c r="S237" s="16" t="str"/>
      <x:c r="T237" s="16" t="str">
        <x:v>https://bulbapedia.bulbagarden.net/wiki/List_of_Japanese_TCG_Expansions</x:v>
      </x:c>
      <x:c r="U237" s="16" t="str">
        <x:v>NO — review only</x:v>
      </x:c>
    </x:row>
    <x:row r="238" ht="54" customHeight="1">
      <x:c r="A238" s="16" t="str">
        <x:v>ja-8052362cd40f</x:v>
      </x:c>
      <x:c r="B238" s="16" t="str">
        <x:v>ja</x:v>
      </x:c>
      <x:c r="C238" s="16" t="str">
        <x:v>Offense and Defense of the Furthest Ends</x:v>
      </x:c>
      <x:c r="D238" s="16" t="str">
        <x:v>さいはての攻防</x:v>
      </x:c>
      <x:c r="E238" s="16" t="str">
        <x:v>PCG</x:v>
      </x:c>
      <x:c r="F238" s="16" t="str">
        <x:v>Card set / collection</x:v>
      </x:c>
      <x:c r="G238" s="16" t="str">
        <x:v>PCG9</x:v>
      </x:c>
      <x:c r="H238" s="16" t="str">
        <x:v>Series designator; PCG main expansion no. 9</x:v>
      </x:c>
      <x:c r="I238" s="16" t="str">
        <x:v>2006-06-29</x:v>
      </x:c>
      <x:c r="J238" s="16" t="str">
        <x:v>day</x:v>
      </x:c>
      <x:c r="K238" s="16" t="str">
        <x:v>Japan</x:v>
      </x:c>
      <x:c r="L238" s="16" t="n">
        <x:v>68</x:v>
      </x:c>
      <x:c r="M238" s="16" t="n">
        <x:v>0</x:v>
      </x:c>
      <x:c r="N238" s="16" t="n">
        <x:v>0</x:v>
      </x:c>
      <x:c r="O238" s="16" t="n">
        <x:v>68</x:v>
      </x:c>
      <x:c r="P238" s="16" t="n">
        <x:v>68</x:v>
      </x:c>
      <x:c r="Q238" s="16"/>
      <x:c r="R238" s="16"/>
      <x:c r="S238" s="16" t="str"/>
      <x:c r="T238" s="16" t="str">
        <x:v>https://bulbapedia.bulbagarden.net/wiki/List_of_Japanese_TCG_Expansions</x:v>
      </x:c>
      <x:c r="U238" s="16" t="str">
        <x:v>NO — review only</x:v>
      </x:c>
    </x:row>
    <x:row r="239" ht="54" customHeight="1">
      <x:c r="A239" s="16" t="str">
        <x:v>ja-ac539985be33</x:v>
      </x:c>
      <x:c r="B239" s="16" t="str">
        <x:v>ja</x:v>
      </x:c>
      <x:c r="C239" s="16" t="str">
        <x:v>Space-Time Creation: Diamond Collection</x:v>
      </x:c>
      <x:c r="D239" s="16" t="str">
        <x:v>時空の創造: ダイヤモンドコレクション</x:v>
      </x:c>
      <x:c r="E239" s="16" t="str">
        <x:v>Diamond &amp; Pearl</x:v>
      </x:c>
      <x:c r="F239" s="16" t="str">
        <x:v>Card set / collection</x:v>
      </x:c>
      <x:c r="G239" s="16" t="str">
        <x:v>DP1-D</x:v>
      </x:c>
      <x:c r="H239" s="16" t="str">
        <x:v>Stackr disambiguated code; one half of Japanese DP main expansion no. 1</x:v>
      </x:c>
      <x:c r="I239" s="16" t="str">
        <x:v>2006-11-30</x:v>
      </x:c>
      <x:c r="J239" s="16" t="str">
        <x:v>day</x:v>
      </x:c>
      <x:c r="K239" s="16" t="str">
        <x:v>Japan</x:v>
      </x:c>
      <x:c r="L239" s="16" t="n">
        <x:v>117</x:v>
      </x:c>
      <x:c r="M239" s="16" t="n">
        <x:v>0</x:v>
      </x:c>
      <x:c r="N239" s="16" t="n">
        <x:v>0</x:v>
      </x:c>
      <x:c r="O239" s="16" t="n">
        <x:v>117</x:v>
      </x:c>
      <x:c r="P239" s="16" t="n">
        <x:v>117</x:v>
      </x:c>
      <x:c r="Q239" s="16"/>
      <x:c r="R239" s="16"/>
      <x:c r="S239" s="16" t="str"/>
      <x:c r="T239" s="16" t="str">
        <x:v>https://bulbapedia.bulbagarden.net/wiki/List_of_Japanese_TCG_Expansions</x:v>
      </x:c>
      <x:c r="U239" s="16" t="str">
        <x:v>NO — review only</x:v>
      </x:c>
    </x:row>
    <x:row r="240" ht="54" customHeight="1">
      <x:c r="A240" s="16" t="str">
        <x:v>ja-88bfb2a6b618</x:v>
      </x:c>
      <x:c r="B240" s="16" t="str">
        <x:v>ja</x:v>
      </x:c>
      <x:c r="C240" s="16" t="str">
        <x:v>Space-Time Creation: Pearl Collection</x:v>
      </x:c>
      <x:c r="D240" s="16" t="str">
        <x:v>時空の創造: パールコレクション</x:v>
      </x:c>
      <x:c r="E240" s="16" t="str">
        <x:v>Diamond &amp; Pearl</x:v>
      </x:c>
      <x:c r="F240" s="16" t="str">
        <x:v>Card set / collection</x:v>
      </x:c>
      <x:c r="G240" s="16" t="str">
        <x:v>DP1-P</x:v>
      </x:c>
      <x:c r="H240" s="16" t="str">
        <x:v>Stackr disambiguated code; one half of Japanese DP main expansion no. 1</x:v>
      </x:c>
      <x:c r="I240" s="16" t="str">
        <x:v>2006-11-30</x:v>
      </x:c>
      <x:c r="J240" s="16" t="str">
        <x:v>day</x:v>
      </x:c>
      <x:c r="K240" s="16" t="str">
        <x:v>Japan</x:v>
      </x:c>
      <x:c r="L240" s="16" t="n">
        <x:v>119</x:v>
      </x:c>
      <x:c r="M240" s="16" t="n">
        <x:v>0</x:v>
      </x:c>
      <x:c r="N240" s="16" t="n">
        <x:v>0</x:v>
      </x:c>
      <x:c r="O240" s="16" t="n">
        <x:v>119</x:v>
      </x:c>
      <x:c r="P240" s="16" t="n">
        <x:v>119</x:v>
      </x:c>
      <x:c r="Q240" s="16"/>
      <x:c r="R240" s="16"/>
      <x:c r="S240" s="16" t="str"/>
      <x:c r="T240" s="16" t="str">
        <x:v>https://bulbapedia.bulbagarden.net/wiki/List_of_Japanese_TCG_Expansions</x:v>
      </x:c>
      <x:c r="U240" s="16" t="str">
        <x:v>NO — review only</x:v>
      </x:c>
    </x:row>
    <x:row r="241" ht="54" customHeight="1">
      <x:c r="A241" s="16" t="str">
        <x:v>ja-4f36e9f81e8a</x:v>
      </x:c>
      <x:c r="B241" s="16" t="str">
        <x:v>ja</x:v>
      </x:c>
      <x:c r="C241" s="16" t="str">
        <x:v>DP-P Promotional cards</x:v>
      </x:c>
      <x:c r="D241" s="16" t="str">
        <x:v>DP-Pプロモカード</x:v>
      </x:c>
      <x:c r="E241" s="16" t="str">
        <x:v>Diamond &amp; Pearl</x:v>
      </x:c>
      <x:c r="F241" s="16" t="str">
        <x:v>Promo catalogue</x:v>
      </x:c>
      <x:c r="G241" s="16" t="str">
        <x:v>DP-P</x:v>
      </x:c>
      <x:c r="H241" s="16" t="str">
        <x:v>Promotional numbering prefix</x:v>
      </x:c>
      <x:c r="I241" s="16" t="str">
        <x:v>2006-12</x:v>
      </x:c>
      <x:c r="J241" s="16" t="str">
        <x:v>month</x:v>
      </x:c>
      <x:c r="K241" s="16" t="str">
        <x:v>Japan</x:v>
      </x:c>
      <x:c r="L241" s="16" t="n">
        <x:v>127</x:v>
      </x:c>
      <x:c r="M241" s="16" t="n">
        <x:v>0</x:v>
      </x:c>
      <x:c r="N241" s="16" t="n">
        <x:v>0</x:v>
      </x:c>
      <x:c r="O241" s="16" t="n">
        <x:v>127</x:v>
      </x:c>
      <x:c r="P241" s="16" t="n">
        <x:v>127</x:v>
      </x:c>
      <x:c r="Q241" s="16"/>
      <x:c r="R241" s="16"/>
      <x:c r="S241" s="16" t="str"/>
      <x:c r="T241" s="16" t="str">
        <x:v>https://bulbapedia.bulbagarden.net/wiki/DP-P_Promotional_cards_%28TCG%29</x:v>
      </x:c>
      <x:c r="U241" s="16" t="str">
        <x:v>NO — review only</x:v>
      </x:c>
    </x:row>
    <x:row r="242" ht="54" customHeight="1">
      <x:c r="A242" s="16" t="str">
        <x:v>ja-e5de102d35c9</x:v>
      </x:c>
      <x:c r="B242" s="16" t="str">
        <x:v>ja</x:v>
      </x:c>
      <x:c r="C242" s="16" t="str">
        <x:v>Secret of the Lakes</x:v>
      </x:c>
      <x:c r="D242" s="16" t="str">
        <x:v>湖の秘密</x:v>
      </x:c>
      <x:c r="E242" s="16" t="str">
        <x:v>Diamond &amp; Pearl</x:v>
      </x:c>
      <x:c r="F242" s="16" t="str">
        <x:v>Card set / collection</x:v>
      </x:c>
      <x:c r="G242" s="16" t="str">
        <x:v>DP2</x:v>
      </x:c>
      <x:c r="H242" s="16" t="str">
        <x:v>Series designator; DP main expansion no. 2</x:v>
      </x:c>
      <x:c r="I242" s="16" t="str">
        <x:v>2007-03-02</x:v>
      </x:c>
      <x:c r="J242" s="16" t="str">
        <x:v>day</x:v>
      </x:c>
      <x:c r="K242" s="16" t="str">
        <x:v>Japan</x:v>
      </x:c>
      <x:c r="L242" s="16" t="n">
        <x:v>123</x:v>
      </x:c>
      <x:c r="M242" s="16" t="n">
        <x:v>0</x:v>
      </x:c>
      <x:c r="N242" s="16" t="n">
        <x:v>0</x:v>
      </x:c>
      <x:c r="O242" s="16" t="n">
        <x:v>123</x:v>
      </x:c>
      <x:c r="P242" s="16" t="n">
        <x:v>123</x:v>
      </x:c>
      <x:c r="Q242" s="16"/>
      <x:c r="R242" s="16"/>
      <x:c r="S242" s="16" t="str"/>
      <x:c r="T242" s="16" t="str">
        <x:v>https://bulbapedia.bulbagarden.net/wiki/List_of_Japanese_TCG_Expansions</x:v>
      </x:c>
      <x:c r="U242" s="16" t="str">
        <x:v>NO — review only</x:v>
      </x:c>
    </x:row>
    <x:row r="243" ht="54" customHeight="1">
      <x:c r="A243" s="16" t="str">
        <x:v>ja-8b06d2da9b06</x:v>
      </x:c>
      <x:c r="B243" s="16" t="str">
        <x:v>ja</x:v>
      </x:c>
      <x:c r="C243" s="16" t="str">
        <x:v>PPP Promotional cards</x:v>
      </x:c>
      <x:c r="D243" s="16" t="str">
        <x:v>PPPプロモカード</x:v>
      </x:c>
      <x:c r="E243" s="16" t="str">
        <x:v>Diamond &amp; Pearl</x:v>
      </x:c>
      <x:c r="F243" s="16" t="str">
        <x:v>Promo catalogue</x:v>
      </x:c>
      <x:c r="G243" s="16" t="str">
        <x:v>PPP</x:v>
      </x:c>
      <x:c r="H243" s="16" t="str">
        <x:v>Promotional numbering prefix</x:v>
      </x:c>
      <x:c r="I243" s="16" t="str">
        <x:v>2007-05</x:v>
      </x:c>
      <x:c r="J243" s="16" t="str">
        <x:v>month</x:v>
      </x:c>
      <x:c r="K243" s="16" t="str">
        <x:v>Japan</x:v>
      </x:c>
      <x:c r="L243" s="16" t="n">
        <x:v>7</x:v>
      </x:c>
      <x:c r="M243" s="16" t="n">
        <x:v>0</x:v>
      </x:c>
      <x:c r="N243" s="16" t="n">
        <x:v>0</x:v>
      </x:c>
      <x:c r="O243" s="16" t="n">
        <x:v>7</x:v>
      </x:c>
      <x:c r="P243" s="16" t="n">
        <x:v>7</x:v>
      </x:c>
      <x:c r="Q243" s="16"/>
      <x:c r="R243" s="16"/>
      <x:c r="S243" s="16" t="str"/>
      <x:c r="T243" s="16" t="str">
        <x:v>https://bulbapedia.bulbagarden.net/wiki/Category%3AJapanese_promotional_cards</x:v>
      </x:c>
      <x:c r="U243" s="16" t="str">
        <x:v>NO — review only</x:v>
      </x:c>
    </x:row>
    <x:row r="244" ht="54" customHeight="1">
      <x:c r="A244" s="16" t="str">
        <x:v>ja-9f086f3cb6b7</x:v>
      </x:c>
      <x:c r="B244" s="16" t="str">
        <x:v>ja</x:v>
      </x:c>
      <x:c r="C244" s="16" t="str">
        <x:v>Shining Darkness</x:v>
      </x:c>
      <x:c r="D244" s="16" t="str">
        <x:v>ひかる闇</x:v>
      </x:c>
      <x:c r="E244" s="16" t="str">
        <x:v>Diamond &amp; Pearl</x:v>
      </x:c>
      <x:c r="F244" s="16" t="str">
        <x:v>Card set / collection</x:v>
      </x:c>
      <x:c r="G244" s="16" t="str">
        <x:v>DP3</x:v>
      </x:c>
      <x:c r="H244" s="16" t="str">
        <x:v>Series designator; DP main expansion no. 3</x:v>
      </x:c>
      <x:c r="I244" s="16" t="str">
        <x:v>2007-07-05</x:v>
      </x:c>
      <x:c r="J244" s="16" t="str">
        <x:v>day</x:v>
      </x:c>
      <x:c r="K244" s="16" t="str">
        <x:v>Japan</x:v>
      </x:c>
      <x:c r="L244" s="16" t="n">
        <x:v>119</x:v>
      </x:c>
      <x:c r="M244" s="16" t="n">
        <x:v>0</x:v>
      </x:c>
      <x:c r="N244" s="16" t="n">
        <x:v>0</x:v>
      </x:c>
      <x:c r="O244" s="16" t="n">
        <x:v>119</x:v>
      </x:c>
      <x:c r="P244" s="16" t="n">
        <x:v>119</x:v>
      </x:c>
      <x:c r="Q244" s="16"/>
      <x:c r="R244" s="16"/>
      <x:c r="S244" s="16" t="str"/>
      <x:c r="T244" s="16" t="str">
        <x:v>https://bulbapedia.bulbagarden.net/wiki/List_of_Japanese_TCG_Expansions</x:v>
      </x:c>
      <x:c r="U244" s="16" t="str">
        <x:v>NO — review only</x:v>
      </x:c>
    </x:row>
    <x:row r="245" ht="54" customHeight="1">
      <x:c r="A245" s="16" t="str">
        <x:v>ja-f9484ea5a0db</x:v>
      </x:c>
      <x:c r="B245" s="16" t="str">
        <x:v>ja</x:v>
      </x:c>
      <x:c r="C245" s="16" t="str">
        <x:v>World Champions Pack</x:v>
      </x:c>
      <x:c r="D245" s="16" t="str">
        <x:v>ワールドチャンピオンズパック</x:v>
      </x:c>
      <x:c r="E245" s="16" t="str">
        <x:v>PCG</x:v>
      </x:c>
      <x:c r="F245" s="16" t="str">
        <x:v>Card set / collection</x:v>
      </x:c>
      <x:c r="G245" s="16" t="str">
        <x:v>PCG10</x:v>
      </x:c>
      <x:c r="H245" s="16" t="str">
        <x:v>Series designator; PCG main expansion no. 10</x:v>
      </x:c>
      <x:c r="I245" s="16" t="str">
        <x:v>2007-07-05</x:v>
      </x:c>
      <x:c r="J245" s="16" t="str">
        <x:v>day</x:v>
      </x:c>
      <x:c r="K245" s="16" t="str">
        <x:v>Japan</x:v>
      </x:c>
      <x:c r="L245" s="16" t="n">
        <x:v>108</x:v>
      </x:c>
      <x:c r="M245" s="16" t="n">
        <x:v>0</x:v>
      </x:c>
      <x:c r="N245" s="16" t="n">
        <x:v>0</x:v>
      </x:c>
      <x:c r="O245" s="16" t="n">
        <x:v>108</x:v>
      </x:c>
      <x:c r="P245" s="16" t="n">
        <x:v>108</x:v>
      </x:c>
      <x:c r="Q245" s="16"/>
      <x:c r="R245" s="16"/>
      <x:c r="S245" s="16" t="str"/>
      <x:c r="T245" s="16" t="str">
        <x:v>https://bulbapedia.bulbagarden.net/wiki/List_of_Japanese_TCG_Expansions</x:v>
      </x:c>
      <x:c r="U245" s="16" t="str">
        <x:v>NO — review only</x:v>
      </x:c>
    </x:row>
    <x:row r="246" ht="54" customHeight="1">
      <x:c r="A246" s="16" t="str">
        <x:v>ja-99455347bdc0</x:v>
      </x:c>
      <x:c r="B246" s="16" t="str">
        <x:v>ja</x:v>
      </x:c>
      <x:c r="C246" s="16" t="str">
        <x:v>Movie 10th Anniversary Premium Sheet</x:v>
      </x:c>
      <x:c r="D246" s="16" t="str">
        <x:v>映画10周年記念 プレミアムシート</x:v>
      </x:c>
      <x:c r="E246" s="16" t="str">
        <x:v>Diamond &amp; Pearl</x:v>
      </x:c>
      <x:c r="F246" s="16" t="str">
        <x:v>Card set / collection</x:v>
      </x:c>
      <x:c r="G246" s="16" t="str">
        <x:v>MOV10</x:v>
      </x:c>
      <x:c r="H246" s="16" t="str">
        <x:v>Stackr internal alias for the 10th Movie Commemoration Set; special collection, not a normal numbered expansion</x:v>
      </x:c>
      <x:c r="I246" s="16" t="str">
        <x:v>2007-07-14</x:v>
      </x:c>
      <x:c r="J246" s="16" t="str">
        <x:v>day</x:v>
      </x:c>
      <x:c r="K246" s="16" t="str">
        <x:v>Japan</x:v>
      </x:c>
      <x:c r="L246" s="16" t="n">
        <x:v>11</x:v>
      </x:c>
      <x:c r="M246" s="16" t="n">
        <x:v>0</x:v>
      </x:c>
      <x:c r="N246" s="16" t="n">
        <x:v>0</x:v>
      </x:c>
      <x:c r="O246" s="16" t="n">
        <x:v>11</x:v>
      </x:c>
      <x:c r="P246" s="16" t="n">
        <x:v>11</x:v>
      </x:c>
      <x:c r="Q246" s="16"/>
      <x:c r="R246" s="16"/>
      <x:c r="S246" s="16" t="str"/>
      <x:c r="T246" s="16" t="str">
        <x:v>https://bulbapedia.bulbagarden.net/wiki/10th_Movie_Commemoration_Set_%28TCG%29</x:v>
      </x:c>
      <x:c r="U246" s="16" t="str">
        <x:v>NO — review only</x:v>
      </x:c>
    </x:row>
    <x:row r="247" ht="54" customHeight="1">
      <x:c r="A247" s="16" t="str">
        <x:v>ja-55740d850232</x:v>
      </x:c>
      <x:c r="B247" s="16" t="str">
        <x:v>ja</x:v>
      </x:c>
      <x:c r="C247" s="16" t="str">
        <x:v>Dawn Dash</x:v>
      </x:c>
      <x:c r="D247" s="16" t="str">
        <x:v>夜明けの疾走</x:v>
      </x:c>
      <x:c r="E247" s="16" t="str">
        <x:v>Diamond &amp; Pearl</x:v>
      </x:c>
      <x:c r="F247" s="16" t="str">
        <x:v>Card set / collection</x:v>
      </x:c>
      <x:c r="G247" s="16" t="str">
        <x:v>DP4-Dawn</x:v>
      </x:c>
      <x:c r="H247" s="16" t="str">
        <x:v>Stackr disambiguated code; one half of Japanese DP main expansion no. 4</x:v>
      </x:c>
      <x:c r="I247" s="16" t="str">
        <x:v>2007-10-26</x:v>
      </x:c>
      <x:c r="J247" s="16" t="str">
        <x:v>day</x:v>
      </x:c>
      <x:c r="K247" s="16" t="str">
        <x:v>Japan</x:v>
      </x:c>
      <x:c r="L247" s="16" t="n">
        <x:v>70</x:v>
      </x:c>
      <x:c r="M247" s="16" t="n">
        <x:v>0</x:v>
      </x:c>
      <x:c r="N247" s="16" t="n">
        <x:v>0</x:v>
      </x:c>
      <x:c r="O247" s="16" t="n">
        <x:v>70</x:v>
      </x:c>
      <x:c r="P247" s="16" t="n">
        <x:v>70</x:v>
      </x:c>
      <x:c r="Q247" s="16"/>
      <x:c r="R247" s="16"/>
      <x:c r="S247" s="16" t="str"/>
      <x:c r="T247" s="16" t="str">
        <x:v>https://bulbapedia.bulbagarden.net/wiki/List_of_Japanese_TCG_Expansions</x:v>
      </x:c>
      <x:c r="U247" s="16" t="str">
        <x:v>NO — review only</x:v>
      </x:c>
    </x:row>
    <x:row r="248" ht="54" customHeight="1">
      <x:c r="A248" s="16" t="str">
        <x:v>ja-366d4a2e5f45</x:v>
      </x:c>
      <x:c r="B248" s="16" t="str">
        <x:v>ja</x:v>
      </x:c>
      <x:c r="C248" s="16" t="str">
        <x:v>Moonlit Pursuit</x:v>
      </x:c>
      <x:c r="D248" s="16" t="str">
        <x:v>月光の追跡</x:v>
      </x:c>
      <x:c r="E248" s="16" t="str">
        <x:v>Diamond &amp; Pearl</x:v>
      </x:c>
      <x:c r="F248" s="16" t="str">
        <x:v>Card set / collection</x:v>
      </x:c>
      <x:c r="G248" s="16" t="str">
        <x:v>DP4-Moon</x:v>
      </x:c>
      <x:c r="H248" s="16" t="str">
        <x:v>Stackr disambiguated code; one half of Japanese DP main expansion no. 4</x:v>
      </x:c>
      <x:c r="I248" s="16" t="str">
        <x:v>2007-10-26</x:v>
      </x:c>
      <x:c r="J248" s="16" t="str">
        <x:v>day</x:v>
      </x:c>
      <x:c r="K248" s="16" t="str">
        <x:v>Japan</x:v>
      </x:c>
      <x:c r="L248" s="16" t="n">
        <x:v>70</x:v>
      </x:c>
      <x:c r="M248" s="16" t="n">
        <x:v>0</x:v>
      </x:c>
      <x:c r="N248" s="16" t="n">
        <x:v>0</x:v>
      </x:c>
      <x:c r="O248" s="16" t="n">
        <x:v>70</x:v>
      </x:c>
      <x:c r="P248" s="16" t="n">
        <x:v>70</x:v>
      </x:c>
      <x:c r="Q248" s="16"/>
      <x:c r="R248" s="16"/>
      <x:c r="S248" s="16" t="str"/>
      <x:c r="T248" s="16" t="str">
        <x:v>https://bulbapedia.bulbagarden.net/wiki/List_of_Japanese_TCG_Expansions</x:v>
      </x:c>
      <x:c r="U248" s="16" t="str">
        <x:v>NO — review only</x:v>
      </x:c>
    </x:row>
    <x:row r="249" ht="54" customHeight="1">
      <x:c r="A249" s="16" t="str">
        <x:v>ja-f2ff12dfa982</x:v>
      </x:c>
      <x:c r="B249" s="16" t="str">
        <x:v>ja</x:v>
      </x:c>
      <x:c r="C249" s="16" t="str">
        <x:v>Cry from the Mysterious</x:v>
      </x:c>
      <x:c r="D249" s="16" t="str">
        <x:v>秘境の叫び</x:v>
      </x:c>
      <x:c r="E249" s="16" t="str">
        <x:v>Diamond &amp; Pearl</x:v>
      </x:c>
      <x:c r="F249" s="16" t="str">
        <x:v>Card set / collection</x:v>
      </x:c>
      <x:c r="G249" s="16" t="str">
        <x:v>DP5-Cry</x:v>
      </x:c>
      <x:c r="H249" s="16" t="str">
        <x:v>Stackr disambiguated code; one half of Japanese DP main expansion no. 5</x:v>
      </x:c>
      <x:c r="I249" s="16" t="str">
        <x:v>2008-03-14</x:v>
      </x:c>
      <x:c r="J249" s="16" t="str">
        <x:v>day</x:v>
      </x:c>
      <x:c r="K249" s="16" t="str">
        <x:v>Japan</x:v>
      </x:c>
      <x:c r="L249" s="16" t="n">
        <x:v>65</x:v>
      </x:c>
      <x:c r="M249" s="16" t="n">
        <x:v>0</x:v>
      </x:c>
      <x:c r="N249" s="16" t="n">
        <x:v>0</x:v>
      </x:c>
      <x:c r="O249" s="16" t="n">
        <x:v>65</x:v>
      </x:c>
      <x:c r="P249" s="16" t="n">
        <x:v>65</x:v>
      </x:c>
      <x:c r="Q249" s="16"/>
      <x:c r="R249" s="16"/>
      <x:c r="S249" s="16" t="str"/>
      <x:c r="T249" s="16" t="str">
        <x:v>https://bulbapedia.bulbagarden.net/wiki/List_of_Japanese_TCG_Expansions</x:v>
      </x:c>
      <x:c r="U249" s="16" t="str">
        <x:v>NO — review only</x:v>
      </x:c>
    </x:row>
    <x:row r="250" ht="54" customHeight="1">
      <x:c r="A250" s="16" t="str">
        <x:v>ja-c285050d1f0d</x:v>
      </x:c>
      <x:c r="B250" s="16" t="str">
        <x:v>ja</x:v>
      </x:c>
      <x:c r="C250" s="16" t="str">
        <x:v>Temple of Anger</x:v>
      </x:c>
      <x:c r="D250" s="16" t="str">
        <x:v>怒りの神殿</x:v>
      </x:c>
      <x:c r="E250" s="16" t="str">
        <x:v>Diamond &amp; Pearl</x:v>
      </x:c>
      <x:c r="F250" s="16" t="str">
        <x:v>Card set / collection</x:v>
      </x:c>
      <x:c r="G250" s="16" t="str">
        <x:v>DP5-Temple</x:v>
      </x:c>
      <x:c r="H250" s="16" t="str">
        <x:v>Stackr disambiguated code; one half of Japanese DP main expansion no. 5</x:v>
      </x:c>
      <x:c r="I250" s="16" t="str">
        <x:v>2008-03-14</x:v>
      </x:c>
      <x:c r="J250" s="16" t="str">
        <x:v>day</x:v>
      </x:c>
      <x:c r="K250" s="16" t="str">
        <x:v>Japan</x:v>
      </x:c>
      <x:c r="L250" s="16" t="n">
        <x:v>65</x:v>
      </x:c>
      <x:c r="M250" s="16" t="n">
        <x:v>0</x:v>
      </x:c>
      <x:c r="N250" s="16" t="n">
        <x:v>0</x:v>
      </x:c>
      <x:c r="O250" s="16" t="n">
        <x:v>65</x:v>
      </x:c>
      <x:c r="P250" s="16" t="n">
        <x:v>65</x:v>
      </x:c>
      <x:c r="Q250" s="16"/>
      <x:c r="R250" s="16"/>
      <x:c r="S250" s="16" t="str"/>
      <x:c r="T250" s="16" t="str">
        <x:v>https://bulbapedia.bulbagarden.net/wiki/List_of_Japanese_TCG_Expansions</x:v>
      </x:c>
      <x:c r="U250" s="16" t="str">
        <x:v>NO — review only</x:v>
      </x:c>
    </x:row>
    <x:row r="251" ht="54" customHeight="1">
      <x:c r="A251" s="16" t="str">
        <x:v>ja-36bd2d9bbb54</x:v>
      </x:c>
      <x:c r="B251" s="16" t="str">
        <x:v>ja</x:v>
      </x:c>
      <x:c r="C251" s="16" t="str">
        <x:v>Intense Fight in the Destroyed Sky</x:v>
      </x:c>
      <x:c r="D251" s="16" t="str">
        <x:v>破空の激闘</x:v>
      </x:c>
      <x:c r="E251" s="16" t="str">
        <x:v>Diamond &amp; Pearl</x:v>
      </x:c>
      <x:c r="F251" s="16" t="str">
        <x:v>Card set / collection</x:v>
      </x:c>
      <x:c r="G251" s="16" t="str">
        <x:v>DP6</x:v>
      </x:c>
      <x:c r="H251" s="16" t="str">
        <x:v>Series designator; DP main expansion no. 6</x:v>
      </x:c>
      <x:c r="I251" s="16" t="str">
        <x:v>2008-07-10</x:v>
      </x:c>
      <x:c r="J251" s="16" t="str">
        <x:v>day</x:v>
      </x:c>
      <x:c r="K251" s="16" t="str">
        <x:v>Japan</x:v>
      </x:c>
      <x:c r="L251" s="16" t="n">
        <x:v>92</x:v>
      </x:c>
      <x:c r="M251" s="16" t="n">
        <x:v>0</x:v>
      </x:c>
      <x:c r="N251" s="16" t="n">
        <x:v>0</x:v>
      </x:c>
      <x:c r="O251" s="16" t="n">
        <x:v>92</x:v>
      </x:c>
      <x:c r="P251" s="16" t="n">
        <x:v>92</x:v>
      </x:c>
      <x:c r="Q251" s="16"/>
      <x:c r="R251" s="16"/>
      <x:c r="S251" s="16" t="str"/>
      <x:c r="T251" s="16" t="str">
        <x:v>https://bulbapedia.bulbagarden.net/wiki/List_of_Japanese_TCG_Expansions</x:v>
      </x:c>
      <x:c r="U251" s="16" t="str">
        <x:v>NO — review only</x:v>
      </x:c>
    </x:row>
    <x:row r="252" ht="54" customHeight="1">
      <x:c r="A252" s="16" t="str">
        <x:v>ja-6522461d7ad2</x:v>
      </x:c>
      <x:c r="B252" s="16" t="str">
        <x:v>ja</x:v>
      </x:c>
      <x:c r="C252" s="16" t="str">
        <x:v>Movie Commemoration Premium Sheet</x:v>
      </x:c>
      <x:c r="D252" s="16" t="str">
        <x:v>映画公開記念 プレミアムシート</x:v>
      </x:c>
      <x:c r="E252" s="16" t="str">
        <x:v>Diamond &amp; Pearl</x:v>
      </x:c>
      <x:c r="F252" s="16" t="str">
        <x:v>Card set / collection</x:v>
      </x:c>
      <x:c r="G252" s="16" t="str">
        <x:v>MOV11</x:v>
      </x:c>
      <x:c r="H252" s="16" t="str">
        <x:v>Stackr internal alias for the 11th Movie Commemoration Set; special collection, not a normal numbered expansion</x:v>
      </x:c>
      <x:c r="I252" s="16" t="str">
        <x:v>2008-07-19</x:v>
      </x:c>
      <x:c r="J252" s="16" t="str">
        <x:v>day</x:v>
      </x:c>
      <x:c r="K252" s="16" t="str">
        <x:v>Japan</x:v>
      </x:c>
      <x:c r="L252" s="16" t="n">
        <x:v>9</x:v>
      </x:c>
      <x:c r="M252" s="16" t="n">
        <x:v>0</x:v>
      </x:c>
      <x:c r="N252" s="16" t="n">
        <x:v>0</x:v>
      </x:c>
      <x:c r="O252" s="16" t="n">
        <x:v>9</x:v>
      </x:c>
      <x:c r="P252" s="16" t="n">
        <x:v>9</x:v>
      </x:c>
      <x:c r="Q252" s="16"/>
      <x:c r="R252" s="16"/>
      <x:c r="S252" s="16" t="str"/>
      <x:c r="T252" s="16" t="str">
        <x:v>https://bulbapedia.bulbagarden.net/wiki/11th_Movie_Commemoration_Set_%28TCG%29</x:v>
      </x:c>
      <x:c r="U252" s="16" t="str">
        <x:v>NO — review only</x:v>
      </x:c>
    </x:row>
    <x:row r="253" ht="54" customHeight="1">
      <x:c r="A253" s="16" t="str">
        <x:v>ja-7509d3f988ca</x:v>
      </x:c>
      <x:c r="B253" s="16" t="str">
        <x:v>ja</x:v>
      </x:c>
      <x:c r="C253" s="16" t="str">
        <x:v>DPt-P Promotional cards</x:v>
      </x:c>
      <x:c r="D253" s="16" t="str">
        <x:v>DPt-Pプロモカード</x:v>
      </x:c>
      <x:c r="E253" s="16" t="str">
        <x:v>Platinum</x:v>
      </x:c>
      <x:c r="F253" s="16" t="str">
        <x:v>Promo catalogue</x:v>
      </x:c>
      <x:c r="G253" s="16" t="str">
        <x:v>DPt-P</x:v>
      </x:c>
      <x:c r="H253" s="16" t="str">
        <x:v>Promotional numbering prefix</x:v>
      </x:c>
      <x:c r="I253" s="16" t="str">
        <x:v>2008-10</x:v>
      </x:c>
      <x:c r="J253" s="16" t="str">
        <x:v>month</x:v>
      </x:c>
      <x:c r="K253" s="16" t="str">
        <x:v>Japan</x:v>
      </x:c>
      <x:c r="L253" s="16" t="n">
        <x:v>51</x:v>
      </x:c>
      <x:c r="M253" s="16" t="n">
        <x:v>0</x:v>
      </x:c>
      <x:c r="N253" s="16" t="n">
        <x:v>0</x:v>
      </x:c>
      <x:c r="O253" s="16" t="n">
        <x:v>51</x:v>
      </x:c>
      <x:c r="P253" s="16" t="n">
        <x:v>51</x:v>
      </x:c>
      <x:c r="Q253" s="16"/>
      <x:c r="R253" s="16"/>
      <x:c r="S253" s="16" t="str"/>
      <x:c r="T253" s="16" t="str">
        <x:v>https://bulbapedia.bulbagarden.net/wiki/Category%3AJapanese_promotional_cards</x:v>
      </x:c>
      <x:c r="U253" s="16" t="str">
        <x:v>NO — review only</x:v>
      </x:c>
    </x:row>
    <x:row r="254" ht="54" customHeight="1">
      <x:c r="A254" s="16" t="str">
        <x:v>ja-cd5d6efb8f68</x:v>
      </x:c>
      <x:c r="B254" s="16" t="str">
        <x:v>ja</x:v>
      </x:c>
      <x:c r="C254" s="16" t="str">
        <x:v>Galactic's Conquest</x:v>
      </x:c>
      <x:c r="D254" s="16" t="str">
        <x:v>ギンガの覇道</x:v>
      </x:c>
      <x:c r="E254" s="16" t="str">
        <x:v>Platinum</x:v>
      </x:c>
      <x:c r="F254" s="16" t="str">
        <x:v>Card set / collection</x:v>
      </x:c>
      <x:c r="G254" s="16" t="str">
        <x:v>DPt1</x:v>
      </x:c>
      <x:c r="H254" s="16" t="str">
        <x:v>Catalogue identifier (TCG Collector); printed form not independently checked</x:v>
      </x:c>
      <x:c r="I254" s="16" t="str">
        <x:v>2008-10-10</x:v>
      </x:c>
      <x:c r="J254" s="16" t="str">
        <x:v>day</x:v>
      </x:c>
      <x:c r="K254" s="16" t="str">
        <x:v>Japan</x:v>
      </x:c>
      <x:c r="L254" s="16" t="n">
        <x:v>96</x:v>
      </x:c>
      <x:c r="M254" s="16" t="n">
        <x:v>0</x:v>
      </x:c>
      <x:c r="N254" s="16" t="n">
        <x:v>0</x:v>
      </x:c>
      <x:c r="O254" s="16" t="n">
        <x:v>96</x:v>
      </x:c>
      <x:c r="P254" s="16" t="n">
        <x:v>96</x:v>
      </x:c>
      <x:c r="Q254" s="16"/>
      <x:c r="R254" s="16"/>
      <x:c r="S254" s="16" t="str"/>
      <x:c r="T254" s="16"/>
      <x:c r="U254" s="16" t="str">
        <x:v>NO — review only</x:v>
      </x:c>
    </x:row>
    <x:row r="255" ht="54" customHeight="1">
      <x:c r="A255" s="16" t="str">
        <x:v>ja-2305f796724b</x:v>
      </x:c>
      <x:c r="B255" s="16" t="str">
        <x:v>ja</x:v>
      </x:c>
      <x:c r="C255" s="16" t="str">
        <x:v>Bonds to the End of Time</x:v>
      </x:c>
      <x:c r="D255" s="16" t="str">
        <x:v>時の果ての絆</x:v>
      </x:c>
      <x:c r="E255" s="16" t="str">
        <x:v>Platinum</x:v>
      </x:c>
      <x:c r="F255" s="16" t="str">
        <x:v>Card set / collection</x:v>
      </x:c>
      <x:c r="G255" s="16" t="str">
        <x:v>DPt2</x:v>
      </x:c>
      <x:c r="H255" s="16" t="str">
        <x:v>Catalogue identifier (TCG Collector); printed form not independently checked</x:v>
      </x:c>
      <x:c r="I255" s="16" t="str">
        <x:v>2008-12-26</x:v>
      </x:c>
      <x:c r="J255" s="16" t="str">
        <x:v>day</x:v>
      </x:c>
      <x:c r="K255" s="16" t="str">
        <x:v>Japan</x:v>
      </x:c>
      <x:c r="L255" s="16" t="n">
        <x:v>90</x:v>
      </x:c>
      <x:c r="M255" s="16" t="n">
        <x:v>0</x:v>
      </x:c>
      <x:c r="N255" s="16" t="n">
        <x:v>0</x:v>
      </x:c>
      <x:c r="O255" s="16" t="n">
        <x:v>90</x:v>
      </x:c>
      <x:c r="P255" s="16" t="n">
        <x:v>90</x:v>
      </x:c>
      <x:c r="Q255" s="16"/>
      <x:c r="R255" s="16"/>
      <x:c r="S255" s="16" t="str"/>
      <x:c r="T255" s="16"/>
      <x:c r="U255" s="16" t="str">
        <x:v>NO — review only</x:v>
      </x:c>
    </x:row>
    <x:row r="256" ht="54" customHeight="1">
      <x:c r="A256" s="16" t="str">
        <x:v>ja-1848e7ac2f76</x:v>
      </x:c>
      <x:c r="B256" s="16" t="str">
        <x:v>ja</x:v>
      </x:c>
      <x:c r="C256" s="16" t="str">
        <x:v>Beat of the Frontier</x:v>
      </x:c>
      <x:c r="D256" s="16" t="str">
        <x:v>フロンティアの鼓動</x:v>
      </x:c>
      <x:c r="E256" s="16" t="str">
        <x:v>Platinum</x:v>
      </x:c>
      <x:c r="F256" s="16" t="str">
        <x:v>Card set / collection</x:v>
      </x:c>
      <x:c r="G256" s="16" t="str">
        <x:v>DPt3</x:v>
      </x:c>
      <x:c r="H256" s="16" t="str">
        <x:v>Catalogue identifier (TCG Collector); printed form not independently checked</x:v>
      </x:c>
      <x:c r="I256" s="16" t="str">
        <x:v>2009-03-06</x:v>
      </x:c>
      <x:c r="J256" s="16" t="str">
        <x:v>day</x:v>
      </x:c>
      <x:c r="K256" s="16" t="str">
        <x:v>Japan</x:v>
      </x:c>
      <x:c r="L256" s="16" t="n">
        <x:v>100</x:v>
      </x:c>
      <x:c r="M256" s="16" t="n">
        <x:v>0</x:v>
      </x:c>
      <x:c r="N256" s="16" t="n">
        <x:v>0</x:v>
      </x:c>
      <x:c r="O256" s="16" t="n">
        <x:v>100</x:v>
      </x:c>
      <x:c r="P256" s="16" t="n">
        <x:v>100</x:v>
      </x:c>
      <x:c r="Q256" s="16"/>
      <x:c r="R256" s="16"/>
      <x:c r="S256" s="16" t="str"/>
      <x:c r="T256" s="16"/>
      <x:c r="U256" s="16" t="str">
        <x:v>NO — review only</x:v>
      </x:c>
    </x:row>
    <x:row r="257" ht="54" customHeight="1">
      <x:c r="A257" s="16" t="str">
        <x:v>ja-0b3474b08955</x:v>
      </x:c>
      <x:c r="B257" s="16" t="str">
        <x:v>ja</x:v>
      </x:c>
      <x:c r="C257" s="16" t="str">
        <x:v>Advent of Arceus</x:v>
      </x:c>
      <x:c r="D257" s="16" t="str">
        <x:v>アルセウス光臨</x:v>
      </x:c>
      <x:c r="E257" s="16" t="str">
        <x:v>Platinum</x:v>
      </x:c>
      <x:c r="F257" s="16" t="str">
        <x:v>Card set / collection</x:v>
      </x:c>
      <x:c r="G257" s="16" t="str">
        <x:v>DPt4</x:v>
      </x:c>
      <x:c r="H257" s="16" t="str">
        <x:v>Catalogue identifier (TCG Collector); printed form not independently checked</x:v>
      </x:c>
      <x:c r="I257" s="16" t="str">
        <x:v>2009-07-08</x:v>
      </x:c>
      <x:c r="J257" s="16" t="str">
        <x:v>day</x:v>
      </x:c>
      <x:c r="K257" s="16" t="str">
        <x:v>Japan</x:v>
      </x:c>
      <x:c r="L257" s="16" t="n">
        <x:v>90</x:v>
      </x:c>
      <x:c r="M257" s="16" t="n">
        <x:v>0</x:v>
      </x:c>
      <x:c r="N257" s="16" t="n">
        <x:v>0</x:v>
      </x:c>
      <x:c r="O257" s="16" t="n">
        <x:v>90</x:v>
      </x:c>
      <x:c r="P257" s="16" t="n">
        <x:v>90</x:v>
      </x:c>
      <x:c r="Q257" s="16"/>
      <x:c r="R257" s="16"/>
      <x:c r="S257" s="16" t="str"/>
      <x:c r="T257" s="16"/>
      <x:c r="U257" s="16" t="str">
        <x:v>NO — review only</x:v>
      </x:c>
    </x:row>
    <x:row r="258" ht="54" customHeight="1">
      <x:c r="A258" s="16" t="str">
        <x:v>ja-6a0876b64cf1</x:v>
      </x:c>
      <x:c r="B258" s="16" t="str">
        <x:v>ja</x:v>
      </x:c>
      <x:c r="C258" s="16" t="str">
        <x:v>L-P Promotional cards</x:v>
      </x:c>
      <x:c r="D258" s="16" t="str">
        <x:v>L-Pプロモカード</x:v>
      </x:c>
      <x:c r="E258" s="16" t="str">
        <x:v>LEGEND</x:v>
      </x:c>
      <x:c r="F258" s="16" t="str">
        <x:v>Promo catalogue</x:v>
      </x:c>
      <x:c r="G258" s="16" t="str">
        <x:v>L-P</x:v>
      </x:c>
      <x:c r="H258" s="16" t="str">
        <x:v>Promotional numbering prefix</x:v>
      </x:c>
      <x:c r="I258" s="16" t="str">
        <x:v>2009-09</x:v>
      </x:c>
      <x:c r="J258" s="16" t="str">
        <x:v>month</x:v>
      </x:c>
      <x:c r="K258" s="16" t="str">
        <x:v>Japan</x:v>
      </x:c>
      <x:c r="L258" s="16" t="n">
        <x:v>79</x:v>
      </x:c>
      <x:c r="M258" s="16" t="n">
        <x:v>0</x:v>
      </x:c>
      <x:c r="N258" s="16" t="n">
        <x:v>0</x:v>
      </x:c>
      <x:c r="O258" s="16" t="n">
        <x:v>79</x:v>
      </x:c>
      <x:c r="P258" s="16" t="n">
        <x:v>79</x:v>
      </x:c>
      <x:c r="Q258" s="16"/>
      <x:c r="R258" s="16"/>
      <x:c r="S258" s="16" t="str"/>
      <x:c r="T258" s="16" t="str">
        <x:v>https://bulbapedia.bulbagarden.net/wiki/Category%3AJapanese_promotional_cards</x:v>
      </x:c>
      <x:c r="U258" s="16" t="str">
        <x:v>NO — review only</x:v>
      </x:c>
    </x:row>
    <x:row r="259" ht="54" customHeight="1">
      <x:c r="A259" s="16" t="str">
        <x:v>ja-47b20ad63664</x:v>
      </x:c>
      <x:c r="B259" s="16" t="str">
        <x:v>ja</x:v>
      </x:c>
      <x:c r="C259" s="16" t="str">
        <x:v>HeartGold Collection</x:v>
      </x:c>
      <x:c r="D259" s="16" t="str">
        <x:v>ハートゴールドコレクション</x:v>
      </x:c>
      <x:c r="E259" s="16" t="str">
        <x:v>LEGEND</x:v>
      </x:c>
      <x:c r="F259" s="16" t="str">
        <x:v>Card set / collection</x:v>
      </x:c>
      <x:c r="G259" s="16" t="str">
        <x:v>L1a</x:v>
      </x:c>
      <x:c r="H259" s="16" t="str">
        <x:v>Established Japanese series designator</x:v>
      </x:c>
      <x:c r="I259" s="16" t="str">
        <x:v>2009-10-09</x:v>
      </x:c>
      <x:c r="J259" s="16" t="str">
        <x:v>day</x:v>
      </x:c>
      <x:c r="K259" s="16" t="str">
        <x:v>Japan</x:v>
      </x:c>
      <x:c r="L259" s="16" t="n">
        <x:v>70</x:v>
      </x:c>
      <x:c r="M259" s="16" t="n">
        <x:v>1</x:v>
      </x:c>
      <x:c r="N259" s="16" t="n">
        <x:v>0</x:v>
      </x:c>
      <x:c r="O259" s="16" t="n">
        <x:v>71</x:v>
      </x:c>
      <x:c r="P259" s="16" t="n">
        <x:v>71</x:v>
      </x:c>
      <x:c r="Q259" s="16"/>
      <x:c r="R259" s="16"/>
      <x:c r="S259" s="16" t="str"/>
      <x:c r="T259" s="16" t="str">
        <x:v>https://bulbapedia.bulbagarden.net/wiki/List_of_Japanese_TCG_Expansions</x:v>
      </x:c>
      <x:c r="U259" s="16" t="str">
        <x:v>NO — review only</x:v>
      </x:c>
    </x:row>
    <x:row r="260" ht="54" customHeight="1">
      <x:c r="A260" s="16" t="str">
        <x:v>ja-d1b8743147a9</x:v>
      </x:c>
      <x:c r="B260" s="16" t="str">
        <x:v>ja</x:v>
      </x:c>
      <x:c r="C260" s="16" t="str">
        <x:v>SoulSilver Collection</x:v>
      </x:c>
      <x:c r="D260" s="16" t="str">
        <x:v>ソウルシルバーコレクション</x:v>
      </x:c>
      <x:c r="E260" s="16" t="str">
        <x:v>LEGEND</x:v>
      </x:c>
      <x:c r="F260" s="16" t="str">
        <x:v>Card set / collection</x:v>
      </x:c>
      <x:c r="G260" s="16" t="str">
        <x:v>L1b</x:v>
      </x:c>
      <x:c r="H260" s="16" t="str">
        <x:v>Established Japanese series designator</x:v>
      </x:c>
      <x:c r="I260" s="16" t="str">
        <x:v>2009-10-09</x:v>
      </x:c>
      <x:c r="J260" s="16" t="str">
        <x:v>day</x:v>
      </x:c>
      <x:c r="K260" s="16" t="str">
        <x:v>Japan</x:v>
      </x:c>
      <x:c r="L260" s="16" t="n">
        <x:v>70</x:v>
      </x:c>
      <x:c r="M260" s="16" t="n">
        <x:v>1</x:v>
      </x:c>
      <x:c r="N260" s="16" t="n">
        <x:v>0</x:v>
      </x:c>
      <x:c r="O260" s="16" t="n">
        <x:v>71</x:v>
      </x:c>
      <x:c r="P260" s="16" t="n">
        <x:v>71</x:v>
      </x:c>
      <x:c r="Q260" s="16"/>
      <x:c r="R260" s="16"/>
      <x:c r="S260" s="16" t="str"/>
      <x:c r="T260" s="16" t="str">
        <x:v>https://bulbapedia.bulbagarden.net/wiki/List_of_Japanese_TCG_Expansions</x:v>
      </x:c>
      <x:c r="U260" s="16" t="str">
        <x:v>NO — review only</x:v>
      </x:c>
    </x:row>
    <x:row r="261" ht="54" customHeight="1">
      <x:c r="A261" s="16" t="str">
        <x:v>ja-14fe79e19ee3</x:v>
      </x:c>
      <x:c r="B261" s="16" t="str">
        <x:v>ja</x:v>
      </x:c>
      <x:c r="C261" s="16" t="str">
        <x:v>Reviving Legends</x:v>
      </x:c>
      <x:c r="D261" s="16" t="str">
        <x:v>よみがえる伝説</x:v>
      </x:c>
      <x:c r="E261" s="16" t="str">
        <x:v>LEGEND</x:v>
      </x:c>
      <x:c r="F261" s="16" t="str">
        <x:v>Card set / collection</x:v>
      </x:c>
      <x:c r="G261" s="16" t="str">
        <x:v>L2</x:v>
      </x:c>
      <x:c r="H261" s="16" t="str">
        <x:v>Catalogue identifier (TCG Collector); printed form not independently checked</x:v>
      </x:c>
      <x:c r="I261" s="16" t="str">
        <x:v>2010-02-11</x:v>
      </x:c>
      <x:c r="J261" s="16" t="str">
        <x:v>day</x:v>
      </x:c>
      <x:c r="K261" s="16" t="str">
        <x:v>Japan</x:v>
      </x:c>
      <x:c r="L261" s="16" t="n">
        <x:v>80</x:v>
      </x:c>
      <x:c r="M261" s="16" t="n">
        <x:v>1</x:v>
      </x:c>
      <x:c r="N261" s="16" t="n">
        <x:v>0</x:v>
      </x:c>
      <x:c r="O261" s="16" t="n">
        <x:v>81</x:v>
      </x:c>
      <x:c r="P261" s="16" t="n">
        <x:v>81</x:v>
      </x:c>
      <x:c r="Q261" s="16"/>
      <x:c r="R261" s="16"/>
      <x:c r="S261" s="16" t="str"/>
      <x:c r="T261" s="16"/>
      <x:c r="U261" s="16" t="str">
        <x:v>NO — review only</x:v>
      </x:c>
    </x:row>
    <x:row r="262" ht="54" customHeight="1">
      <x:c r="A262" s="16" t="str">
        <x:v>ja-0fdbb9b7ff7c</x:v>
      </x:c>
      <x:c r="B262" s="16" t="str">
        <x:v>ja</x:v>
      </x:c>
      <x:c r="C262" s="16" t="str">
        <x:v>Lost Link</x:v>
      </x:c>
      <x:c r="D262" s="16" t="str">
        <x:v>ロストリンク</x:v>
      </x:c>
      <x:c r="E262" s="16" t="str">
        <x:v>LEGEND</x:v>
      </x:c>
      <x:c r="F262" s="16" t="str">
        <x:v>Card set / collection</x:v>
      </x:c>
      <x:c r="G262" s="16" t="str">
        <x:v>LL</x:v>
      </x:c>
      <x:c r="H262" s="16" t="str">
        <x:v>Catalogue identifier (TCG Collector); printed form not independently checked</x:v>
      </x:c>
      <x:c r="I262" s="16" t="str">
        <x:v>2010-04-16</x:v>
      </x:c>
      <x:c r="J262" s="16" t="str">
        <x:v>day</x:v>
      </x:c>
      <x:c r="K262" s="16" t="str">
        <x:v>Japan</x:v>
      </x:c>
      <x:c r="L262" s="16" t="n">
        <x:v>40</x:v>
      </x:c>
      <x:c r="M262" s="16" t="n">
        <x:v>0</x:v>
      </x:c>
      <x:c r="N262" s="16" t="n">
        <x:v>0</x:v>
      </x:c>
      <x:c r="O262" s="16" t="n">
        <x:v>40</x:v>
      </x:c>
      <x:c r="P262" s="16" t="n">
        <x:v>40</x:v>
      </x:c>
      <x:c r="Q262" s="16"/>
      <x:c r="R262" s="16"/>
      <x:c r="S262" s="16" t="str"/>
      <x:c r="T262" s="16"/>
      <x:c r="U262" s="16" t="str">
        <x:v>NO — review only</x:v>
      </x:c>
    </x:row>
    <x:row r="263" ht="54" customHeight="1">
      <x:c r="A263" s="16" t="str">
        <x:v>ja-6b4a3e2ee98a</x:v>
      </x:c>
      <x:c r="B263" s="16" t="str">
        <x:v>ja</x:v>
      </x:c>
      <x:c r="C263" s="16" t="str">
        <x:v>Clash at the Summit</x:v>
      </x:c>
      <x:c r="D263" s="16" t="str">
        <x:v>頂上大激突</x:v>
      </x:c>
      <x:c r="E263" s="16" t="str">
        <x:v>LEGEND</x:v>
      </x:c>
      <x:c r="F263" s="16" t="str">
        <x:v>Card set / collection</x:v>
      </x:c>
      <x:c r="G263" s="16" t="str">
        <x:v>L3</x:v>
      </x:c>
      <x:c r="H263" s="16" t="str">
        <x:v>Catalogue identifier (TCG Collector); printed form not independently checked</x:v>
      </x:c>
      <x:c r="I263" s="16" t="str">
        <x:v>2010-07-08</x:v>
      </x:c>
      <x:c r="J263" s="16" t="str">
        <x:v>day</x:v>
      </x:c>
      <x:c r="K263" s="16" t="str">
        <x:v>Japan</x:v>
      </x:c>
      <x:c r="L263" s="16" t="n">
        <x:v>80</x:v>
      </x:c>
      <x:c r="M263" s="16" t="n">
        <x:v>1</x:v>
      </x:c>
      <x:c r="N263" s="16" t="n">
        <x:v>0</x:v>
      </x:c>
      <x:c r="O263" s="16" t="n">
        <x:v>81</x:v>
      </x:c>
      <x:c r="P263" s="16" t="n">
        <x:v>81</x:v>
      </x:c>
      <x:c r="Q263" s="16"/>
      <x:c r="R263" s="16"/>
      <x:c r="S263" s="16" t="str"/>
      <x:c r="T263" s="16"/>
      <x:c r="U263" s="16" t="str">
        <x:v>NO — review only</x:v>
      </x:c>
    </x:row>
    <x:row r="264" ht="54" customHeight="1">
      <x:c r="A264" s="16" t="str">
        <x:v>ja-7f31002fd758</x:v>
      </x:c>
      <x:c r="B264" s="16" t="str">
        <x:v>ja</x:v>
      </x:c>
      <x:c r="C264" s="16" t="str">
        <x:v>World Collection</x:v>
      </x:c>
      <x:c r="D264" s="16" t="str">
        <x:v>ピカチュウ ワールド</x:v>
      </x:c>
      <x:c r="E264" s="16" t="str">
        <x:v>LEGEND</x:v>
      </x:c>
      <x:c r="F264" s="16" t="str">
        <x:v>Card set / collection</x:v>
      </x:c>
      <x:c r="G264" s="16" t="str">
        <x:v>WC10</x:v>
      </x:c>
      <x:c r="H264" s="16" t="str">
        <x:v>Stackr internal/database shorthand for the 2010 World Collection (Pikachu World); not asserted as a printed expansion code</x:v>
      </x:c>
      <x:c r="I264" s="16" t="str">
        <x:v>2010-07-08</x:v>
      </x:c>
      <x:c r="J264" s="16" t="str">
        <x:v>day</x:v>
      </x:c>
      <x:c r="K264" s="16" t="str">
        <x:v>Japan</x:v>
      </x:c>
      <x:c r="L264" s="16" t="n">
        <x:v>10</x:v>
      </x:c>
      <x:c r="M264" s="16" t="n">
        <x:v>0</x:v>
      </x:c>
      <x:c r="N264" s="16" t="n">
        <x:v>0</x:v>
      </x:c>
      <x:c r="O264" s="16" t="n">
        <x:v>10</x:v>
      </x:c>
      <x:c r="P264" s="16" t="n">
        <x:v>10</x:v>
      </x:c>
      <x:c r="Q264" s="16"/>
      <x:c r="R264" s="16"/>
      <x:c r="S264" s="16" t="str"/>
      <x:c r="T264" s="16" t="str">
        <x:v>https://bulbapedia.bulbagarden.net/wiki/Pikachu_World_%28TCG%29</x:v>
      </x:c>
      <x:c r="U264" s="16" t="str">
        <x:v>NO — review only</x:v>
      </x:c>
    </x:row>
    <x:row r="265" ht="54" customHeight="1">
      <x:c r="A265" s="16" t="str">
        <x:v>ja-375d68f5afb5</x:v>
      </x:c>
      <x:c r="B265" s="16" t="str">
        <x:v>ja</x:v>
      </x:c>
      <x:c r="C265" s="16" t="str">
        <x:v>Collection Sheet Journey Partners</x:v>
      </x:c>
      <x:c r="D265" s="16" t="str">
        <x:v>コレクションシート 旅立ちの仲間</x:v>
      </x:c>
      <x:c r="E265" s="16" t="str">
        <x:v>Black &amp; White</x:v>
      </x:c>
      <x:c r="F265" s="16" t="str">
        <x:v>Card set / collection</x:v>
      </x:c>
      <x:c r="G265" s="16" t="str">
        <x:v>CS1</x:v>
      </x:c>
      <x:c r="H265" s="16" t="str">
        <x:v>Catalogue identifier (TCG Collector); printed form not independently checked</x:v>
      </x:c>
      <x:c r="I265" s="16" t="str">
        <x:v>2010-09-18</x:v>
      </x:c>
      <x:c r="J265" s="16" t="str">
        <x:v>day</x:v>
      </x:c>
      <x:c r="K265" s="16" t="str">
        <x:v>Japan</x:v>
      </x:c>
      <x:c r="L265" s="16" t="n">
        <x:v>9</x:v>
      </x:c>
      <x:c r="M265" s="16" t="n">
        <x:v>0</x:v>
      </x:c>
      <x:c r="N265" s="16" t="n">
        <x:v>0</x:v>
      </x:c>
      <x:c r="O265" s="16" t="n">
        <x:v>9</x:v>
      </x:c>
      <x:c r="P265" s="16" t="n">
        <x:v>9</x:v>
      </x:c>
      <x:c r="Q265" s="16"/>
      <x:c r="R265" s="16"/>
      <x:c r="S265" s="16" t="str"/>
      <x:c r="T265" s="16"/>
      <x:c r="U265" s="16" t="str">
        <x:v>NO — review only</x:v>
      </x:c>
    </x:row>
    <x:row r="266" ht="54" customHeight="1">
      <x:c r="A266" s="16" t="str">
        <x:v>ja-55ccb6ad65f9</x:v>
      </x:c>
      <x:c r="B266" s="16" t="str">
        <x:v>ja</x:v>
      </x:c>
      <x:c r="C266" s="16" t="str">
        <x:v>BW-P Promotional cards</x:v>
      </x:c>
      <x:c r="D266" s="16" t="str">
        <x:v>BW-Pプロモカード</x:v>
      </x:c>
      <x:c r="E266" s="16" t="str">
        <x:v>Black &amp; White</x:v>
      </x:c>
      <x:c r="F266" s="16" t="str">
        <x:v>Promo catalogue</x:v>
      </x:c>
      <x:c r="G266" s="16" t="str">
        <x:v>BW-P</x:v>
      </x:c>
      <x:c r="H266" s="16" t="str">
        <x:v>Promotional numbering prefix</x:v>
      </x:c>
      <x:c r="I266" s="16" t="str">
        <x:v>2010-12</x:v>
      </x:c>
      <x:c r="J266" s="16" t="str">
        <x:v>month</x:v>
      </x:c>
      <x:c r="K266" s="16" t="str">
        <x:v>Japan</x:v>
      </x:c>
      <x:c r="L266" s="16" t="n">
        <x:v>229</x:v>
      </x:c>
      <x:c r="M266" s="16" t="n">
        <x:v>0</x:v>
      </x:c>
      <x:c r="N266" s="16" t="n">
        <x:v>0</x:v>
      </x:c>
      <x:c r="O266" s="16" t="n">
        <x:v>229</x:v>
      </x:c>
      <x:c r="P266" s="16" t="n">
        <x:v>229</x:v>
      </x:c>
      <x:c r="Q266" s="16"/>
      <x:c r="R266" s="16"/>
      <x:c r="S266" s="16" t="str"/>
      <x:c r="T266" s="16" t="str">
        <x:v>https://bulbapedia.bulbagarden.net/wiki/Category%3AJapanese_promotional_cards</x:v>
      </x:c>
      <x:c r="U266" s="16" t="str">
        <x:v>NO — review only</x:v>
      </x:c>
    </x:row>
    <x:row r="267" ht="54" customHeight="1">
      <x:c r="A267" s="16" t="str">
        <x:v>ja-0792c3a06e5e</x:v>
      </x:c>
      <x:c r="B267" s="16" t="str">
        <x:v>ja</x:v>
      </x:c>
      <x:c r="C267" s="16" t="str">
        <x:v>Black Collection</x:v>
      </x:c>
      <x:c r="D267" s="16" t="str">
        <x:v>ブラックコレクション</x:v>
      </x:c>
      <x:c r="E267" s="16" t="str">
        <x:v>Black &amp; White</x:v>
      </x:c>
      <x:c r="F267" s="16" t="str">
        <x:v>Card set / collection</x:v>
      </x:c>
      <x:c r="G267" s="16" t="str">
        <x:v>BW1-Black</x:v>
      </x:c>
      <x:c r="H267" s="16" t="str">
        <x:v>Stackr disambiguated child code under the Japanese BW1 dual-expansion block</x:v>
      </x:c>
      <x:c r="I267" s="16" t="str">
        <x:v>2010-12-17</x:v>
      </x:c>
      <x:c r="J267" s="16" t="str">
        <x:v>day</x:v>
      </x:c>
      <x:c r="K267" s="16" t="str">
        <x:v>Japan</x:v>
      </x:c>
      <x:c r="L267" s="16" t="n">
        <x:v>53</x:v>
      </x:c>
      <x:c r="M267" s="16" t="n">
        <x:v>3</x:v>
      </x:c>
      <x:c r="N267" s="16" t="n">
        <x:v>0</x:v>
      </x:c>
      <x:c r="O267" s="16" t="n">
        <x:v>56</x:v>
      </x:c>
      <x:c r="P267" s="16" t="n">
        <x:v>56</x:v>
      </x:c>
      <x:c r="Q267" s="16"/>
      <x:c r="R267" s="16"/>
      <x:c r="S267" s="16" t="str"/>
      <x:c r="T267" s="16" t="str">
        <x:v>https://bulbapedia.bulbagarden.net/wiki/BW1</x:v>
      </x:c>
      <x:c r="U267" s="16" t="str">
        <x:v>NO — review only</x:v>
      </x:c>
    </x:row>
    <x:row r="268" ht="54" customHeight="1">
      <x:c r="A268" s="16" t="str">
        <x:v>ja-343ee8958d6b</x:v>
      </x:c>
      <x:c r="B268" s="16" t="str">
        <x:v>ja</x:v>
      </x:c>
      <x:c r="C268" s="16" t="str">
        <x:v>White Collection</x:v>
      </x:c>
      <x:c r="D268" s="16" t="str">
        <x:v>ホワイトコレクション</x:v>
      </x:c>
      <x:c r="E268" s="16" t="str">
        <x:v>Black &amp; White</x:v>
      </x:c>
      <x:c r="F268" s="16" t="str">
        <x:v>Card set / collection</x:v>
      </x:c>
      <x:c r="G268" s="16" t="str">
        <x:v>BW1-White</x:v>
      </x:c>
      <x:c r="H268" s="16" t="str">
        <x:v>Stackr disambiguated child code under the Japanese BW1 dual-expansion block</x:v>
      </x:c>
      <x:c r="I268" s="16" t="str">
        <x:v>2010-12-17</x:v>
      </x:c>
      <x:c r="J268" s="16" t="str">
        <x:v>day</x:v>
      </x:c>
      <x:c r="K268" s="16" t="str">
        <x:v>Japan</x:v>
      </x:c>
      <x:c r="L268" s="16" t="n">
        <x:v>53</x:v>
      </x:c>
      <x:c r="M268" s="16" t="n">
        <x:v>3</x:v>
      </x:c>
      <x:c r="N268" s="16" t="n">
        <x:v>0</x:v>
      </x:c>
      <x:c r="O268" s="16" t="n">
        <x:v>56</x:v>
      </x:c>
      <x:c r="P268" s="16" t="n">
        <x:v>56</x:v>
      </x:c>
      <x:c r="Q268" s="16"/>
      <x:c r="R268" s="16"/>
      <x:c r="S268" s="16" t="str"/>
      <x:c r="T268" s="16" t="str">
        <x:v>https://bulbapedia.bulbagarden.net/wiki/BW1</x:v>
      </x:c>
      <x:c r="U268" s="16" t="str">
        <x:v>NO — review only</x:v>
      </x:c>
    </x:row>
    <x:row r="269" ht="54" customHeight="1">
      <x:c r="A269" s="16" t="str">
        <x:v>ja-ecb9396be7bc</x:v>
      </x:c>
      <x:c r="B269" s="16" t="str">
        <x:v>ja</x:v>
      </x:c>
      <x:c r="C269" s="16" t="str">
        <x:v>Red Collection</x:v>
      </x:c>
      <x:c r="D269" s="16" t="str">
        <x:v>レッドコレクション</x:v>
      </x:c>
      <x:c r="E269" s="16" t="str">
        <x:v>Black &amp; White</x:v>
      </x:c>
      <x:c r="F269" s="16" t="str">
        <x:v>Card set / collection</x:v>
      </x:c>
      <x:c r="G269" s="16" t="str">
        <x:v>BW2</x:v>
      </x:c>
      <x:c r="H269" s="16" t="str">
        <x:v>Catalogue identifier (TCG Collector); printed form not independently checked</x:v>
      </x:c>
      <x:c r="I269" s="16" t="str">
        <x:v>2011-07-15</x:v>
      </x:c>
      <x:c r="J269" s="16" t="str">
        <x:v>day</x:v>
      </x:c>
      <x:c r="K269" s="16" t="str">
        <x:v>Japan</x:v>
      </x:c>
      <x:c r="L269" s="16" t="n">
        <x:v>66</x:v>
      </x:c>
      <x:c r="M269" s="16" t="n">
        <x:v>6</x:v>
      </x:c>
      <x:c r="N269" s="16" t="n">
        <x:v>0</x:v>
      </x:c>
      <x:c r="O269" s="16" t="n">
        <x:v>72</x:v>
      </x:c>
      <x:c r="P269" s="16" t="n">
        <x:v>72</x:v>
      </x:c>
      <x:c r="Q269" s="16"/>
      <x:c r="R269" s="16"/>
      <x:c r="S269" s="16" t="str"/>
      <x:c r="T269" s="16"/>
      <x:c r="U269" s="16" t="str">
        <x:v>NO — review only</x:v>
      </x:c>
    </x:row>
    <x:row r="270" ht="54" customHeight="1">
      <x:c r="A270" s="16" t="str">
        <x:v>ja-56563c34a89e</x:v>
      </x:c>
      <x:c r="B270" s="16" t="str">
        <x:v>ja</x:v>
      </x:c>
      <x:c r="C270" s="16" t="str">
        <x:v>Hail Blizzard</x:v>
      </x:c>
      <x:c r="D270" s="16" t="str">
        <x:v>ヘイルブリザード</x:v>
      </x:c>
      <x:c r="E270" s="16" t="str">
        <x:v>Black &amp; White</x:v>
      </x:c>
      <x:c r="F270" s="16" t="str">
        <x:v>Card set / collection</x:v>
      </x:c>
      <x:c r="G270" s="16" t="str">
        <x:v>BW3-Hail</x:v>
      </x:c>
      <x:c r="H270" s="16" t="str">
        <x:v>Stackr disambiguated child code under the Japanese BW3 dual-expansion block</x:v>
      </x:c>
      <x:c r="I270" s="16" t="str">
        <x:v>2011-09-16</x:v>
      </x:c>
      <x:c r="J270" s="16" t="str">
        <x:v>day</x:v>
      </x:c>
      <x:c r="K270" s="16" t="str">
        <x:v>Japan</x:v>
      </x:c>
      <x:c r="L270" s="16" t="n">
        <x:v>52</x:v>
      </x:c>
      <x:c r="M270" s="16" t="n">
        <x:v>5</x:v>
      </x:c>
      <x:c r="N270" s="16" t="n">
        <x:v>0</x:v>
      </x:c>
      <x:c r="O270" s="16" t="n">
        <x:v>57</x:v>
      </x:c>
      <x:c r="P270" s="16" t="n">
        <x:v>57</x:v>
      </x:c>
      <x:c r="Q270" s="16"/>
      <x:c r="R270" s="16"/>
      <x:c r="S270" s="16" t="str"/>
      <x:c r="T270" s="16" t="str">
        <x:v>https://bulbapedia.bulbagarden.net/wiki/Next_Destinies_%28TCG%29</x:v>
      </x:c>
      <x:c r="U270" s="16" t="str">
        <x:v>NO — review only</x:v>
      </x:c>
    </x:row>
    <x:row r="271" ht="54" customHeight="1">
      <x:c r="A271" s="16" t="str">
        <x:v>ja-aaca389707bd</x:v>
      </x:c>
      <x:c r="B271" s="16" t="str">
        <x:v>ja</x:v>
      </x:c>
      <x:c r="C271" s="16" t="str">
        <x:v>Psycho Drive</x:v>
      </x:c>
      <x:c r="D271" s="16" t="str">
        <x:v>サイコドライブ</x:v>
      </x:c>
      <x:c r="E271" s="16" t="str">
        <x:v>Black &amp; White</x:v>
      </x:c>
      <x:c r="F271" s="16" t="str">
        <x:v>Card set / collection</x:v>
      </x:c>
      <x:c r="G271" s="16" t="str">
        <x:v>BW3-Psycho</x:v>
      </x:c>
      <x:c r="H271" s="16" t="str">
        <x:v>Stackr disambiguated child code under the Japanese BW3 dual-expansion block</x:v>
      </x:c>
      <x:c r="I271" s="16" t="str">
        <x:v>2011-09-16</x:v>
      </x:c>
      <x:c r="J271" s="16" t="str">
        <x:v>day</x:v>
      </x:c>
      <x:c r="K271" s="16" t="str">
        <x:v>Japan</x:v>
      </x:c>
      <x:c r="L271" s="16" t="n">
        <x:v>52</x:v>
      </x:c>
      <x:c r="M271" s="16" t="n">
        <x:v>5</x:v>
      </x:c>
      <x:c r="N271" s="16" t="n">
        <x:v>0</x:v>
      </x:c>
      <x:c r="O271" s="16" t="n">
        <x:v>57</x:v>
      </x:c>
      <x:c r="P271" s="16" t="n">
        <x:v>57</x:v>
      </x:c>
      <x:c r="Q271" s="16"/>
      <x:c r="R271" s="16"/>
      <x:c r="S271" s="16" t="str"/>
      <x:c r="T271" s="16" t="str">
        <x:v>https://bulbapedia.bulbagarden.net/wiki/Next_Destinies_%28TCG%29</x:v>
      </x:c>
      <x:c r="U271" s="16" t="str">
        <x:v>NO — review only</x:v>
      </x:c>
    </x:row>
    <x:row r="272" ht="54" customHeight="1">
      <x:c r="A272" s="16" t="str">
        <x:v>ja-96ef806e2324</x:v>
      </x:c>
      <x:c r="B272" s="16" t="str">
        <x:v>ja</x:v>
      </x:c>
      <x:c r="C272" s="16" t="str">
        <x:v>Dark Rush</x:v>
      </x:c>
      <x:c r="D272" s="16" t="str">
        <x:v>ダークラッシュ</x:v>
      </x:c>
      <x:c r="E272" s="16" t="str">
        <x:v>Black &amp; White</x:v>
      </x:c>
      <x:c r="F272" s="16" t="str">
        <x:v>Card set / collection</x:v>
      </x:c>
      <x:c r="G272" s="16" t="str">
        <x:v>BW4</x:v>
      </x:c>
      <x:c r="H272" s="16" t="str">
        <x:v>Catalogue identifier (TCG Collector); printed form not independently checked</x:v>
      </x:c>
      <x:c r="I272" s="16" t="str">
        <x:v>2011-12-16</x:v>
      </x:c>
      <x:c r="J272" s="16" t="str">
        <x:v>day</x:v>
      </x:c>
      <x:c r="K272" s="16" t="str">
        <x:v>Japan</x:v>
      </x:c>
      <x:c r="L272" s="16" t="n">
        <x:v>69</x:v>
      </x:c>
      <x:c r="M272" s="16" t="n">
        <x:v>7</x:v>
      </x:c>
      <x:c r="N272" s="16" t="n">
        <x:v>0</x:v>
      </x:c>
      <x:c r="O272" s="16" t="n">
        <x:v>76</x:v>
      </x:c>
      <x:c r="P272" s="16" t="n">
        <x:v>76</x:v>
      </x:c>
      <x:c r="Q272" s="16"/>
      <x:c r="R272" s="16"/>
      <x:c r="S272" s="16" t="str"/>
      <x:c r="T272" s="16"/>
      <x:c r="U272" s="16" t="str">
        <x:v>NO — review only</x:v>
      </x:c>
    </x:row>
    <x:row r="273" ht="54" customHeight="1">
      <x:c r="A273" s="16" t="str">
        <x:v>ja-344bb24cd8c0</x:v>
      </x:c>
      <x:c r="B273" s="16" t="str">
        <x:v>ja</x:v>
      </x:c>
      <x:c r="C273" s="16" t="str">
        <x:v>Dragon Selection</x:v>
      </x:c>
      <x:c r="D273" s="16" t="str">
        <x:v>ドラゴンセレクション</x:v>
      </x:c>
      <x:c r="E273" s="16" t="str">
        <x:v>Black &amp; White</x:v>
      </x:c>
      <x:c r="F273" s="16" t="str">
        <x:v>Card set / collection</x:v>
      </x:c>
      <x:c r="G273" s="16" t="str">
        <x:v>DS</x:v>
      </x:c>
      <x:c r="H273" s="16" t="str">
        <x:v>Catalogue identifier (TCG Collector); printed form not independently checked</x:v>
      </x:c>
      <x:c r="I273" s="16" t="str">
        <x:v>2012-01-27</x:v>
      </x:c>
      <x:c r="J273" s="16" t="str">
        <x:v>day</x:v>
      </x:c>
      <x:c r="K273" s="16" t="str">
        <x:v>Japan</x:v>
      </x:c>
      <x:c r="L273" s="16" t="n">
        <x:v>20</x:v>
      </x:c>
      <x:c r="M273" s="16" t="n">
        <x:v>0</x:v>
      </x:c>
      <x:c r="N273" s="16" t="n">
        <x:v>0</x:v>
      </x:c>
      <x:c r="O273" s="16" t="n">
        <x:v>20</x:v>
      </x:c>
      <x:c r="P273" s="16" t="n">
        <x:v>20</x:v>
      </x:c>
      <x:c r="Q273" s="16"/>
      <x:c r="R273" s="16"/>
      <x:c r="S273" s="16" t="str"/>
      <x:c r="T273" s="16"/>
      <x:c r="U273" s="16" t="str">
        <x:v>NO — review only</x:v>
      </x:c>
    </x:row>
    <x:row r="274" ht="54" customHeight="1">
      <x:c r="A274" s="16" t="str">
        <x:v>ja-38d355385584</x:v>
      </x:c>
      <x:c r="B274" s="16" t="str">
        <x:v>ja</x:v>
      </x:c>
      <x:c r="C274" s="16" t="str">
        <x:v>Dragon Blade</x:v>
      </x:c>
      <x:c r="D274" s="16" t="str">
        <x:v>リューノブレード</x:v>
      </x:c>
      <x:c r="E274" s="16" t="str">
        <x:v>Black &amp; White</x:v>
      </x:c>
      <x:c r="F274" s="16" t="str">
        <x:v>Card set / collection</x:v>
      </x:c>
      <x:c r="G274" s="16" t="str">
        <x:v>BW5-Blade</x:v>
      </x:c>
      <x:c r="H274" s="16" t="str">
        <x:v>Stackr disambiguated child code under the Japanese BW5 dual-expansion block</x:v>
      </x:c>
      <x:c r="I274" s="16" t="str">
        <x:v>2012-03-16</x:v>
      </x:c>
      <x:c r="J274" s="16" t="str">
        <x:v>day</x:v>
      </x:c>
      <x:c r="K274" s="16" t="str">
        <x:v>Japan</x:v>
      </x:c>
      <x:c r="L274" s="16" t="n">
        <x:v>50</x:v>
      </x:c>
      <x:c r="M274" s="16" t="n">
        <x:v>5</x:v>
      </x:c>
      <x:c r="N274" s="16" t="n">
        <x:v>0</x:v>
      </x:c>
      <x:c r="O274" s="16" t="n">
        <x:v>55</x:v>
      </x:c>
      <x:c r="P274" s="16" t="n">
        <x:v>55</x:v>
      </x:c>
      <x:c r="Q274" s="16"/>
      <x:c r="R274" s="16"/>
      <x:c r="S274" s="16" t="str"/>
      <x:c r="T274" s="16" t="str">
        <x:v>https://bulbapedia.bulbagarden.net/wiki/Dragons_Exalted_%28TCG%29</x:v>
      </x:c>
      <x:c r="U274" s="16" t="str">
        <x:v>NO — review only</x:v>
      </x:c>
    </x:row>
    <x:row r="275" ht="54" customHeight="1">
      <x:c r="A275" s="16" t="str">
        <x:v>ja-cb452c3959d0</x:v>
      </x:c>
      <x:c r="B275" s="16" t="str">
        <x:v>ja</x:v>
      </x:c>
      <x:c r="C275" s="16" t="str">
        <x:v>Dragon Blast</x:v>
      </x:c>
      <x:c r="D275" s="16" t="str">
        <x:v>リューズブラスト</x:v>
      </x:c>
      <x:c r="E275" s="16" t="str">
        <x:v>Black &amp; White</x:v>
      </x:c>
      <x:c r="F275" s="16" t="str">
        <x:v>Card set / collection</x:v>
      </x:c>
      <x:c r="G275" s="16" t="str">
        <x:v>BW5-Blast</x:v>
      </x:c>
      <x:c r="H275" s="16" t="str">
        <x:v>Stackr disambiguated child code under the Japanese BW5 dual-expansion block</x:v>
      </x:c>
      <x:c r="I275" s="16" t="str">
        <x:v>2012-03-16</x:v>
      </x:c>
      <x:c r="J275" s="16" t="str">
        <x:v>day</x:v>
      </x:c>
      <x:c r="K275" s="16" t="str">
        <x:v>Japan</x:v>
      </x:c>
      <x:c r="L275" s="16" t="n">
        <x:v>50</x:v>
      </x:c>
      <x:c r="M275" s="16" t="n">
        <x:v>5</x:v>
      </x:c>
      <x:c r="N275" s="16" t="n">
        <x:v>0</x:v>
      </x:c>
      <x:c r="O275" s="16" t="n">
        <x:v>55</x:v>
      </x:c>
      <x:c r="P275" s="16" t="n">
        <x:v>55</x:v>
      </x:c>
      <x:c r="Q275" s="16"/>
      <x:c r="R275" s="16"/>
      <x:c r="S275" s="16" t="str"/>
      <x:c r="T275" s="16" t="str">
        <x:v>https://bulbapedia.bulbagarden.net/wiki/Dragons_Exalted_%28TCG%29</x:v>
      </x:c>
      <x:c r="U275" s="16" t="str">
        <x:v>NO — review only</x:v>
      </x:c>
    </x:row>
    <x:row r="276" ht="54" customHeight="1">
      <x:c r="A276" s="16" t="str">
        <x:v>ja-9d708a7a2d48</x:v>
      </x:c>
      <x:c r="B276" s="16" t="str">
        <x:v>ja</x:v>
      </x:c>
      <x:c r="C276" s="16" t="str">
        <x:v>Cold Flare</x:v>
      </x:c>
      <x:c r="D276" s="16" t="str">
        <x:v>コールドフレア</x:v>
      </x:c>
      <x:c r="E276" s="16" t="str">
        <x:v>Black &amp; White</x:v>
      </x:c>
      <x:c r="F276" s="16" t="str">
        <x:v>Card set / collection</x:v>
      </x:c>
      <x:c r="G276" s="16" t="str">
        <x:v>BW6-Cold</x:v>
      </x:c>
      <x:c r="H276" s="16" t="str">
        <x:v>Stackr disambiguated child code under the Japanese BW6 dual-expansion block</x:v>
      </x:c>
      <x:c r="I276" s="16" t="str">
        <x:v>2012-07-13</x:v>
      </x:c>
      <x:c r="J276" s="16" t="str">
        <x:v>day</x:v>
      </x:c>
      <x:c r="K276" s="16" t="str">
        <x:v>Japan</x:v>
      </x:c>
      <x:c r="L276" s="16" t="n">
        <x:v>59</x:v>
      </x:c>
      <x:c r="M276" s="16" t="n">
        <x:v>6</x:v>
      </x:c>
      <x:c r="N276" s="16" t="n">
        <x:v>0</x:v>
      </x:c>
      <x:c r="O276" s="16" t="n">
        <x:v>65</x:v>
      </x:c>
      <x:c r="P276" s="16" t="n">
        <x:v>65</x:v>
      </x:c>
      <x:c r="Q276" s="16"/>
      <x:c r="R276" s="16"/>
      <x:c r="S276" s="16" t="str"/>
      <x:c r="T276" s="16" t="str">
        <x:v>https://bulbapedia.bulbagarden.net/wiki/List_of_Japanese_TCG_Expansions</x:v>
      </x:c>
      <x:c r="U276" s="16" t="str">
        <x:v>NO — review only</x:v>
      </x:c>
    </x:row>
    <x:row r="277" ht="54" customHeight="1">
      <x:c r="A277" s="16" t="str">
        <x:v>ja-cf12abfb207a</x:v>
      </x:c>
      <x:c r="B277" s="16" t="str">
        <x:v>ja</x:v>
      </x:c>
      <x:c r="C277" s="16" t="str">
        <x:v>Freeze Bolt</x:v>
      </x:c>
      <x:c r="D277" s="16" t="str">
        <x:v>フリーズボルト</x:v>
      </x:c>
      <x:c r="E277" s="16" t="str">
        <x:v>Black &amp; White</x:v>
      </x:c>
      <x:c r="F277" s="16" t="str">
        <x:v>Card set / collection</x:v>
      </x:c>
      <x:c r="G277" s="16" t="str">
        <x:v>BW6-Freeze</x:v>
      </x:c>
      <x:c r="H277" s="16" t="str">
        <x:v>Stackr disambiguated child code under the Japanese BW6 dual-expansion block</x:v>
      </x:c>
      <x:c r="I277" s="16" t="str">
        <x:v>2012-07-13</x:v>
      </x:c>
      <x:c r="J277" s="16" t="str">
        <x:v>day</x:v>
      </x:c>
      <x:c r="K277" s="16" t="str">
        <x:v>Japan</x:v>
      </x:c>
      <x:c r="L277" s="16" t="n">
        <x:v>59</x:v>
      </x:c>
      <x:c r="M277" s="16" t="n">
        <x:v>6</x:v>
      </x:c>
      <x:c r="N277" s="16" t="n">
        <x:v>0</x:v>
      </x:c>
      <x:c r="O277" s="16" t="n">
        <x:v>65</x:v>
      </x:c>
      <x:c r="P277" s="16" t="n">
        <x:v>65</x:v>
      </x:c>
      <x:c r="Q277" s="16"/>
      <x:c r="R277" s="16"/>
      <x:c r="S277" s="16" t="str"/>
      <x:c r="T277" s="16" t="str">
        <x:v>https://bulbapedia.bulbagarden.net/wiki/List_of_Japanese_TCG_Expansions</x:v>
      </x:c>
      <x:c r="U277" s="16" t="str">
        <x:v>NO — review only</x:v>
      </x:c>
    </x:row>
    <x:row r="278" ht="54" customHeight="1">
      <x:c r="A278" s="16" t="str">
        <x:v>ja-344a8d566d5b</x:v>
      </x:c>
      <x:c r="B278" s="16" t="str">
        <x:v>ja</x:v>
      </x:c>
      <x:c r="C278" s="16" t="str">
        <x:v>Plasma Gale</x:v>
      </x:c>
      <x:c r="D278" s="16" t="str">
        <x:v>プラズマゲイル</x:v>
      </x:c>
      <x:c r="E278" s="16" t="str">
        <x:v>Black &amp; White</x:v>
      </x:c>
      <x:c r="F278" s="16" t="str">
        <x:v>Card set / collection</x:v>
      </x:c>
      <x:c r="G278" s="16" t="str">
        <x:v>BW7</x:v>
      </x:c>
      <x:c r="H278" s="16" t="str">
        <x:v>Catalogue identifier (TCG Collector); printed form not independently checked</x:v>
      </x:c>
      <x:c r="I278" s="16" t="str">
        <x:v>2012-09-14</x:v>
      </x:c>
      <x:c r="J278" s="16" t="str">
        <x:v>day</x:v>
      </x:c>
      <x:c r="K278" s="16" t="str">
        <x:v>Japan</x:v>
      </x:c>
      <x:c r="L278" s="16" t="n">
        <x:v>70</x:v>
      </x:c>
      <x:c r="M278" s="16" t="n">
        <x:v>9</x:v>
      </x:c>
      <x:c r="N278" s="16" t="n">
        <x:v>0</x:v>
      </x:c>
      <x:c r="O278" s="16" t="n">
        <x:v>79</x:v>
      </x:c>
      <x:c r="P278" s="16" t="n">
        <x:v>79</x:v>
      </x:c>
      <x:c r="Q278" s="16"/>
      <x:c r="R278" s="16"/>
      <x:c r="S278" s="16" t="str"/>
      <x:c r="T278" s="16"/>
      <x:c r="U278" s="16" t="str">
        <x:v>NO — review only</x:v>
      </x:c>
    </x:row>
    <x:row r="279" ht="54" customHeight="1">
      <x:c r="A279" s="16" t="str">
        <x:v>ja-2d2ccae25348</x:v>
      </x:c>
      <x:c r="B279" s="16" t="str">
        <x:v>ja</x:v>
      </x:c>
      <x:c r="C279" s="16" t="str">
        <x:v>Spiral Force</x:v>
      </x:c>
      <x:c r="D279" s="16" t="str">
        <x:v>ラセンフォース</x:v>
      </x:c>
      <x:c r="E279" s="16" t="str">
        <x:v>Black &amp; White</x:v>
      </x:c>
      <x:c r="F279" s="16" t="str">
        <x:v>Card set / collection</x:v>
      </x:c>
      <x:c r="G279" s="16" t="str">
        <x:v>BW8-Spiral</x:v>
      </x:c>
      <x:c r="H279" s="16" t="str">
        <x:v>Stackr disambiguated child code under the Japanese BW8 dual-expansion block</x:v>
      </x:c>
      <x:c r="I279" s="16" t="str">
        <x:v>2012-12-14</x:v>
      </x:c>
      <x:c r="J279" s="16" t="str">
        <x:v>day</x:v>
      </x:c>
      <x:c r="K279" s="16" t="str">
        <x:v>Japan</x:v>
      </x:c>
      <x:c r="L279" s="16" t="n">
        <x:v>51</x:v>
      </x:c>
      <x:c r="M279" s="16" t="n">
        <x:v>7</x:v>
      </x:c>
      <x:c r="N279" s="16" t="n">
        <x:v>0</x:v>
      </x:c>
      <x:c r="O279" s="16" t="n">
        <x:v>58</x:v>
      </x:c>
      <x:c r="P279" s="16" t="n">
        <x:v>58</x:v>
      </x:c>
      <x:c r="Q279" s="16"/>
      <x:c r="R279" s="16"/>
      <x:c r="S279" s="16" t="str"/>
      <x:c r="T279" s="16" t="str">
        <x:v>https://bulbapedia.bulbagarden.net/wiki/List_of_Japanese_TCG_Expansions</x:v>
      </x:c>
      <x:c r="U279" s="16" t="str">
        <x:v>NO — review only</x:v>
      </x:c>
    </x:row>
    <x:row r="280" ht="54" customHeight="1">
      <x:c r="A280" s="16" t="str">
        <x:v>ja-ca4ba12512ac</x:v>
      </x:c>
      <x:c r="B280" s="16" t="str">
        <x:v>ja</x:v>
      </x:c>
      <x:c r="C280" s="16" t="str">
        <x:v>Thunder Knuckle</x:v>
      </x:c>
      <x:c r="D280" s="16" t="str">
        <x:v>ライデンナックル</x:v>
      </x:c>
      <x:c r="E280" s="16" t="str">
        <x:v>Black &amp; White</x:v>
      </x:c>
      <x:c r="F280" s="16" t="str">
        <x:v>Card set / collection</x:v>
      </x:c>
      <x:c r="G280" s="16" t="str">
        <x:v>BW8-Thunder</x:v>
      </x:c>
      <x:c r="H280" s="16" t="str">
        <x:v>Stackr disambiguated child code under the Japanese BW8 dual-expansion block</x:v>
      </x:c>
      <x:c r="I280" s="16" t="str">
        <x:v>2012-12-14</x:v>
      </x:c>
      <x:c r="J280" s="16" t="str">
        <x:v>day</x:v>
      </x:c>
      <x:c r="K280" s="16" t="str">
        <x:v>Japan</x:v>
      </x:c>
      <x:c r="L280" s="16" t="n">
        <x:v>51</x:v>
      </x:c>
      <x:c r="M280" s="16" t="n">
        <x:v>7</x:v>
      </x:c>
      <x:c r="N280" s="16" t="n">
        <x:v>0</x:v>
      </x:c>
      <x:c r="O280" s="16" t="n">
        <x:v>58</x:v>
      </x:c>
      <x:c r="P280" s="16" t="n">
        <x:v>58</x:v>
      </x:c>
      <x:c r="Q280" s="16"/>
      <x:c r="R280" s="16"/>
      <x:c r="S280" s="16" t="str"/>
      <x:c r="T280" s="16" t="str">
        <x:v>https://bulbapedia.bulbagarden.net/wiki/List_of_Japanese_TCG_Expansions</x:v>
      </x:c>
      <x:c r="U280" s="16" t="str">
        <x:v>NO — review only</x:v>
      </x:c>
    </x:row>
    <x:row r="281" ht="54" customHeight="1">
      <x:c r="A281" s="16" t="str">
        <x:v>ja-5ae629dc0d26</x:v>
      </x:c>
      <x:c r="B281" s="16" t="str">
        <x:v>ja</x:v>
      </x:c>
      <x:c r="C281" s="16" t="str">
        <x:v>Shiny Collection</x:v>
      </x:c>
      <x:c r="D281" s="16" t="str">
        <x:v>シャイニーコレクション</x:v>
      </x:c>
      <x:c r="E281" s="16" t="str">
        <x:v>Black &amp; White</x:v>
      </x:c>
      <x:c r="F281" s="16" t="str">
        <x:v>Card set / collection</x:v>
      </x:c>
      <x:c r="G281" s="16" t="str">
        <x:v>SC</x:v>
      </x:c>
      <x:c r="H281" s="16" t="str">
        <x:v>Catalogue identifier (TCG Collector); printed form not independently checked</x:v>
      </x:c>
      <x:c r="I281" s="16" t="str">
        <x:v>2013-02-01</x:v>
      </x:c>
      <x:c r="J281" s="16" t="str">
        <x:v>day</x:v>
      </x:c>
      <x:c r="K281" s="16" t="str">
        <x:v>Japan</x:v>
      </x:c>
      <x:c r="L281" s="16" t="n">
        <x:v>20</x:v>
      </x:c>
      <x:c r="M281" s="16" t="n">
        <x:v>5</x:v>
      </x:c>
      <x:c r="N281" s="16" t="n">
        <x:v>0</x:v>
      </x:c>
      <x:c r="O281" s="16" t="n">
        <x:v>25</x:v>
      </x:c>
      <x:c r="P281" s="16" t="n">
        <x:v>25</x:v>
      </x:c>
      <x:c r="Q281" s="16"/>
      <x:c r="R281" s="16"/>
      <x:c r="S281" s="16" t="str"/>
      <x:c r="T281" s="16"/>
      <x:c r="U281" s="16" t="str">
        <x:v>NO — review only</x:v>
      </x:c>
    </x:row>
    <x:row r="282" ht="54" customHeight="1">
      <x:c r="A282" s="16" t="str">
        <x:v>ja-595faa0ef482</x:v>
      </x:c>
      <x:c r="B282" s="16" t="str">
        <x:v>ja</x:v>
      </x:c>
      <x:c r="C282" s="16" t="str">
        <x:v>Megalo Cannon</x:v>
      </x:c>
      <x:c r="D282" s="16" t="str">
        <x:v>メガロキャノン</x:v>
      </x:c>
      <x:c r="E282" s="16" t="str">
        <x:v>Black &amp; White</x:v>
      </x:c>
      <x:c r="F282" s="16" t="str">
        <x:v>Card set / collection</x:v>
      </x:c>
      <x:c r="G282" s="16" t="str">
        <x:v>BW9</x:v>
      </x:c>
      <x:c r="H282" s="16" t="str">
        <x:v>Catalogue identifier (TCG Collector); printed form not independently checked</x:v>
      </x:c>
      <x:c r="I282" s="16" t="str">
        <x:v>2013-03-15</x:v>
      </x:c>
      <x:c r="J282" s="16" t="str">
        <x:v>day</x:v>
      </x:c>
      <x:c r="K282" s="16" t="str">
        <x:v>Japan</x:v>
      </x:c>
      <x:c r="L282" s="16" t="n">
        <x:v>76</x:v>
      </x:c>
      <x:c r="M282" s="16" t="n">
        <x:v>10</x:v>
      </x:c>
      <x:c r="N282" s="16" t="n">
        <x:v>0</x:v>
      </x:c>
      <x:c r="O282" s="16" t="n">
        <x:v>86</x:v>
      </x:c>
      <x:c r="P282" s="16" t="n">
        <x:v>86</x:v>
      </x:c>
      <x:c r="Q282" s="16"/>
      <x:c r="R282" s="16"/>
      <x:c r="S282" s="16" t="str"/>
      <x:c r="T282" s="16"/>
      <x:c r="U282" s="16" t="str">
        <x:v>NO — review only</x:v>
      </x:c>
    </x:row>
    <x:row r="283" ht="54" customHeight="1">
      <x:c r="A283" s="16" t="str">
        <x:v>ja-c52b489f0897</x:v>
      </x:c>
      <x:c r="B283" s="16" t="str">
        <x:v>ja</x:v>
      </x:c>
      <x:c r="C283" s="16" t="str">
        <x:v>EX Battle Boost</x:v>
      </x:c>
      <x:c r="D283" s="16" t="str">
        <x:v>EXバトルブースト</x:v>
      </x:c>
      <x:c r="E283" s="16" t="str">
        <x:v>Black &amp; White</x:v>
      </x:c>
      <x:c r="F283" s="16" t="str">
        <x:v>Card set / collection</x:v>
      </x:c>
      <x:c r="G283" s="16" t="str">
        <x:v>EBB</x:v>
      </x:c>
      <x:c r="H283" s="16" t="str">
        <x:v>Catalogue identifier (TCG Collector); printed form not independently checked</x:v>
      </x:c>
      <x:c r="I283" s="16" t="str">
        <x:v>2013-07-13</x:v>
      </x:c>
      <x:c r="J283" s="16" t="str">
        <x:v>day</x:v>
      </x:c>
      <x:c r="K283" s="16" t="str">
        <x:v>Japan</x:v>
      </x:c>
      <x:c r="L283" s="16" t="n">
        <x:v>93</x:v>
      </x:c>
      <x:c r="M283" s="16" t="n">
        <x:v>6</x:v>
      </x:c>
      <x:c r="N283" s="16" t="n">
        <x:v>0</x:v>
      </x:c>
      <x:c r="O283" s="16" t="n">
        <x:v>99</x:v>
      </x:c>
      <x:c r="P283" s="16" t="n">
        <x:v>99</x:v>
      </x:c>
      <x:c r="Q283" s="16"/>
      <x:c r="R283" s="16"/>
      <x:c r="S283" s="16" t="str"/>
      <x:c r="T283" s="16"/>
      <x:c r="U283" s="16" t="str">
        <x:v>NO — review only</x:v>
      </x:c>
    </x:row>
    <x:row r="284" ht="54" customHeight="1">
      <x:c r="A284" s="16" t="str">
        <x:v>ja-6abb84724d30</x:v>
      </x:c>
      <x:c r="B284" s="16" t="str">
        <x:v>ja</x:v>
      </x:c>
      <x:c r="C284" s="16" t="str">
        <x:v>XY-P Promotional cards</x:v>
      </x:c>
      <x:c r="D284" s="16" t="str">
        <x:v>XY-Pプロモカード</x:v>
      </x:c>
      <x:c r="E284" s="16" t="str">
        <x:v>XY</x:v>
      </x:c>
      <x:c r="F284" s="16" t="str">
        <x:v>Promo catalogue</x:v>
      </x:c>
      <x:c r="G284" s="16" t="str">
        <x:v>XY-P</x:v>
      </x:c>
      <x:c r="H284" s="16" t="str">
        <x:v>Promotional numbering prefix</x:v>
      </x:c>
      <x:c r="I284" s="16" t="str">
        <x:v>2013-08</x:v>
      </x:c>
      <x:c r="J284" s="16" t="str">
        <x:v>month</x:v>
      </x:c>
      <x:c r="K284" s="16" t="str">
        <x:v>Japan</x:v>
      </x:c>
      <x:c r="L284" s="16" t="n">
        <x:v>298</x:v>
      </x:c>
      <x:c r="M284" s="16" t="n">
        <x:v>155</x:v>
      </x:c>
      <x:c r="N284" s="16" t="n">
        <x:v>0</x:v>
      </x:c>
      <x:c r="O284" s="16" t="n">
        <x:v>453</x:v>
      </x:c>
      <x:c r="P284" s="16" t="n">
        <x:v>453</x:v>
      </x:c>
      <x:c r="Q284" s="16"/>
      <x:c r="R284" s="16"/>
      <x:c r="S284" s="16" t="str"/>
      <x:c r="T284" s="16" t="str">
        <x:v>https://bulbapedia.bulbagarden.net/wiki/Category%3AJapanese_promotional_cards</x:v>
      </x:c>
      <x:c r="U284" s="16" t="str">
        <x:v>NO — review only</x:v>
      </x:c>
    </x:row>
    <x:row r="285" ht="54" customHeight="1">
      <x:c r="A285" s="16" t="str">
        <x:v>ja-89b882805fa9</x:v>
      </x:c>
      <x:c r="B285" s="16" t="str">
        <x:v>ja</x:v>
      </x:c>
      <x:c r="C285" s="16" t="str">
        <x:v>Collection X</x:v>
      </x:c>
      <x:c r="D285" s="16" t="str">
        <x:v>コレクションX</x:v>
      </x:c>
      <x:c r="E285" s="16" t="str">
        <x:v>XY</x:v>
      </x:c>
      <x:c r="F285" s="16" t="str">
        <x:v>Card set / collection</x:v>
      </x:c>
      <x:c r="G285" s="16" t="str">
        <x:v>XY1-X</x:v>
      </x:c>
      <x:c r="H285" s="16" t="str">
        <x:v>Stackr disambiguated child code under the Japanese XY1 dual-expansion block</x:v>
      </x:c>
      <x:c r="I285" s="16" t="str">
        <x:v>2013-12-13</x:v>
      </x:c>
      <x:c r="J285" s="16" t="str">
        <x:v>day</x:v>
      </x:c>
      <x:c r="K285" s="16" t="str">
        <x:v>Japan</x:v>
      </x:c>
      <x:c r="L285" s="16" t="n">
        <x:v>60</x:v>
      </x:c>
      <x:c r="M285" s="16" t="n">
        <x:v>3</x:v>
      </x:c>
      <x:c r="N285" s="16" t="n">
        <x:v>0</x:v>
      </x:c>
      <x:c r="O285" s="16" t="n">
        <x:v>63</x:v>
      </x:c>
      <x:c r="P285" s="16" t="n">
        <x:v>63</x:v>
      </x:c>
      <x:c r="Q285" s="16"/>
      <x:c r="R285" s="16"/>
      <x:c r="S285" s="16" t="str"/>
      <x:c r="T285" s="16" t="str">
        <x:v>https://bulbapedia.bulbagarden.net/wiki/List_of_Japanese_TCG_Expansions</x:v>
      </x:c>
      <x:c r="U285" s="16" t="str">
        <x:v>NO — review only</x:v>
      </x:c>
    </x:row>
    <x:row r="286" ht="54" customHeight="1">
      <x:c r="A286" s="16" t="str">
        <x:v>ja-746fc064572f</x:v>
      </x:c>
      <x:c r="B286" s="16" t="str">
        <x:v>ja</x:v>
      </x:c>
      <x:c r="C286" s="16" t="str">
        <x:v>Collection Y</x:v>
      </x:c>
      <x:c r="D286" s="16" t="str">
        <x:v>コレクションY</x:v>
      </x:c>
      <x:c r="E286" s="16" t="str">
        <x:v>XY</x:v>
      </x:c>
      <x:c r="F286" s="16" t="str">
        <x:v>Card set / collection</x:v>
      </x:c>
      <x:c r="G286" s="16" t="str">
        <x:v>XY1-Y</x:v>
      </x:c>
      <x:c r="H286" s="16" t="str">
        <x:v>Stackr disambiguated child code under the Japanese XY1 dual-expansion block</x:v>
      </x:c>
      <x:c r="I286" s="16" t="str">
        <x:v>2013-12-13</x:v>
      </x:c>
      <x:c r="J286" s="16" t="str">
        <x:v>day</x:v>
      </x:c>
      <x:c r="K286" s="16" t="str">
        <x:v>Japan</x:v>
      </x:c>
      <x:c r="L286" s="16" t="n">
        <x:v>60</x:v>
      </x:c>
      <x:c r="M286" s="16" t="n">
        <x:v>3</x:v>
      </x:c>
      <x:c r="N286" s="16" t="n">
        <x:v>0</x:v>
      </x:c>
      <x:c r="O286" s="16" t="n">
        <x:v>63</x:v>
      </x:c>
      <x:c r="P286" s="16" t="n">
        <x:v>63</x:v>
      </x:c>
      <x:c r="Q286" s="16"/>
      <x:c r="R286" s="16"/>
      <x:c r="S286" s="16" t="str"/>
      <x:c r="T286" s="16" t="str">
        <x:v>https://bulbapedia.bulbagarden.net/wiki/List_of_Japanese_TCG_Expansions</x:v>
      </x:c>
      <x:c r="U286" s="16" t="str">
        <x:v>NO — review only</x:v>
      </x:c>
    </x:row>
    <x:row r="287" ht="54" customHeight="1">
      <x:c r="A287" s="16" t="str">
        <x:v>ja-65fb81566e25</x:v>
      </x:c>
      <x:c r="B287" s="16" t="str">
        <x:v>ja</x:v>
      </x:c>
      <x:c r="C287" s="16" t="str">
        <x:v>Wild Blaze</x:v>
      </x:c>
      <x:c r="D287" s="16" t="str">
        <x:v>ワイルドブレイズ</x:v>
      </x:c>
      <x:c r="E287" s="16" t="str">
        <x:v>XY</x:v>
      </x:c>
      <x:c r="F287" s="16" t="str">
        <x:v>Card set / collection</x:v>
      </x:c>
      <x:c r="G287" s="16" t="str">
        <x:v>XY2</x:v>
      </x:c>
      <x:c r="H287" s="16" t="str">
        <x:v>Catalogue identifier (TCG Collector); printed form not independently checked</x:v>
      </x:c>
      <x:c r="I287" s="16" t="str">
        <x:v>2014-03-15</x:v>
      </x:c>
      <x:c r="J287" s="16" t="str">
        <x:v>day</x:v>
      </x:c>
      <x:c r="K287" s="16" t="str">
        <x:v>Japan</x:v>
      </x:c>
      <x:c r="L287" s="16" t="n">
        <x:v>80</x:v>
      </x:c>
      <x:c r="M287" s="16" t="n">
        <x:v>10</x:v>
      </x:c>
      <x:c r="N287" s="16" t="n">
        <x:v>0</x:v>
      </x:c>
      <x:c r="O287" s="16" t="n">
        <x:v>90</x:v>
      </x:c>
      <x:c r="P287" s="16" t="n">
        <x:v>90</x:v>
      </x:c>
      <x:c r="Q287" s="16"/>
      <x:c r="R287" s="16"/>
      <x:c r="S287" s="16" t="str"/>
      <x:c r="T287" s="16"/>
      <x:c r="U287" s="16" t="str">
        <x:v>NO — review only</x:v>
      </x:c>
    </x:row>
    <x:row r="288" ht="54" customHeight="1">
      <x:c r="A288" s="16" t="str">
        <x:v>ja-d7f21b942202</x:v>
      </x:c>
      <x:c r="B288" s="16" t="str">
        <x:v>ja</x:v>
      </x:c>
      <x:c r="C288" s="16" t="str">
        <x:v>Rising Fist</x:v>
      </x:c>
      <x:c r="D288" s="16" t="str">
        <x:v>ライジングフィスト</x:v>
      </x:c>
      <x:c r="E288" s="16" t="str">
        <x:v>XY</x:v>
      </x:c>
      <x:c r="F288" s="16" t="str">
        <x:v>Card set / collection</x:v>
      </x:c>
      <x:c r="G288" s="16" t="str">
        <x:v>XY3</x:v>
      </x:c>
      <x:c r="H288" s="16" t="str">
        <x:v>Catalogue identifier (TCG Collector); printed form not independently checked</x:v>
      </x:c>
      <x:c r="I288" s="16" t="str">
        <x:v>2014-06-14</x:v>
      </x:c>
      <x:c r="J288" s="16" t="str">
        <x:v>day</x:v>
      </x:c>
      <x:c r="K288" s="16" t="str">
        <x:v>Japan</x:v>
      </x:c>
      <x:c r="L288" s="16" t="n">
        <x:v>96</x:v>
      </x:c>
      <x:c r="M288" s="16" t="n">
        <x:v>9</x:v>
      </x:c>
      <x:c r="N288" s="16" t="n">
        <x:v>0</x:v>
      </x:c>
      <x:c r="O288" s="16" t="n">
        <x:v>105</x:v>
      </x:c>
      <x:c r="P288" s="16" t="n">
        <x:v>105</x:v>
      </x:c>
      <x:c r="Q288" s="16"/>
      <x:c r="R288" s="16"/>
      <x:c r="S288" s="16" t="str"/>
      <x:c r="T288" s="16"/>
      <x:c r="U288" s="16" t="str">
        <x:v>NO — review only</x:v>
      </x:c>
    </x:row>
    <x:row r="289" ht="54" customHeight="1">
      <x:c r="A289" s="16" t="str">
        <x:v>ja-c5f3e48649e7</x:v>
      </x:c>
      <x:c r="B289" s="16" t="str">
        <x:v>ja</x:v>
      </x:c>
      <x:c r="C289" s="16" t="str">
        <x:v>Phantom Gate</x:v>
      </x:c>
      <x:c r="D289" s="16" t="str">
        <x:v>ファントムゲート</x:v>
      </x:c>
      <x:c r="E289" s="16" t="str">
        <x:v>XY</x:v>
      </x:c>
      <x:c r="F289" s="16" t="str">
        <x:v>Card set / collection</x:v>
      </x:c>
      <x:c r="G289" s="16" t="str">
        <x:v>XY4</x:v>
      </x:c>
      <x:c r="H289" s="16" t="str">
        <x:v>Catalogue identifier (TCG Collector); printed form not independently checked</x:v>
      </x:c>
      <x:c r="I289" s="16" t="str">
        <x:v>2014-09-13</x:v>
      </x:c>
      <x:c r="J289" s="16" t="str">
        <x:v>day</x:v>
      </x:c>
      <x:c r="K289" s="16" t="str">
        <x:v>Japan</x:v>
      </x:c>
      <x:c r="L289" s="16" t="n">
        <x:v>88</x:v>
      </x:c>
      <x:c r="M289" s="16" t="n">
        <x:v>9</x:v>
      </x:c>
      <x:c r="N289" s="16" t="n">
        <x:v>0</x:v>
      </x:c>
      <x:c r="O289" s="16" t="n">
        <x:v>97</x:v>
      </x:c>
      <x:c r="P289" s="16" t="n">
        <x:v>97</x:v>
      </x:c>
      <x:c r="Q289" s="16"/>
      <x:c r="R289" s="16"/>
      <x:c r="S289" s="16" t="str"/>
      <x:c r="T289" s="16"/>
      <x:c r="U289" s="16" t="str">
        <x:v>NO — review only</x:v>
      </x:c>
    </x:row>
    <x:row r="290" ht="54" customHeight="1">
      <x:c r="A290" s="16" t="str">
        <x:v>ja-9081f4c9a4f2</x:v>
      </x:c>
      <x:c r="B290" s="16" t="str">
        <x:v>ja</x:v>
      </x:c>
      <x:c r="C290" s="16" t="str">
        <x:v>Gaia Volcano</x:v>
      </x:c>
      <x:c r="D290" s="16" t="str">
        <x:v>ガイアボルケーノ</x:v>
      </x:c>
      <x:c r="E290" s="16" t="str">
        <x:v>XY</x:v>
      </x:c>
      <x:c r="F290" s="16" t="str">
        <x:v>Card set / collection</x:v>
      </x:c>
      <x:c r="G290" s="16" t="str">
        <x:v>XY5-Gaia</x:v>
      </x:c>
      <x:c r="H290" s="16" t="str">
        <x:v>Stackr disambiguated child code under the Japanese XY5 dual-expansion block</x:v>
      </x:c>
      <x:c r="I290" s="16" t="str">
        <x:v>2014-12-13</x:v>
      </x:c>
      <x:c r="J290" s="16" t="str">
        <x:v>day</x:v>
      </x:c>
      <x:c r="K290" s="16" t="str">
        <x:v>Japan</x:v>
      </x:c>
      <x:c r="L290" s="16" t="n">
        <x:v>70</x:v>
      </x:c>
      <x:c r="M290" s="16" t="n">
        <x:v>10</x:v>
      </x:c>
      <x:c r="N290" s="16" t="n">
        <x:v>0</x:v>
      </x:c>
      <x:c r="O290" s="16" t="n">
        <x:v>80</x:v>
      </x:c>
      <x:c r="P290" s="16" t="n">
        <x:v>80</x:v>
      </x:c>
      <x:c r="Q290" s="16"/>
      <x:c r="R290" s="16"/>
      <x:c r="S290" s="16" t="str"/>
      <x:c r="T290" s="16" t="str">
        <x:v>https://bulbapedia.bulbagarden.net/wiki/List_of_Japanese_TCG_Expansions</x:v>
      </x:c>
      <x:c r="U290" s="16" t="str">
        <x:v>NO — review only</x:v>
      </x:c>
    </x:row>
    <x:row r="291" ht="54" customHeight="1">
      <x:c r="A291" s="16" t="str">
        <x:v>ja-f78ca0230f1d</x:v>
      </x:c>
      <x:c r="B291" s="16" t="str">
        <x:v>ja</x:v>
      </x:c>
      <x:c r="C291" s="16" t="str">
        <x:v>Tidal Storm</x:v>
      </x:c>
      <x:c r="D291" s="16" t="str">
        <x:v>タイダルストーム</x:v>
      </x:c>
      <x:c r="E291" s="16" t="str">
        <x:v>XY</x:v>
      </x:c>
      <x:c r="F291" s="16" t="str">
        <x:v>Card set / collection</x:v>
      </x:c>
      <x:c r="G291" s="16" t="str">
        <x:v>XY5-Tidal</x:v>
      </x:c>
      <x:c r="H291" s="16" t="str">
        <x:v>Stackr disambiguated child code under the Japanese XY5 dual-expansion block</x:v>
      </x:c>
      <x:c r="I291" s="16" t="str">
        <x:v>2014-12-13</x:v>
      </x:c>
      <x:c r="J291" s="16" t="str">
        <x:v>day</x:v>
      </x:c>
      <x:c r="K291" s="16" t="str">
        <x:v>Japan</x:v>
      </x:c>
      <x:c r="L291" s="16" t="n">
        <x:v>70</x:v>
      </x:c>
      <x:c r="M291" s="16" t="n">
        <x:v>10</x:v>
      </x:c>
      <x:c r="N291" s="16" t="n">
        <x:v>0</x:v>
      </x:c>
      <x:c r="O291" s="16" t="n">
        <x:v>80</x:v>
      </x:c>
      <x:c r="P291" s="16" t="n">
        <x:v>80</x:v>
      </x:c>
      <x:c r="Q291" s="16"/>
      <x:c r="R291" s="16"/>
      <x:c r="S291" s="16" t="str"/>
      <x:c r="T291" s="16" t="str">
        <x:v>https://bulbapedia.bulbagarden.net/wiki/List_of_Japanese_TCG_Expansions</x:v>
      </x:c>
      <x:c r="U291" s="16" t="str">
        <x:v>NO — review only</x:v>
      </x:c>
    </x:row>
    <x:row r="292" ht="54" customHeight="1">
      <x:c r="A292" s="16" t="str">
        <x:v>ja-3e831f8ff73d</x:v>
      </x:c>
      <x:c r="B292" s="16" t="str">
        <x:v>ja</x:v>
      </x:c>
      <x:c r="C292" s="16" t="str">
        <x:v>Magma Gang VS Aqua Gang: Double Crisis</x:v>
      </x:c>
      <x:c r="D292" s="16" t="str">
        <x:v>マグマ団VSアクア団 ダブルクライシス</x:v>
      </x:c>
      <x:c r="E292" s="16" t="str">
        <x:v>XY</x:v>
      </x:c>
      <x:c r="F292" s="16" t="str">
        <x:v>Card set / collection</x:v>
      </x:c>
      <x:c r="G292" s="16" t="str">
        <x:v>CP1</x:v>
      </x:c>
      <x:c r="H292" s="16" t="str">
        <x:v>Catalogue identifier (TCG Collector); printed form not independently checked</x:v>
      </x:c>
      <x:c r="I292" s="16" t="str">
        <x:v>2015-01-30</x:v>
      </x:c>
      <x:c r="J292" s="16" t="str">
        <x:v>day</x:v>
      </x:c>
      <x:c r="K292" s="16" t="str">
        <x:v>Japan</x:v>
      </x:c>
      <x:c r="L292" s="16" t="n">
        <x:v>34</x:v>
      </x:c>
      <x:c r="M292" s="16" t="n">
        <x:v>0</x:v>
      </x:c>
      <x:c r="N292" s="16" t="n">
        <x:v>0</x:v>
      </x:c>
      <x:c r="O292" s="16" t="n">
        <x:v>34</x:v>
      </x:c>
      <x:c r="P292" s="16" t="n">
        <x:v>34</x:v>
      </x:c>
      <x:c r="Q292" s="16"/>
      <x:c r="R292" s="16"/>
      <x:c r="S292" s="16" t="str"/>
      <x:c r="T292" s="16"/>
      <x:c r="U292" s="16" t="str">
        <x:v>NO — review only</x:v>
      </x:c>
    </x:row>
    <x:row r="293" ht="54" customHeight="1">
      <x:c r="A293" s="16" t="str">
        <x:v>ja-ed3ad6afcabe</x:v>
      </x:c>
      <x:c r="B293" s="16" t="str">
        <x:v>ja</x:v>
      </x:c>
      <x:c r="C293" s="16" t="str">
        <x:v>Emerald Break</x:v>
      </x:c>
      <x:c r="D293" s="16" t="str">
        <x:v>エメラルドブレイク</x:v>
      </x:c>
      <x:c r="E293" s="16" t="str">
        <x:v>XY</x:v>
      </x:c>
      <x:c r="F293" s="16" t="str">
        <x:v>Card set / collection</x:v>
      </x:c>
      <x:c r="G293" s="16" t="str">
        <x:v>XY6</x:v>
      </x:c>
      <x:c r="H293" s="16" t="str">
        <x:v>Catalogue identifier (TCG Collector); printed form not independently checked</x:v>
      </x:c>
      <x:c r="I293" s="16" t="str">
        <x:v>2015-03-14</x:v>
      </x:c>
      <x:c r="J293" s="16" t="str">
        <x:v>day</x:v>
      </x:c>
      <x:c r="K293" s="16" t="str">
        <x:v>Japan</x:v>
      </x:c>
      <x:c r="L293" s="16" t="n">
        <x:v>78</x:v>
      </x:c>
      <x:c r="M293" s="16" t="n">
        <x:v>13</x:v>
      </x:c>
      <x:c r="N293" s="16" t="n">
        <x:v>0</x:v>
      </x:c>
      <x:c r="O293" s="16" t="n">
        <x:v>91</x:v>
      </x:c>
      <x:c r="P293" s="16" t="n">
        <x:v>91</x:v>
      </x:c>
      <x:c r="Q293" s="16"/>
      <x:c r="R293" s="16"/>
      <x:c r="S293" s="16" t="str"/>
      <x:c r="T293" s="16"/>
      <x:c r="U293" s="16" t="str">
        <x:v>NO — review only</x:v>
      </x:c>
    </x:row>
    <x:row r="294" ht="54" customHeight="1">
      <x:c r="A294" s="16" t="str">
        <x:v>ja-cb2aed7a9cd5</x:v>
      </x:c>
      <x:c r="B294" s="16" t="str">
        <x:v>ja</x:v>
      </x:c>
      <x:c r="C294" s="16" t="str">
        <x:v>Bandit Ring</x:v>
      </x:c>
      <x:c r="D294" s="16" t="str">
        <x:v>バンデットリング</x:v>
      </x:c>
      <x:c r="E294" s="16" t="str">
        <x:v>XY</x:v>
      </x:c>
      <x:c r="F294" s="16" t="str">
        <x:v>Card set / collection</x:v>
      </x:c>
      <x:c r="G294" s="16" t="str">
        <x:v>XY7</x:v>
      </x:c>
      <x:c r="H294" s="16" t="str">
        <x:v>Catalogue identifier (TCG Collector); printed form not independently checked</x:v>
      </x:c>
      <x:c r="I294" s="16" t="str">
        <x:v>2015-06-20</x:v>
      </x:c>
      <x:c r="J294" s="16" t="str">
        <x:v>day</x:v>
      </x:c>
      <x:c r="K294" s="16" t="str">
        <x:v>Japan</x:v>
      </x:c>
      <x:c r="L294" s="16" t="n">
        <x:v>81</x:v>
      </x:c>
      <x:c r="M294" s="16" t="n">
        <x:v>16</x:v>
      </x:c>
      <x:c r="N294" s="16" t="n">
        <x:v>0</x:v>
      </x:c>
      <x:c r="O294" s="16" t="n">
        <x:v>97</x:v>
      </x:c>
      <x:c r="P294" s="16" t="n">
        <x:v>97</x:v>
      </x:c>
      <x:c r="Q294" s="16"/>
      <x:c r="R294" s="16"/>
      <x:c r="S294" s="16" t="str"/>
      <x:c r="T294" s="16"/>
      <x:c r="U294" s="16" t="str">
        <x:v>NO — review only</x:v>
      </x:c>
    </x:row>
    <x:row r="295" ht="54" customHeight="1">
      <x:c r="A295" s="16" t="str">
        <x:v>ja-48a193b47fdc</x:v>
      </x:c>
      <x:c r="B295" s="16" t="str">
        <x:v>ja</x:v>
      </x:c>
      <x:c r="C295" s="16" t="str">
        <x:v>Legendary Shine Collection</x:v>
      </x:c>
      <x:c r="D295" s="16" t="str">
        <x:v>伝説キラコレクション</x:v>
      </x:c>
      <x:c r="E295" s="16" t="str">
        <x:v>XY</x:v>
      </x:c>
      <x:c r="F295" s="16" t="str">
        <x:v>Card set / collection</x:v>
      </x:c>
      <x:c r="G295" s="16" t="str">
        <x:v>CP2</x:v>
      </x:c>
      <x:c r="H295" s="16" t="str">
        <x:v>Catalogue identifier (TCG Collector); printed form not independently checked</x:v>
      </x:c>
      <x:c r="I295" s="16" t="str">
        <x:v>2015-07-18</x:v>
      </x:c>
      <x:c r="J295" s="16" t="str">
        <x:v>day</x:v>
      </x:c>
      <x:c r="K295" s="16" t="str">
        <x:v>Japan</x:v>
      </x:c>
      <x:c r="L295" s="16" t="n">
        <x:v>27</x:v>
      </x:c>
      <x:c r="M295" s="16" t="n">
        <x:v>0</x:v>
      </x:c>
      <x:c r="N295" s="16" t="n">
        <x:v>0</x:v>
      </x:c>
      <x:c r="O295" s="16" t="n">
        <x:v>27</x:v>
      </x:c>
      <x:c r="P295" s="16" t="n">
        <x:v>27</x:v>
      </x:c>
      <x:c r="Q295" s="16"/>
      <x:c r="R295" s="16"/>
      <x:c r="S295" s="16" t="str"/>
      <x:c r="T295" s="16"/>
      <x:c r="U295" s="16" t="str">
        <x:v>NO — review only</x:v>
      </x:c>
    </x:row>
    <x:row r="296" ht="54" customHeight="1">
      <x:c r="A296" s="16" t="str">
        <x:v>ja-a9d8ad9a0436</x:v>
      </x:c>
      <x:c r="B296" s="16" t="str">
        <x:v>ja</x:v>
      </x:c>
      <x:c r="C296" s="16" t="str">
        <x:v>Blue Shock</x:v>
      </x:c>
      <x:c r="D296" s="16" t="str">
        <x:v>青い衝撃</x:v>
      </x:c>
      <x:c r="E296" s="16" t="str">
        <x:v>XY BREAK</x:v>
      </x:c>
      <x:c r="F296" s="16" t="str">
        <x:v>Card set / collection</x:v>
      </x:c>
      <x:c r="G296" s="16" t="str">
        <x:v>XY8-Blue</x:v>
      </x:c>
      <x:c r="H296" s="16" t="str">
        <x:v>Stackr disambiguated child code under the Japanese XY8 dual-expansion block</x:v>
      </x:c>
      <x:c r="I296" s="16" t="str">
        <x:v>2015-09-26</x:v>
      </x:c>
      <x:c r="J296" s="16" t="str">
        <x:v>day</x:v>
      </x:c>
      <x:c r="K296" s="16" t="str">
        <x:v>Japan</x:v>
      </x:c>
      <x:c r="L296" s="16" t="n">
        <x:v>59</x:v>
      </x:c>
      <x:c r="M296" s="16" t="n">
        <x:v>6</x:v>
      </x:c>
      <x:c r="N296" s="16" t="n">
        <x:v>0</x:v>
      </x:c>
      <x:c r="O296" s="16" t="n">
        <x:v>65</x:v>
      </x:c>
      <x:c r="P296" s="16" t="n">
        <x:v>65</x:v>
      </x:c>
      <x:c r="Q296" s="16"/>
      <x:c r="R296" s="16"/>
      <x:c r="S296" s="16" t="str"/>
      <x:c r="T296" s="16" t="str">
        <x:v>https://bulbapedia.bulbagarden.net/wiki/XY8</x:v>
      </x:c>
      <x:c r="U296" s="16" t="str">
        <x:v>NO — review only</x:v>
      </x:c>
    </x:row>
    <x:row r="297" ht="54" customHeight="1">
      <x:c r="A297" s="16" t="str">
        <x:v>ja-cd5a3e4dd99f</x:v>
      </x:c>
      <x:c r="B297" s="16" t="str">
        <x:v>ja</x:v>
      </x:c>
      <x:c r="C297" s="16" t="str">
        <x:v>Red Flash</x:v>
      </x:c>
      <x:c r="D297" s="16" t="str">
        <x:v>赤い閃光</x:v>
      </x:c>
      <x:c r="E297" s="16" t="str">
        <x:v>XY BREAK</x:v>
      </x:c>
      <x:c r="F297" s="16" t="str">
        <x:v>Card set / collection</x:v>
      </x:c>
      <x:c r="G297" s="16" t="str">
        <x:v>XY8-Red</x:v>
      </x:c>
      <x:c r="H297" s="16" t="str">
        <x:v>Stackr disambiguated child code under the Japanese XY8 dual-expansion block</x:v>
      </x:c>
      <x:c r="I297" s="16" t="str">
        <x:v>2015-09-26</x:v>
      </x:c>
      <x:c r="J297" s="16" t="str">
        <x:v>day</x:v>
      </x:c>
      <x:c r="K297" s="16" t="str">
        <x:v>Japan</x:v>
      </x:c>
      <x:c r="L297" s="16" t="n">
        <x:v>59</x:v>
      </x:c>
      <x:c r="M297" s="16" t="n">
        <x:v>6</x:v>
      </x:c>
      <x:c r="N297" s="16" t="n">
        <x:v>0</x:v>
      </x:c>
      <x:c r="O297" s="16" t="n">
        <x:v>65</x:v>
      </x:c>
      <x:c r="P297" s="16" t="n">
        <x:v>65</x:v>
      </x:c>
      <x:c r="Q297" s="16"/>
      <x:c r="R297" s="16"/>
      <x:c r="S297" s="16" t="str"/>
      <x:c r="T297" s="16" t="str">
        <x:v>https://bulbapedia.bulbagarden.net/wiki/XY8</x:v>
      </x:c>
      <x:c r="U297" s="16" t="str">
        <x:v>NO — review only</x:v>
      </x:c>
    </x:row>
    <x:row r="298" ht="54" customHeight="1">
      <x:c r="A298" s="16" t="str">
        <x:v>ja-53c995f90d44</x:v>
      </x:c>
      <x:c r="B298" s="16" t="str">
        <x:v>ja</x:v>
      </x:c>
      <x:c r="C298" s="16" t="str">
        <x:v>Rage of the Broken Heavens</x:v>
      </x:c>
      <x:c r="D298" s="16" t="str">
        <x:v>破天の怒り</x:v>
      </x:c>
      <x:c r="E298" s="16" t="str">
        <x:v>XY BREAK</x:v>
      </x:c>
      <x:c r="F298" s="16" t="str">
        <x:v>Card set / collection</x:v>
      </x:c>
      <x:c r="G298" s="16" t="str">
        <x:v>XY9</x:v>
      </x:c>
      <x:c r="H298" s="16" t="str">
        <x:v>Catalogue identifier (TCG Collector); printed form not independently checked</x:v>
      </x:c>
      <x:c r="I298" s="16" t="str">
        <x:v>2015-12-11</x:v>
      </x:c>
      <x:c r="J298" s="16" t="str">
        <x:v>day</x:v>
      </x:c>
      <x:c r="K298" s="16" t="str">
        <x:v>Japan</x:v>
      </x:c>
      <x:c r="L298" s="16" t="n">
        <x:v>80</x:v>
      </x:c>
      <x:c r="M298" s="16" t="n">
        <x:v>9</x:v>
      </x:c>
      <x:c r="N298" s="16" t="n">
        <x:v>0</x:v>
      </x:c>
      <x:c r="O298" s="16" t="n">
        <x:v>89</x:v>
      </x:c>
      <x:c r="P298" s="16" t="n">
        <x:v>89</x:v>
      </x:c>
      <x:c r="Q298" s="16"/>
      <x:c r="R298" s="16"/>
      <x:c r="S298" s="16" t="str"/>
      <x:c r="T298" s="16"/>
      <x:c r="U298" s="16" t="str">
        <x:v>NO — review only</x:v>
      </x:c>
    </x:row>
    <x:row r="299" ht="54" customHeight="1">
      <x:c r="A299" s="16" t="str">
        <x:v>ja-c41fc30a9d3b</x:v>
      </x:c>
      <x:c r="B299" s="16" t="str">
        <x:v>ja</x:v>
      </x:c>
      <x:c r="C299" s="16" t="str">
        <x:v>PokéKyun Collection</x:v>
      </x:c>
      <x:c r="D299" s="16" t="str">
        <x:v>ポケキュンコレクション</x:v>
      </x:c>
      <x:c r="E299" s="16" t="str">
        <x:v>XY BREAK</x:v>
      </x:c>
      <x:c r="F299" s="16" t="str">
        <x:v>Card set / collection</x:v>
      </x:c>
      <x:c r="G299" s="16" t="str">
        <x:v>CP3</x:v>
      </x:c>
      <x:c r="H299" s="16" t="str">
        <x:v>Catalogue identifier (TCG Collector); printed form not independently checked</x:v>
      </x:c>
      <x:c r="I299" s="16" t="str">
        <x:v>2016-01-29</x:v>
      </x:c>
      <x:c r="J299" s="16" t="str">
        <x:v>day</x:v>
      </x:c>
      <x:c r="K299" s="16" t="str">
        <x:v>Japan</x:v>
      </x:c>
      <x:c r="L299" s="16" t="n">
        <x:v>32</x:v>
      </x:c>
      <x:c r="M299" s="16" t="n">
        <x:v>0</x:v>
      </x:c>
      <x:c r="N299" s="16" t="n">
        <x:v>0</x:v>
      </x:c>
      <x:c r="O299" s="16" t="n">
        <x:v>32</x:v>
      </x:c>
      <x:c r="P299" s="16" t="n">
        <x:v>32</x:v>
      </x:c>
      <x:c r="Q299" s="16"/>
      <x:c r="R299" s="16"/>
      <x:c r="S299" s="16" t="str"/>
      <x:c r="T299" s="16"/>
      <x:c r="U299" s="16" t="str">
        <x:v>NO — review only</x:v>
      </x:c>
    </x:row>
    <x:row r="300" ht="54" customHeight="1">
      <x:c r="A300" s="16" t="str">
        <x:v>ja-42c1eb351264</x:v>
      </x:c>
      <x:c r="B300" s="16" t="str">
        <x:v>ja</x:v>
      </x:c>
      <x:c r="C300" s="16" t="str">
        <x:v>Awakening Psychic King</x:v>
      </x:c>
      <x:c r="D300" s="16" t="str">
        <x:v>めざめる超王</x:v>
      </x:c>
      <x:c r="E300" s="16" t="str">
        <x:v>XY BREAK</x:v>
      </x:c>
      <x:c r="F300" s="16" t="str">
        <x:v>Card set / collection</x:v>
      </x:c>
      <x:c r="G300" s="16" t="str">
        <x:v>XY10</x:v>
      </x:c>
      <x:c r="H300" s="16" t="str">
        <x:v>Catalogue identifier (TCG Collector); printed form not independently checked</x:v>
      </x:c>
      <x:c r="I300" s="16" t="str">
        <x:v>2016-03-18</x:v>
      </x:c>
      <x:c r="J300" s="16" t="str">
        <x:v>day</x:v>
      </x:c>
      <x:c r="K300" s="16" t="str">
        <x:v>Japan</x:v>
      </x:c>
      <x:c r="L300" s="16" t="n">
        <x:v>78</x:v>
      </x:c>
      <x:c r="M300" s="16" t="n">
        <x:v>10</x:v>
      </x:c>
      <x:c r="N300" s="16" t="n">
        <x:v>0</x:v>
      </x:c>
      <x:c r="O300" s="16" t="n">
        <x:v>88</x:v>
      </x:c>
      <x:c r="P300" s="16" t="n">
        <x:v>88</x:v>
      </x:c>
      <x:c r="Q300" s="16"/>
      <x:c r="R300" s="16"/>
      <x:c r="S300" s="16" t="str"/>
      <x:c r="T300" s="16"/>
      <x:c r="U300" s="16" t="str">
        <x:v>NO — review only</x:v>
      </x:c>
    </x:row>
    <x:row r="301" ht="54" customHeight="1">
      <x:c r="A301" s="16" t="str">
        <x:v>ja-425135e40e84</x:v>
      </x:c>
      <x:c r="B301" s="16" t="str">
        <x:v>ja</x:v>
      </x:c>
      <x:c r="C301" s="16" t="str">
        <x:v>Premium Champion Pack EX×M×BREAK</x:v>
      </x:c>
      <x:c r="D301" s="16" t="str">
        <x:v>プレミアムチャンピオンパック EX×M×BREAK</x:v>
      </x:c>
      <x:c r="E301" s="16" t="str">
        <x:v>XY BREAK</x:v>
      </x:c>
      <x:c r="F301" s="16" t="str">
        <x:v>Card set / collection</x:v>
      </x:c>
      <x:c r="G301" s="16" t="str">
        <x:v>CP4</x:v>
      </x:c>
      <x:c r="H301" s="16" t="str">
        <x:v>Catalogue identifier (TCG Collector); printed form not independently checked</x:v>
      </x:c>
      <x:c r="I301" s="16" t="str">
        <x:v>2016-04-16</x:v>
      </x:c>
      <x:c r="J301" s="16" t="str">
        <x:v>day</x:v>
      </x:c>
      <x:c r="K301" s="16" t="str">
        <x:v>Japan</x:v>
      </x:c>
      <x:c r="L301" s="16" t="n">
        <x:v>131</x:v>
      </x:c>
      <x:c r="M301" s="16" t="n">
        <x:v>0</x:v>
      </x:c>
      <x:c r="N301" s="16" t="n">
        <x:v>0</x:v>
      </x:c>
      <x:c r="O301" s="16" t="n">
        <x:v>131</x:v>
      </x:c>
      <x:c r="P301" s="16" t="n">
        <x:v>131</x:v>
      </x:c>
      <x:c r="Q301" s="16"/>
      <x:c r="R301" s="16"/>
      <x:c r="S301" s="16" t="str"/>
      <x:c r="T301" s="16"/>
      <x:c r="U301" s="16" t="str">
        <x:v>NO — review only</x:v>
      </x:c>
    </x:row>
    <x:row r="302" ht="54" customHeight="1">
      <x:c r="A302" s="16" t="str">
        <x:v>ja-3f66b633b386</x:v>
      </x:c>
      <x:c r="B302" s="16" t="str">
        <x:v>ja</x:v>
      </x:c>
      <x:c r="C302" s="16" t="str">
        <x:v>Cruel Traitor</x:v>
      </x:c>
      <x:c r="D302" s="16" t="str">
        <x:v>冷酷の反逆者</x:v>
      </x:c>
      <x:c r="E302" s="16" t="str">
        <x:v>XY BREAK</x:v>
      </x:c>
      <x:c r="F302" s="16" t="str">
        <x:v>Card set / collection</x:v>
      </x:c>
      <x:c r="G302" s="16" t="str">
        <x:v>XY11-Cruel</x:v>
      </x:c>
      <x:c r="H302" s="16" t="str">
        <x:v>Stackr disambiguated child code under the Japanese XY11 dual-expansion block</x:v>
      </x:c>
      <x:c r="I302" s="16" t="str">
        <x:v>2016-06-17</x:v>
      </x:c>
      <x:c r="J302" s="16" t="str">
        <x:v>day</x:v>
      </x:c>
      <x:c r="K302" s="16" t="str">
        <x:v>Japan</x:v>
      </x:c>
      <x:c r="L302" s="16" t="n">
        <x:v>54</x:v>
      </x:c>
      <x:c r="M302" s="16" t="n">
        <x:v>5</x:v>
      </x:c>
      <x:c r="N302" s="16" t="n">
        <x:v>0</x:v>
      </x:c>
      <x:c r="O302" s="16" t="n">
        <x:v>59</x:v>
      </x:c>
      <x:c r="P302" s="16" t="n">
        <x:v>59</x:v>
      </x:c>
      <x:c r="Q302" s="16"/>
      <x:c r="R302" s="16"/>
      <x:c r="S302" s="16" t="str"/>
      <x:c r="T302" s="16" t="str">
        <x:v>https://bulbapedia.bulbagarden.net/wiki/List_of_Japanese_TCG_Expansions</x:v>
      </x:c>
      <x:c r="U302" s="16" t="str">
        <x:v>NO — review only</x:v>
      </x:c>
    </x:row>
    <x:row r="303" ht="54" customHeight="1">
      <x:c r="A303" s="16" t="str">
        <x:v>ja-d22d64184649</x:v>
      </x:c>
      <x:c r="B303" s="16" t="str">
        <x:v>ja</x:v>
      </x:c>
      <x:c r="C303" s="16" t="str">
        <x:v>Fever-Burst Fighter</x:v>
      </x:c>
      <x:c r="D303" s="16" t="str">
        <x:v>爆熱の闘士</x:v>
      </x:c>
      <x:c r="E303" s="16" t="str">
        <x:v>XY BREAK</x:v>
      </x:c>
      <x:c r="F303" s="16" t="str">
        <x:v>Card set / collection</x:v>
      </x:c>
      <x:c r="G303" s="16" t="str">
        <x:v>XY11-Fever</x:v>
      </x:c>
      <x:c r="H303" s="16" t="str">
        <x:v>Stackr disambiguated child code under the Japanese XY11 dual-expansion block</x:v>
      </x:c>
      <x:c r="I303" s="16" t="str">
        <x:v>2016-06-17</x:v>
      </x:c>
      <x:c r="J303" s="16" t="str">
        <x:v>day</x:v>
      </x:c>
      <x:c r="K303" s="16" t="str">
        <x:v>Japan</x:v>
      </x:c>
      <x:c r="L303" s="16" t="n">
        <x:v>54</x:v>
      </x:c>
      <x:c r="M303" s="16" t="n">
        <x:v>5</x:v>
      </x:c>
      <x:c r="N303" s="16" t="n">
        <x:v>0</x:v>
      </x:c>
      <x:c r="O303" s="16" t="n">
        <x:v>59</x:v>
      </x:c>
      <x:c r="P303" s="16" t="n">
        <x:v>59</x:v>
      </x:c>
      <x:c r="Q303" s="16"/>
      <x:c r="R303" s="16"/>
      <x:c r="S303" s="16" t="str"/>
      <x:c r="T303" s="16" t="str">
        <x:v>https://bulbapedia.bulbagarden.net/wiki/List_of_Japanese_TCG_Expansions</x:v>
      </x:c>
      <x:c r="U303" s="16" t="str">
        <x:v>NO — review only</x:v>
      </x:c>
    </x:row>
    <x:row r="304" ht="54" customHeight="1">
      <x:c r="A304" s="16" t="str">
        <x:v>ja-5bb7d768e695</x:v>
      </x:c>
      <x:c r="B304" s="16" t="str">
        <x:v>ja</x:v>
      </x:c>
      <x:c r="C304" s="16" t="str">
        <x:v>Mythical &amp; Legendary Dream Shine Collection</x:v>
      </x:c>
      <x:c r="D304" s="16" t="str">
        <x:v>幻・伝説ドリームキラコレクション</x:v>
      </x:c>
      <x:c r="E304" s="16" t="str">
        <x:v>XY BREAK</x:v>
      </x:c>
      <x:c r="F304" s="16" t="str">
        <x:v>Card set / collection</x:v>
      </x:c>
      <x:c r="G304" s="16" t="str">
        <x:v>CP5</x:v>
      </x:c>
      <x:c r="H304" s="16" t="str">
        <x:v>Catalogue identifier (TCG Collector); printed form not independently checked</x:v>
      </x:c>
      <x:c r="I304" s="16" t="str">
        <x:v>2016-07-16</x:v>
      </x:c>
      <x:c r="J304" s="16" t="str">
        <x:v>day</x:v>
      </x:c>
      <x:c r="K304" s="16" t="str">
        <x:v>Japan</x:v>
      </x:c>
      <x:c r="L304" s="16" t="n">
        <x:v>36</x:v>
      </x:c>
      <x:c r="M304" s="16" t="n">
        <x:v>2</x:v>
      </x:c>
      <x:c r="N304" s="16" t="n">
        <x:v>0</x:v>
      </x:c>
      <x:c r="O304" s="16" t="n">
        <x:v>38</x:v>
      </x:c>
      <x:c r="P304" s="16" t="n">
        <x:v>38</x:v>
      </x:c>
      <x:c r="Q304" s="16"/>
      <x:c r="R304" s="16"/>
      <x:c r="S304" s="16" t="str"/>
      <x:c r="T304" s="16"/>
      <x:c r="U304" s="16" t="str">
        <x:v>NO — review only</x:v>
      </x:c>
    </x:row>
    <x:row r="305" ht="54" customHeight="1">
      <x:c r="A305" s="16" t="str">
        <x:v>ja-dceb8793c7f2</x:v>
      </x:c>
      <x:c r="B305" s="16" t="str">
        <x:v>ja</x:v>
      </x:c>
      <x:c r="C305" s="16" t="str">
        <x:v>Expansion Pack 20th Anniversary</x:v>
      </x:c>
      <x:c r="D305" s="16" t="str">
        <x:v>拡張パック 20th Anniversary</x:v>
      </x:c>
      <x:c r="E305" s="16" t="str">
        <x:v>XY BREAK</x:v>
      </x:c>
      <x:c r="F305" s="16" t="str">
        <x:v>Card set / collection</x:v>
      </x:c>
      <x:c r="G305" s="16" t="str">
        <x:v>CP6</x:v>
      </x:c>
      <x:c r="H305" s="16" t="str">
        <x:v>Catalogue identifier (TCG Collector); printed form not independently checked</x:v>
      </x:c>
      <x:c r="I305" s="16" t="str">
        <x:v>2016-09-16</x:v>
      </x:c>
      <x:c r="J305" s="16" t="str">
        <x:v>day</x:v>
      </x:c>
      <x:c r="K305" s="16" t="str">
        <x:v>Japan</x:v>
      </x:c>
      <x:c r="L305" s="16" t="n">
        <x:v>87</x:v>
      </x:c>
      <x:c r="M305" s="16" t="n">
        <x:v>16</x:v>
      </x:c>
      <x:c r="N305" s="16" t="n">
        <x:v>0</x:v>
      </x:c>
      <x:c r="O305" s="16" t="n">
        <x:v>103</x:v>
      </x:c>
      <x:c r="P305" s="16" t="n">
        <x:v>103</x:v>
      </x:c>
      <x:c r="Q305" s="16"/>
      <x:c r="R305" s="16"/>
      <x:c r="S305" s="16" t="str"/>
      <x:c r="T305" s="16"/>
      <x:c r="U305" s="16" t="str">
        <x:v>NO — review only</x:v>
      </x:c>
    </x:row>
    <x:row r="306" ht="54" customHeight="1">
      <x:c r="A306" s="16" t="str">
        <x:v>ja-83fbd2dead73</x:v>
      </x:c>
      <x:c r="B306" s="16" t="str">
        <x:v>ja</x:v>
      </x:c>
      <x:c r="C306" s="16" t="str">
        <x:v>SM-P Promotional cards</x:v>
      </x:c>
      <x:c r="D306" s="16" t="str">
        <x:v>SM-Pプロモカード</x:v>
      </x:c>
      <x:c r="E306" s="16" t="str">
        <x:v>Sun &amp; Moon</x:v>
      </x:c>
      <x:c r="F306" s="16" t="str">
        <x:v>Promo catalogue</x:v>
      </x:c>
      <x:c r="G306" s="16" t="str">
        <x:v>SM-P</x:v>
      </x:c>
      <x:c r="H306" s="16" t="str">
        <x:v>Promotional numbering prefix</x:v>
      </x:c>
      <x:c r="I306" s="16" t="str">
        <x:v>2016-11</x:v>
      </x:c>
      <x:c r="J306" s="16" t="str">
        <x:v>month</x:v>
      </x:c>
      <x:c r="K306" s="16" t="str">
        <x:v>Japan</x:v>
      </x:c>
      <x:c r="L306" s="16" t="n">
        <x:v>408</x:v>
      </x:c>
      <x:c r="M306" s="16" t="n">
        <x:v>29</x:v>
      </x:c>
      <x:c r="N306" s="16" t="n">
        <x:v>0</x:v>
      </x:c>
      <x:c r="O306" s="16" t="n">
        <x:v>437</x:v>
      </x:c>
      <x:c r="P306" s="16" t="n">
        <x:v>437</x:v>
      </x:c>
      <x:c r="Q306" s="16"/>
      <x:c r="R306" s="16"/>
      <x:c r="S306" s="16" t="str"/>
      <x:c r="T306" s="16" t="str">
        <x:v>https://bulbapedia.bulbagarden.net/wiki/SM-P</x:v>
      </x:c>
      <x:c r="U306" s="16" t="str">
        <x:v>NO — review only</x:v>
      </x:c>
    </x:row>
    <x:row r="307" ht="54" customHeight="1">
      <x:c r="A307" s="16" t="str">
        <x:v>ja-cb8792f6d286</x:v>
      </x:c>
      <x:c r="B307" s="16" t="str">
        <x:v>ja</x:v>
      </x:c>
      <x:c r="C307" s="16" t="str">
        <x:v>Pikachu's New Friends</x:v>
      </x:c>
      <x:c r="D307" s="16" t="str">
        <x:v>ピカチュウと新しい仲間たち</x:v>
      </x:c>
      <x:c r="E307" s="16" t="str">
        <x:v>Sun &amp; Moon</x:v>
      </x:c>
      <x:c r="F307" s="16" t="str">
        <x:v>Card set / collection</x:v>
      </x:c>
      <x:c r="G307" s="16" t="str">
        <x:v>SM0</x:v>
      </x:c>
      <x:c r="H307" s="16" t="str">
        <x:v>Catalogue identifier (TCG Collector); printed form not independently checked</x:v>
      </x:c>
      <x:c r="I307" s="16" t="str">
        <x:v>2016-11-18</x:v>
      </x:c>
      <x:c r="J307" s="16" t="str">
        <x:v>day</x:v>
      </x:c>
      <x:c r="K307" s="16" t="str">
        <x:v>Japan</x:v>
      </x:c>
      <x:c r="L307" s="16" t="n">
        <x:v>4</x:v>
      </x:c>
      <x:c r="M307" s="16" t="n">
        <x:v>0</x:v>
      </x:c>
      <x:c r="N307" s="16" t="n">
        <x:v>0</x:v>
      </x:c>
      <x:c r="O307" s="16" t="n">
        <x:v>4</x:v>
      </x:c>
      <x:c r="P307" s="16" t="n">
        <x:v>4</x:v>
      </x:c>
      <x:c r="Q307" s="16"/>
      <x:c r="R307" s="16"/>
      <x:c r="S307" s="16" t="str"/>
      <x:c r="T307" s="16"/>
      <x:c r="U307" s="16" t="str">
        <x:v>NO — review only</x:v>
      </x:c>
    </x:row>
    <x:row r="308" ht="54" customHeight="1">
      <x:c r="A308" s="16" t="str">
        <x:v>ja-bc403e9d48e8</x:v>
      </x:c>
      <x:c r="B308" s="16" t="str">
        <x:v>ja</x:v>
      </x:c>
      <x:c r="C308" s="16" t="str">
        <x:v>Collection Moon</x:v>
      </x:c>
      <x:c r="D308" s="16" t="str">
        <x:v>コレクション ムーン</x:v>
      </x:c>
      <x:c r="E308" s="16" t="str">
        <x:v>Sun &amp; Moon</x:v>
      </x:c>
      <x:c r="F308" s="16" t="str">
        <x:v>Card set / collection</x:v>
      </x:c>
      <x:c r="G308" s="16" t="str">
        <x:v>SM1M</x:v>
      </x:c>
      <x:c r="H308" s="16" t="str">
        <x:v>Japanese set code in source index</x:v>
      </x:c>
      <x:c r="I308" s="16" t="str">
        <x:v>2016-12-09</x:v>
      </x:c>
      <x:c r="J308" s="16" t="str">
        <x:v>day</x:v>
      </x:c>
      <x:c r="K308" s="16" t="str">
        <x:v>Japan</x:v>
      </x:c>
      <x:c r="L308" s="16" t="n">
        <x:v>60</x:v>
      </x:c>
      <x:c r="M308" s="16" t="n">
        <x:v>13</x:v>
      </x:c>
      <x:c r="N308" s="16" t="n">
        <x:v>0</x:v>
      </x:c>
      <x:c r="O308" s="16" t="n">
        <x:v>73</x:v>
      </x:c>
      <x:c r="P308" s="16" t="n">
        <x:v>73</x:v>
      </x:c>
      <x:c r="Q308" s="16"/>
      <x:c r="R308" s="16"/>
      <x:c r="S308" s="16" t="str"/>
      <x:c r="T308" s="16"/>
      <x:c r="U308" s="16" t="str">
        <x:v>NO — review only</x:v>
      </x:c>
    </x:row>
    <x:row r="309" ht="54" customHeight="1">
      <x:c r="A309" s="16" t="str">
        <x:v>ja-ca73b1e67c2d</x:v>
      </x:c>
      <x:c r="B309" s="16" t="str">
        <x:v>ja</x:v>
      </x:c>
      <x:c r="C309" s="16" t="str">
        <x:v>Collection Sun</x:v>
      </x:c>
      <x:c r="D309" s="16" t="str">
        <x:v>コレクション サン</x:v>
      </x:c>
      <x:c r="E309" s="16" t="str">
        <x:v>Sun &amp; Moon</x:v>
      </x:c>
      <x:c r="F309" s="16" t="str">
        <x:v>Card set / collection</x:v>
      </x:c>
      <x:c r="G309" s="16" t="str">
        <x:v>SM1S</x:v>
      </x:c>
      <x:c r="H309" s="16" t="str">
        <x:v>Japanese set code in source index</x:v>
      </x:c>
      <x:c r="I309" s="16" t="str">
        <x:v>2016-12-09</x:v>
      </x:c>
      <x:c r="J309" s="16" t="str">
        <x:v>day</x:v>
      </x:c>
      <x:c r="K309" s="16" t="str">
        <x:v>Japan</x:v>
      </x:c>
      <x:c r="L309" s="16" t="n">
        <x:v>60</x:v>
      </x:c>
      <x:c r="M309" s="16" t="n">
        <x:v>13</x:v>
      </x:c>
      <x:c r="N309" s="16" t="n">
        <x:v>0</x:v>
      </x:c>
      <x:c r="O309" s="16" t="n">
        <x:v>73</x:v>
      </x:c>
      <x:c r="P309" s="16" t="n">
        <x:v>73</x:v>
      </x:c>
      <x:c r="Q309" s="16"/>
      <x:c r="R309" s="16"/>
      <x:c r="S309" s="16" t="str"/>
      <x:c r="T309" s="16"/>
      <x:c r="U309" s="16" t="str">
        <x:v>NO — review only</x:v>
      </x:c>
    </x:row>
    <x:row r="310" ht="54" customHeight="1">
      <x:c r="A310" s="16" t="str">
        <x:v>ja-8df82023a344</x:v>
      </x:c>
      <x:c r="B310" s="16" t="str">
        <x:v>ja</x:v>
      </x:c>
      <x:c r="C310" s="16" t="str">
        <x:v>Sun &amp; Moon</x:v>
      </x:c>
      <x:c r="D310" s="16" t="str">
        <x:v>サン＆ムーン</x:v>
      </x:c>
      <x:c r="E310" s="16" t="str">
        <x:v>Sun &amp; Moon</x:v>
      </x:c>
      <x:c r="F310" s="16" t="str">
        <x:v>Card set / collection</x:v>
      </x:c>
      <x:c r="G310" s="16" t="str">
        <x:v>SM1+</x:v>
      </x:c>
      <x:c r="H310" s="16" t="str">
        <x:v>Japanese set code in source index</x:v>
      </x:c>
      <x:c r="I310" s="16" t="str">
        <x:v>2017-01-27</x:v>
      </x:c>
      <x:c r="J310" s="16" t="str">
        <x:v>day</x:v>
      </x:c>
      <x:c r="K310" s="16" t="str">
        <x:v>Japan</x:v>
      </x:c>
      <x:c r="L310" s="16" t="n">
        <x:v>51</x:v>
      </x:c>
      <x:c r="M310" s="16" t="n">
        <x:v>17</x:v>
      </x:c>
      <x:c r="N310" s="16" t="n">
        <x:v>0</x:v>
      </x:c>
      <x:c r="O310" s="16" t="n">
        <x:v>68</x:v>
      </x:c>
      <x:c r="P310" s="16" t="n">
        <x:v>68</x:v>
      </x:c>
      <x:c r="Q310" s="16"/>
      <x:c r="R310" s="16"/>
      <x:c r="S310" s="16" t="str"/>
      <x:c r="T310" s="16"/>
      <x:c r="U310" s="16" t="str">
        <x:v>NO — review only</x:v>
      </x:c>
    </x:row>
    <x:row r="311" ht="54" customHeight="1">
      <x:c r="A311" s="16" t="str">
        <x:v>ja-55e6d097e410</x:v>
      </x:c>
      <x:c r="B311" s="16" t="str">
        <x:v>ja</x:v>
      </x:c>
      <x:c r="C311" s="16" t="str">
        <x:v>Alolan Moonlight</x:v>
      </x:c>
      <x:c r="D311" s="16" t="str">
        <x:v>アローラの月光</x:v>
      </x:c>
      <x:c r="E311" s="16" t="str">
        <x:v>Sun &amp; Moon</x:v>
      </x:c>
      <x:c r="F311" s="16" t="str">
        <x:v>Card set / collection</x:v>
      </x:c>
      <x:c r="G311" s="16" t="str">
        <x:v>SM2L</x:v>
      </x:c>
      <x:c r="H311" s="16" t="str">
        <x:v>Japanese set code in source index</x:v>
      </x:c>
      <x:c r="I311" s="16" t="str">
        <x:v>2017-03-17</x:v>
      </x:c>
      <x:c r="J311" s="16" t="str">
        <x:v>day</x:v>
      </x:c>
      <x:c r="K311" s="16" t="str">
        <x:v>Japan</x:v>
      </x:c>
      <x:c r="L311" s="16" t="n">
        <x:v>50</x:v>
      </x:c>
      <x:c r="M311" s="16" t="n">
        <x:v>12</x:v>
      </x:c>
      <x:c r="N311" s="16" t="n">
        <x:v>0</x:v>
      </x:c>
      <x:c r="O311" s="16" t="n">
        <x:v>62</x:v>
      </x:c>
      <x:c r="P311" s="16" t="n">
        <x:v>62</x:v>
      </x:c>
      <x:c r="Q311" s="16"/>
      <x:c r="R311" s="16"/>
      <x:c r="S311" s="16" t="str"/>
      <x:c r="T311" s="16"/>
      <x:c r="U311" s="16" t="str">
        <x:v>NO — review only</x:v>
      </x:c>
    </x:row>
    <x:row r="312" ht="54" customHeight="1">
      <x:c r="A312" s="16" t="str">
        <x:v>ja-971cdfb65f2d</x:v>
      </x:c>
      <x:c r="B312" s="16" t="str">
        <x:v>ja</x:v>
      </x:c>
      <x:c r="C312" s="16" t="str">
        <x:v>Islands Await You</x:v>
      </x:c>
      <x:c r="D312" s="16" t="str">
        <x:v>キミを待つ島々</x:v>
      </x:c>
      <x:c r="E312" s="16" t="str">
        <x:v>Sun &amp; Moon</x:v>
      </x:c>
      <x:c r="F312" s="16" t="str">
        <x:v>Card set / collection</x:v>
      </x:c>
      <x:c r="G312" s="16" t="str">
        <x:v>SM2K</x:v>
      </x:c>
      <x:c r="H312" s="16" t="str">
        <x:v>Japanese set code in source index</x:v>
      </x:c>
      <x:c r="I312" s="16" t="str">
        <x:v>2017-03-17</x:v>
      </x:c>
      <x:c r="J312" s="16" t="str">
        <x:v>day</x:v>
      </x:c>
      <x:c r="K312" s="16" t="str">
        <x:v>Japan</x:v>
      </x:c>
      <x:c r="L312" s="16" t="n">
        <x:v>50</x:v>
      </x:c>
      <x:c r="M312" s="16" t="n">
        <x:v>12</x:v>
      </x:c>
      <x:c r="N312" s="16" t="n">
        <x:v>0</x:v>
      </x:c>
      <x:c r="O312" s="16" t="n">
        <x:v>62</x:v>
      </x:c>
      <x:c r="P312" s="16" t="n">
        <x:v>62</x:v>
      </x:c>
      <x:c r="Q312" s="16"/>
      <x:c r="R312" s="16"/>
      <x:c r="S312" s="16" t="str"/>
      <x:c r="T312" s="16"/>
      <x:c r="U312" s="16" t="str">
        <x:v>NO — review only</x:v>
      </x:c>
    </x:row>
    <x:row r="313" ht="54" customHeight="1">
      <x:c r="A313" s="16" t="str">
        <x:v>ja-b6756f39f2c9</x:v>
      </x:c>
      <x:c r="B313" s="16" t="str">
        <x:v>ja</x:v>
      </x:c>
      <x:c r="C313" s="16" t="str">
        <x:v>Facing a New Trial</x:v>
      </x:c>
      <x:c r="D313" s="16" t="str">
        <x:v>新たなる試練の向こう</x:v>
      </x:c>
      <x:c r="E313" s="16" t="str">
        <x:v>Sun &amp; Moon</x:v>
      </x:c>
      <x:c r="F313" s="16" t="str">
        <x:v>Card set / collection</x:v>
      </x:c>
      <x:c r="G313" s="16" t="str">
        <x:v>SM2+</x:v>
      </x:c>
      <x:c r="H313" s="16" t="str">
        <x:v>Japanese set code in source index</x:v>
      </x:c>
      <x:c r="I313" s="16" t="str">
        <x:v>2017-04-21</x:v>
      </x:c>
      <x:c r="J313" s="16" t="str">
        <x:v>day</x:v>
      </x:c>
      <x:c r="K313" s="16" t="str">
        <x:v>Japan</x:v>
      </x:c>
      <x:c r="L313" s="16" t="n">
        <x:v>49</x:v>
      </x:c>
      <x:c r="M313" s="16" t="n">
        <x:v>17</x:v>
      </x:c>
      <x:c r="N313" s="16" t="n">
        <x:v>0</x:v>
      </x:c>
      <x:c r="O313" s="16" t="n">
        <x:v>66</x:v>
      </x:c>
      <x:c r="P313" s="16" t="n">
        <x:v>66</x:v>
      </x:c>
      <x:c r="Q313" s="16"/>
      <x:c r="R313" s="16"/>
      <x:c r="S313" s="16" t="str"/>
      <x:c r="T313" s="16"/>
      <x:c r="U313" s="16" t="str">
        <x:v>NO — review only</x:v>
      </x:c>
    </x:row>
    <x:row r="314" ht="54" customHeight="1">
      <x:c r="A314" s="16" t="str">
        <x:v>ja-cde9902fee50</x:v>
      </x:c>
      <x:c r="B314" s="16" t="str">
        <x:v>ja</x:v>
      </x:c>
      <x:c r="C314" s="16" t="str">
        <x:v>THE BEST OF XY</x:v>
      </x:c>
      <x:c r="D314" s="16" t="str">
        <x:v>THE BEST OF XY</x:v>
      </x:c>
      <x:c r="E314" s="16" t="str">
        <x:v>XY BREAK</x:v>
      </x:c>
      <x:c r="F314" s="16" t="str">
        <x:v>Card set / collection</x:v>
      </x:c>
      <x:c r="G314" s="16" t="str">
        <x:v>XY</x:v>
      </x:c>
      <x:c r="H314" s="16" t="str">
        <x:v>Catalogue identifier (TCG Collector); printed form not independently checked</x:v>
      </x:c>
      <x:c r="I314" s="16" t="str">
        <x:v>2017-04-21</x:v>
      </x:c>
      <x:c r="J314" s="16" t="str">
        <x:v>day</x:v>
      </x:c>
      <x:c r="K314" s="16" t="str">
        <x:v>Japan</x:v>
      </x:c>
      <x:c r="L314" s="16" t="n">
        <x:v>171</x:v>
      </x:c>
      <x:c r="M314" s="16" t="n">
        <x:v>17</x:v>
      </x:c>
      <x:c r="N314" s="16" t="n">
        <x:v>0</x:v>
      </x:c>
      <x:c r="O314" s="16" t="n">
        <x:v>188</x:v>
      </x:c>
      <x:c r="P314" s="16" t="n">
        <x:v>188</x:v>
      </x:c>
      <x:c r="Q314" s="16"/>
      <x:c r="R314" s="16"/>
      <x:c r="S314" s="16" t="str"/>
      <x:c r="T314" s="16"/>
      <x:c r="U314" s="16" t="str">
        <x:v>NO — review only</x:v>
      </x:c>
    </x:row>
    <x:row r="315" ht="54" customHeight="1">
      <x:c r="A315" s="16" t="str">
        <x:v>ja-67b1962747e8</x:v>
      </x:c>
      <x:c r="B315" s="16" t="str">
        <x:v>ja</x:v>
      </x:c>
      <x:c r="C315" s="16" t="str">
        <x:v>Darkness that Consumes Light</x:v>
      </x:c>
      <x:c r="D315" s="16" t="str">
        <x:v>光を喰らう闇</x:v>
      </x:c>
      <x:c r="E315" s="16" t="str">
        <x:v>Sun &amp; Moon</x:v>
      </x:c>
      <x:c r="F315" s="16" t="str">
        <x:v>Card set / collection</x:v>
      </x:c>
      <x:c r="G315" s="16" t="str">
        <x:v>SM3N</x:v>
      </x:c>
      <x:c r="H315" s="16" t="str">
        <x:v>Japanese set code in source index</x:v>
      </x:c>
      <x:c r="I315" s="16" t="str">
        <x:v>2017-06-16</x:v>
      </x:c>
      <x:c r="J315" s="16" t="str">
        <x:v>day</x:v>
      </x:c>
      <x:c r="K315" s="16" t="str">
        <x:v>Japan</x:v>
      </x:c>
      <x:c r="L315" s="16" t="n">
        <x:v>51</x:v>
      </x:c>
      <x:c r="M315" s="16" t="n">
        <x:v>13</x:v>
      </x:c>
      <x:c r="N315" s="16" t="n">
        <x:v>0</x:v>
      </x:c>
      <x:c r="O315" s="16" t="n">
        <x:v>64</x:v>
      </x:c>
      <x:c r="P315" s="16" t="n">
        <x:v>64</x:v>
      </x:c>
      <x:c r="Q315" s="16"/>
      <x:c r="R315" s="16"/>
      <x:c r="S315" s="16" t="str"/>
      <x:c r="T315" s="16"/>
      <x:c r="U315" s="16" t="str">
        <x:v>NO — review only</x:v>
      </x:c>
    </x:row>
    <x:row r="316" ht="54" customHeight="1">
      <x:c r="A316" s="16" t="str">
        <x:v>ja-666ab116cab0</x:v>
      </x:c>
      <x:c r="B316" s="16" t="str">
        <x:v>ja</x:v>
      </x:c>
      <x:c r="C316" s="16" t="str">
        <x:v>To Have Seen the Battle Rainbow</x:v>
      </x:c>
      <x:c r="D316" s="16" t="str">
        <x:v>闘う虹を見たか</x:v>
      </x:c>
      <x:c r="E316" s="16" t="str">
        <x:v>Sun &amp; Moon</x:v>
      </x:c>
      <x:c r="F316" s="16" t="str">
        <x:v>Card set / collection</x:v>
      </x:c>
      <x:c r="G316" s="16" t="str">
        <x:v>SM3H</x:v>
      </x:c>
      <x:c r="H316" s="16" t="str">
        <x:v>Japanese set code in source index</x:v>
      </x:c>
      <x:c r="I316" s="16" t="str">
        <x:v>2017-06-16</x:v>
      </x:c>
      <x:c r="J316" s="16" t="str">
        <x:v>day</x:v>
      </x:c>
      <x:c r="K316" s="16" t="str">
        <x:v>Japan</x:v>
      </x:c>
      <x:c r="L316" s="16" t="n">
        <x:v>51</x:v>
      </x:c>
      <x:c r="M316" s="16" t="n">
        <x:v>13</x:v>
      </x:c>
      <x:c r="N316" s="16" t="n">
        <x:v>0</x:v>
      </x:c>
      <x:c r="O316" s="16" t="n">
        <x:v>64</x:v>
      </x:c>
      <x:c r="P316" s="16" t="n">
        <x:v>64</x:v>
      </x:c>
      <x:c r="Q316" s="16"/>
      <x:c r="R316" s="16"/>
      <x:c r="S316" s="16" t="str"/>
      <x:c r="T316" s="16"/>
      <x:c r="U316" s="16" t="str">
        <x:v>NO — review only</x:v>
      </x:c>
    </x:row>
    <x:row r="317" ht="54" customHeight="1">
      <x:c r="A317" s="16" t="str">
        <x:v>ja-a4a29f2d81f7</x:v>
      </x:c>
      <x:c r="B317" s="16" t="str">
        <x:v>ja</x:v>
      </x:c>
      <x:c r="C317" s="16" t="str">
        <x:v>Shining Legends</x:v>
      </x:c>
      <x:c r="D317" s="16" t="str">
        <x:v>ひかる伝説</x:v>
      </x:c>
      <x:c r="E317" s="16" t="str">
        <x:v>Sun &amp; Moon</x:v>
      </x:c>
      <x:c r="F317" s="16" t="str">
        <x:v>Card set / collection</x:v>
      </x:c>
      <x:c r="G317" s="16" t="str">
        <x:v>SM3+</x:v>
      </x:c>
      <x:c r="H317" s="16" t="str">
        <x:v>Japanese set code in source index</x:v>
      </x:c>
      <x:c r="I317" s="16" t="str">
        <x:v>2017-07-15</x:v>
      </x:c>
      <x:c r="J317" s="16" t="str">
        <x:v>day</x:v>
      </x:c>
      <x:c r="K317" s="16" t="str">
        <x:v>Japan</x:v>
      </x:c>
      <x:c r="L317" s="16" t="n">
        <x:v>72</x:v>
      </x:c>
      <x:c r="M317" s="16" t="n">
        <x:v>10</x:v>
      </x:c>
      <x:c r="N317" s="16" t="n">
        <x:v>0</x:v>
      </x:c>
      <x:c r="O317" s="16" t="n">
        <x:v>82</x:v>
      </x:c>
      <x:c r="P317" s="16" t="n">
        <x:v>82</x:v>
      </x:c>
      <x:c r="Q317" s="16"/>
      <x:c r="R317" s="16"/>
      <x:c r="S317" s="16" t="str"/>
      <x:c r="T317" s="16"/>
      <x:c r="U317" s="16" t="str">
        <x:v>NO — review only</x:v>
      </x:c>
    </x:row>
    <x:row r="318" ht="54" customHeight="1">
      <x:c r="A318" s="16" t="str">
        <x:v>ja-eada6233c89e</x:v>
      </x:c>
      <x:c r="B318" s="16" t="str">
        <x:v>ja</x:v>
      </x:c>
      <x:c r="C318" s="16" t="str">
        <x:v>Awakened Heroes</x:v>
      </x:c>
      <x:c r="D318" s="16" t="str">
        <x:v>覚醒の勇者</x:v>
      </x:c>
      <x:c r="E318" s="16" t="str">
        <x:v>Sun &amp; Moon</x:v>
      </x:c>
      <x:c r="F318" s="16" t="str">
        <x:v>Card set / collection</x:v>
      </x:c>
      <x:c r="G318" s="16" t="str">
        <x:v>SM4S</x:v>
      </x:c>
      <x:c r="H318" s="16" t="str">
        <x:v>Japanese set code in source index</x:v>
      </x:c>
      <x:c r="I318" s="16" t="str">
        <x:v>2017-09-15</x:v>
      </x:c>
      <x:c r="J318" s="16" t="str">
        <x:v>day</x:v>
      </x:c>
      <x:c r="K318" s="16" t="str">
        <x:v>Japan</x:v>
      </x:c>
      <x:c r="L318" s="16" t="n">
        <x:v>50</x:v>
      </x:c>
      <x:c r="M318" s="16" t="n">
        <x:v>12</x:v>
      </x:c>
      <x:c r="N318" s="16" t="n">
        <x:v>0</x:v>
      </x:c>
      <x:c r="O318" s="16" t="n">
        <x:v>62</x:v>
      </x:c>
      <x:c r="P318" s="16" t="n">
        <x:v>62</x:v>
      </x:c>
      <x:c r="Q318" s="16"/>
      <x:c r="R318" s="16"/>
      <x:c r="S318" s="16" t="str"/>
      <x:c r="T318" s="16"/>
      <x:c r="U318" s="16" t="str">
        <x:v>NO — review only</x:v>
      </x:c>
    </x:row>
    <x:row r="319" ht="54" customHeight="1">
      <x:c r="A319" s="16" t="str">
        <x:v>ja-a60336de3244</x:v>
      </x:c>
      <x:c r="B319" s="16" t="str">
        <x:v>ja</x:v>
      </x:c>
      <x:c r="C319" s="16" t="str">
        <x:v>Ultradimensional Beasts</x:v>
      </x:c>
      <x:c r="D319" s="16" t="str">
        <x:v>超次元の暴獣</x:v>
      </x:c>
      <x:c r="E319" s="16" t="str">
        <x:v>Sun &amp; Moon</x:v>
      </x:c>
      <x:c r="F319" s="16" t="str">
        <x:v>Card set / collection</x:v>
      </x:c>
      <x:c r="G319" s="16" t="str">
        <x:v>SM4A</x:v>
      </x:c>
      <x:c r="H319" s="16" t="str">
        <x:v>Japanese set code in source index</x:v>
      </x:c>
      <x:c r="I319" s="16" t="str">
        <x:v>2017-09-15</x:v>
      </x:c>
      <x:c r="J319" s="16" t="str">
        <x:v>day</x:v>
      </x:c>
      <x:c r="K319" s="16" t="str">
        <x:v>Japan</x:v>
      </x:c>
      <x:c r="L319" s="16" t="n">
        <x:v>50</x:v>
      </x:c>
      <x:c r="M319" s="16" t="n">
        <x:v>12</x:v>
      </x:c>
      <x:c r="N319" s="16" t="n">
        <x:v>0</x:v>
      </x:c>
      <x:c r="O319" s="16" t="n">
        <x:v>62</x:v>
      </x:c>
      <x:c r="P319" s="16" t="n">
        <x:v>62</x:v>
      </x:c>
      <x:c r="Q319" s="16"/>
      <x:c r="R319" s="16"/>
      <x:c r="S319" s="16" t="str"/>
      <x:c r="T319" s="16"/>
      <x:c r="U319" s="16" t="str">
        <x:v>NO — review only</x:v>
      </x:c>
    </x:row>
    <x:row r="320" ht="54" customHeight="1">
      <x:c r="A320" s="16" t="str">
        <x:v>ja-d804e36e664f</x:v>
      </x:c>
      <x:c r="B320" s="16" t="str">
        <x:v>ja</x:v>
      </x:c>
      <x:c r="C320" s="16" t="str">
        <x:v>GX Battle Boost</x:v>
      </x:c>
      <x:c r="D320" s="16" t="str">
        <x:v>GXバトルブースト</x:v>
      </x:c>
      <x:c r="E320" s="16" t="str">
        <x:v>Sun &amp; Moon</x:v>
      </x:c>
      <x:c r="F320" s="16" t="str">
        <x:v>Card set / collection</x:v>
      </x:c>
      <x:c r="G320" s="16" t="str">
        <x:v>SM4+</x:v>
      </x:c>
      <x:c r="H320" s="16" t="str">
        <x:v>Japanese set code in source index</x:v>
      </x:c>
      <x:c r="I320" s="16" t="str">
        <x:v>2017-10-20</x:v>
      </x:c>
      <x:c r="J320" s="16" t="str">
        <x:v>day</x:v>
      </x:c>
      <x:c r="K320" s="16" t="str">
        <x:v>Japan</x:v>
      </x:c>
      <x:c r="L320" s="16" t="n">
        <x:v>114</x:v>
      </x:c>
      <x:c r="M320" s="16" t="n">
        <x:v>11</x:v>
      </x:c>
      <x:c r="N320" s="16" t="n">
        <x:v>0</x:v>
      </x:c>
      <x:c r="O320" s="16" t="n">
        <x:v>125</x:v>
      </x:c>
      <x:c r="P320" s="16" t="n">
        <x:v>125</x:v>
      </x:c>
      <x:c r="Q320" s="16"/>
      <x:c r="R320" s="16"/>
      <x:c r="S320" s="16" t="str"/>
      <x:c r="T320" s="16"/>
      <x:c r="U320" s="16" t="str">
        <x:v>NO — review only</x:v>
      </x:c>
    </x:row>
    <x:row r="321" ht="54" customHeight="1">
      <x:c r="A321" s="16" t="str">
        <x:v>ja-ef1513ab4f6e</x:v>
      </x:c>
      <x:c r="B321" s="16" t="str">
        <x:v>ja</x:v>
      </x:c>
      <x:c r="C321" s="16" t="str">
        <x:v>Ultra Moon</x:v>
      </x:c>
      <x:c r="D321" s="16" t="str">
        <x:v>ウルトラムーン</x:v>
      </x:c>
      <x:c r="E321" s="16" t="str">
        <x:v>Sun &amp; Moon</x:v>
      </x:c>
      <x:c r="F321" s="16" t="str">
        <x:v>Card set / collection</x:v>
      </x:c>
      <x:c r="G321" s="16" t="str">
        <x:v>SM5M</x:v>
      </x:c>
      <x:c r="H321" s="16" t="str">
        <x:v>Japanese set code in source index</x:v>
      </x:c>
      <x:c r="I321" s="16" t="str">
        <x:v>2017-12-08</x:v>
      </x:c>
      <x:c r="J321" s="16" t="str">
        <x:v>day</x:v>
      </x:c>
      <x:c r="K321" s="16" t="str">
        <x:v>Japan</x:v>
      </x:c>
      <x:c r="L321" s="16" t="n">
        <x:v>66</x:v>
      </x:c>
      <x:c r="M321" s="16" t="n">
        <x:v>12</x:v>
      </x:c>
      <x:c r="N321" s="16" t="n">
        <x:v>0</x:v>
      </x:c>
      <x:c r="O321" s="16" t="n">
        <x:v>78</x:v>
      </x:c>
      <x:c r="P321" s="16" t="n">
        <x:v>78</x:v>
      </x:c>
      <x:c r="Q321" s="16"/>
      <x:c r="R321" s="16"/>
      <x:c r="S321" s="16" t="str"/>
      <x:c r="T321" s="16"/>
      <x:c r="U321" s="16" t="str">
        <x:v>NO — review only</x:v>
      </x:c>
    </x:row>
    <x:row r="322" ht="54" customHeight="1">
      <x:c r="A322" s="16" t="str">
        <x:v>ja-584b5e55b1bd</x:v>
      </x:c>
      <x:c r="B322" s="16" t="str">
        <x:v>ja</x:v>
      </x:c>
      <x:c r="C322" s="16" t="str">
        <x:v>Ultra Sun</x:v>
      </x:c>
      <x:c r="D322" s="16" t="str">
        <x:v>ウルトラサン</x:v>
      </x:c>
      <x:c r="E322" s="16" t="str">
        <x:v>Sun &amp; Moon</x:v>
      </x:c>
      <x:c r="F322" s="16" t="str">
        <x:v>Card set / collection</x:v>
      </x:c>
      <x:c r="G322" s="16" t="str">
        <x:v>SM5S</x:v>
      </x:c>
      <x:c r="H322" s="16" t="str">
        <x:v>Japanese set code in source index</x:v>
      </x:c>
      <x:c r="I322" s="16" t="str">
        <x:v>2017-12-08</x:v>
      </x:c>
      <x:c r="J322" s="16" t="str">
        <x:v>day</x:v>
      </x:c>
      <x:c r="K322" s="16" t="str">
        <x:v>Japan</x:v>
      </x:c>
      <x:c r="L322" s="16" t="n">
        <x:v>66</x:v>
      </x:c>
      <x:c r="M322" s="16" t="n">
        <x:v>12</x:v>
      </x:c>
      <x:c r="N322" s="16" t="n">
        <x:v>0</x:v>
      </x:c>
      <x:c r="O322" s="16" t="n">
        <x:v>78</x:v>
      </x:c>
      <x:c r="P322" s="16" t="n">
        <x:v>78</x:v>
      </x:c>
      <x:c r="Q322" s="16"/>
      <x:c r="R322" s="16"/>
      <x:c r="S322" s="16" t="str"/>
      <x:c r="T322" s="16"/>
      <x:c r="U322" s="16" t="str">
        <x:v>NO — review only</x:v>
      </x:c>
    </x:row>
    <x:row r="323" ht="54" customHeight="1">
      <x:c r="A323" s="16" t="str">
        <x:v>ja-83edef567ded</x:v>
      </x:c>
      <x:c r="B323" s="16" t="str">
        <x:v>ja</x:v>
      </x:c>
      <x:c r="C323" s="16" t="str">
        <x:v>Ultra Force</x:v>
      </x:c>
      <x:c r="D323" s="16" t="str">
        <x:v>ウルトラフォース</x:v>
      </x:c>
      <x:c r="E323" s="16" t="str">
        <x:v>Sun &amp; Moon</x:v>
      </x:c>
      <x:c r="F323" s="16" t="str">
        <x:v>Card set / collection</x:v>
      </x:c>
      <x:c r="G323" s="16" t="str">
        <x:v>SM5+</x:v>
      </x:c>
      <x:c r="H323" s="16" t="str">
        <x:v>Japanese set code in source index</x:v>
      </x:c>
      <x:c r="I323" s="16" t="str">
        <x:v>2018-01-19</x:v>
      </x:c>
      <x:c r="J323" s="16" t="str">
        <x:v>day</x:v>
      </x:c>
      <x:c r="K323" s="16" t="str">
        <x:v>Japan</x:v>
      </x:c>
      <x:c r="L323" s="16" t="n">
        <x:v>50</x:v>
      </x:c>
      <x:c r="M323" s="16" t="n">
        <x:v>13</x:v>
      </x:c>
      <x:c r="N323" s="16" t="n">
        <x:v>0</x:v>
      </x:c>
      <x:c r="O323" s="16" t="n">
        <x:v>63</x:v>
      </x:c>
      <x:c r="P323" s="16" t="n">
        <x:v>63</x:v>
      </x:c>
      <x:c r="Q323" s="16"/>
      <x:c r="R323" s="16"/>
      <x:c r="S323" s="16" t="str"/>
      <x:c r="T323" s="16"/>
      <x:c r="U323" s="16" t="str">
        <x:v>NO — review only</x:v>
      </x:c>
    </x:row>
    <x:row r="324" ht="54" customHeight="1">
      <x:c r="A324" s="16" t="str">
        <x:v>ja-6a519d00febd</x:v>
      </x:c>
      <x:c r="B324" s="16" t="str">
        <x:v>ja</x:v>
      </x:c>
      <x:c r="C324" s="16" t="str">
        <x:v>Forbidden Light</x:v>
      </x:c>
      <x:c r="D324" s="16" t="str">
        <x:v>禁断の光</x:v>
      </x:c>
      <x:c r="E324" s="16" t="str">
        <x:v>Sun &amp; Moon</x:v>
      </x:c>
      <x:c r="F324" s="16" t="str">
        <x:v>Card set / collection</x:v>
      </x:c>
      <x:c r="G324" s="16" t="str">
        <x:v>SM6</x:v>
      </x:c>
      <x:c r="H324" s="16" t="str">
        <x:v>Japanese set code in source index</x:v>
      </x:c>
      <x:c r="I324" s="16" t="str">
        <x:v>2018-03-02</x:v>
      </x:c>
      <x:c r="J324" s="16" t="str">
        <x:v>day</x:v>
      </x:c>
      <x:c r="K324" s="16" t="str">
        <x:v>Japan</x:v>
      </x:c>
      <x:c r="L324" s="16" t="n">
        <x:v>94</x:v>
      </x:c>
      <x:c r="M324" s="16" t="n">
        <x:v>16</x:v>
      </x:c>
      <x:c r="N324" s="16" t="n">
        <x:v>0</x:v>
      </x:c>
      <x:c r="O324" s="16" t="n">
        <x:v>110</x:v>
      </x:c>
      <x:c r="P324" s="16" t="n">
        <x:v>110</x:v>
      </x:c>
      <x:c r="Q324" s="16"/>
      <x:c r="R324" s="16"/>
      <x:c r="S324" s="16" t="str"/>
      <x:c r="T324" s="16"/>
      <x:c r="U324" s="16" t="str">
        <x:v>NO — review only</x:v>
      </x:c>
    </x:row>
    <x:row r="325" ht="54" customHeight="1">
      <x:c r="A325" s="16" t="str">
        <x:v>ja-c0cc49fe109e</x:v>
      </x:c>
      <x:c r="B325" s="16" t="str">
        <x:v>ja</x:v>
      </x:c>
      <x:c r="C325" s="16" t="str">
        <x:v>Dragon Storm</x:v>
      </x:c>
      <x:c r="D325" s="16" t="str">
        <x:v>ドラゴンストーム</x:v>
      </x:c>
      <x:c r="E325" s="16" t="str">
        <x:v>Sun &amp; Moon</x:v>
      </x:c>
      <x:c r="F325" s="16" t="str">
        <x:v>Card set / collection</x:v>
      </x:c>
      <x:c r="G325" s="16" t="str">
        <x:v>SM6a</x:v>
      </x:c>
      <x:c r="H325" s="16" t="str">
        <x:v>Japanese set code in source index</x:v>
      </x:c>
      <x:c r="I325" s="16" t="str">
        <x:v>2018-04-06</x:v>
      </x:c>
      <x:c r="J325" s="16" t="str">
        <x:v>day</x:v>
      </x:c>
      <x:c r="K325" s="16" t="str">
        <x:v>Japan</x:v>
      </x:c>
      <x:c r="L325" s="16" t="n">
        <x:v>53</x:v>
      </x:c>
      <x:c r="M325" s="16" t="n">
        <x:v>13</x:v>
      </x:c>
      <x:c r="N325" s="16" t="n">
        <x:v>0</x:v>
      </x:c>
      <x:c r="O325" s="16" t="n">
        <x:v>66</x:v>
      </x:c>
      <x:c r="P325" s="16" t="n">
        <x:v>66</x:v>
      </x:c>
      <x:c r="Q325" s="16"/>
      <x:c r="R325" s="16"/>
      <x:c r="S325" s="16" t="str"/>
      <x:c r="T325" s="16"/>
      <x:c r="U325" s="16" t="str">
        <x:v>NO — review only</x:v>
      </x:c>
    </x:row>
    <x:row r="326" ht="54" customHeight="1">
      <x:c r="A326" s="16" t="str">
        <x:v>ja-5bae8fb35c26</x:v>
      </x:c>
      <x:c r="B326" s="16" t="str">
        <x:v>ja</x:v>
      </x:c>
      <x:c r="C326" s="16" t="str">
        <x:v>Champion Road</x:v>
      </x:c>
      <x:c r="D326" s="16" t="str">
        <x:v>チャンピオンロード</x:v>
      </x:c>
      <x:c r="E326" s="16" t="str">
        <x:v>Sun &amp; Moon</x:v>
      </x:c>
      <x:c r="F326" s="16" t="str">
        <x:v>Card set / collection</x:v>
      </x:c>
      <x:c r="G326" s="16" t="str">
        <x:v>SM6b</x:v>
      </x:c>
      <x:c r="H326" s="16" t="str">
        <x:v>Japanese set code in source index</x:v>
      </x:c>
      <x:c r="I326" s="16" t="str">
        <x:v>2018-05-03</x:v>
      </x:c>
      <x:c r="J326" s="16" t="str">
        <x:v>day</x:v>
      </x:c>
      <x:c r="K326" s="16" t="str">
        <x:v>Japan</x:v>
      </x:c>
      <x:c r="L326" s="16" t="n">
        <x:v>66</x:v>
      </x:c>
      <x:c r="M326" s="16" t="n">
        <x:v>20</x:v>
      </x:c>
      <x:c r="N326" s="16" t="n">
        <x:v>0</x:v>
      </x:c>
      <x:c r="O326" s="16" t="n">
        <x:v>86</x:v>
      </x:c>
      <x:c r="P326" s="16" t="n">
        <x:v>86</x:v>
      </x:c>
      <x:c r="Q326" s="16"/>
      <x:c r="R326" s="16"/>
      <x:c r="S326" s="16" t="str"/>
      <x:c r="T326" s="16"/>
      <x:c r="U326" s="16" t="str">
        <x:v>NO — review only</x:v>
      </x:c>
    </x:row>
    <x:row r="327" ht="54" customHeight="1">
      <x:c r="A327" s="16" t="str">
        <x:v>ja-fd2cafa865f0</x:v>
      </x:c>
      <x:c r="B327" s="16" t="str">
        <x:v>ja</x:v>
      </x:c>
      <x:c r="C327" s="16" t="str">
        <x:v>Sky-Splitting Charisma</x:v>
      </x:c>
      <x:c r="D327" s="16" t="str">
        <x:v>裂空のカリスマ</x:v>
      </x:c>
      <x:c r="E327" s="16" t="str">
        <x:v>Sun &amp; Moon</x:v>
      </x:c>
      <x:c r="F327" s="16" t="str">
        <x:v>Card set / collection</x:v>
      </x:c>
      <x:c r="G327" s="16" t="str">
        <x:v>SM7</x:v>
      </x:c>
      <x:c r="H327" s="16" t="str">
        <x:v>Japanese set code in source index</x:v>
      </x:c>
      <x:c r="I327" s="16" t="str">
        <x:v>2018-06-01</x:v>
      </x:c>
      <x:c r="J327" s="16" t="str">
        <x:v>day</x:v>
      </x:c>
      <x:c r="K327" s="16" t="str">
        <x:v>Japan</x:v>
      </x:c>
      <x:c r="L327" s="16" t="n">
        <x:v>96</x:v>
      </x:c>
      <x:c r="M327" s="16" t="n">
        <x:v>16</x:v>
      </x:c>
      <x:c r="N327" s="16" t="n">
        <x:v>0</x:v>
      </x:c>
      <x:c r="O327" s="16" t="n">
        <x:v>112</x:v>
      </x:c>
      <x:c r="P327" s="16" t="n">
        <x:v>112</x:v>
      </x:c>
      <x:c r="Q327" s="16"/>
      <x:c r="R327" s="16"/>
      <x:c r="S327" s="16" t="str"/>
      <x:c r="T327" s="16"/>
      <x:c r="U327" s="16" t="str">
        <x:v>NO — review only</x:v>
      </x:c>
    </x:row>
    <x:row r="328" ht="54" customHeight="1">
      <x:c r="A328" s="16" t="str">
        <x:v>ja-571ae5dabd50</x:v>
      </x:c>
      <x:c r="B328" s="16" t="str">
        <x:v>ja</x:v>
      </x:c>
      <x:c r="C328" s="16" t="str">
        <x:v>Thunderclap Spark</x:v>
      </x:c>
      <x:c r="D328" s="16" t="str">
        <x:v>迅雷スパーク</x:v>
      </x:c>
      <x:c r="E328" s="16" t="str">
        <x:v>Sun &amp; Moon</x:v>
      </x:c>
      <x:c r="F328" s="16" t="str">
        <x:v>Card set / collection</x:v>
      </x:c>
      <x:c r="G328" s="16" t="str">
        <x:v>SM7a</x:v>
      </x:c>
      <x:c r="H328" s="16" t="str">
        <x:v>Japanese set code in source index</x:v>
      </x:c>
      <x:c r="I328" s="16" t="str">
        <x:v>2018-07-06</x:v>
      </x:c>
      <x:c r="J328" s="16" t="str">
        <x:v>day</x:v>
      </x:c>
      <x:c r="K328" s="16" t="str">
        <x:v>Japan</x:v>
      </x:c>
      <x:c r="L328" s="16" t="n">
        <x:v>60</x:v>
      </x:c>
      <x:c r="M328" s="16" t="n">
        <x:v>13</x:v>
      </x:c>
      <x:c r="N328" s="16" t="n">
        <x:v>0</x:v>
      </x:c>
      <x:c r="O328" s="16" t="n">
        <x:v>73</x:v>
      </x:c>
      <x:c r="P328" s="16" t="n">
        <x:v>73</x:v>
      </x:c>
      <x:c r="Q328" s="16"/>
      <x:c r="R328" s="16"/>
      <x:c r="S328" s="16" t="str"/>
      <x:c r="T328" s="16"/>
      <x:c r="U328" s="16" t="str">
        <x:v>NO — review only</x:v>
      </x:c>
    </x:row>
    <x:row r="329" ht="54" customHeight="1">
      <x:c r="A329" s="16" t="str">
        <x:v>ja-4f05943164ce</x:v>
      </x:c>
      <x:c r="B329" s="16" t="str">
        <x:v>ja</x:v>
      </x:c>
      <x:c r="C329" s="16" t="str">
        <x:v>Fairy Rise</x:v>
      </x:c>
      <x:c r="D329" s="16" t="str">
        <x:v>フェアリーライズ</x:v>
      </x:c>
      <x:c r="E329" s="16" t="str">
        <x:v>Sun &amp; Moon</x:v>
      </x:c>
      <x:c r="F329" s="16" t="str">
        <x:v>Card set / collection</x:v>
      </x:c>
      <x:c r="G329" s="16" t="str">
        <x:v>SM7b</x:v>
      </x:c>
      <x:c r="H329" s="16" t="str">
        <x:v>Japanese set code in source index</x:v>
      </x:c>
      <x:c r="I329" s="16" t="str">
        <x:v>2018-08-03</x:v>
      </x:c>
      <x:c r="J329" s="16" t="str">
        <x:v>day</x:v>
      </x:c>
      <x:c r="K329" s="16" t="str">
        <x:v>Japan</x:v>
      </x:c>
      <x:c r="L329" s="16" t="n">
        <x:v>50</x:v>
      </x:c>
      <x:c r="M329" s="16" t="n">
        <x:v>13</x:v>
      </x:c>
      <x:c r="N329" s="16" t="n">
        <x:v>0</x:v>
      </x:c>
      <x:c r="O329" s="16" t="n">
        <x:v>63</x:v>
      </x:c>
      <x:c r="P329" s="16" t="n">
        <x:v>63</x:v>
      </x:c>
      <x:c r="Q329" s="16"/>
      <x:c r="R329" s="16"/>
      <x:c r="S329" s="16" t="str"/>
      <x:c r="T329" s="16"/>
      <x:c r="U329" s="16" t="str">
        <x:v>NO — review only</x:v>
      </x:c>
    </x:row>
    <x:row r="330" ht="54" customHeight="1">
      <x:c r="A330" s="16" t="str">
        <x:v>ja-cdebc1c8262e</x:v>
      </x:c>
      <x:c r="B330" s="16" t="str">
        <x:v>ja</x:v>
      </x:c>
      <x:c r="C330" s="16" t="str">
        <x:v>Super-Burst Impact</x:v>
      </x:c>
      <x:c r="D330" s="16" t="str">
        <x:v>超爆インパクト</x:v>
      </x:c>
      <x:c r="E330" s="16" t="str">
        <x:v>Sun &amp; Moon</x:v>
      </x:c>
      <x:c r="F330" s="16" t="str">
        <x:v>Card set / collection</x:v>
      </x:c>
      <x:c r="G330" s="16" t="str">
        <x:v>SM8</x:v>
      </x:c>
      <x:c r="H330" s="16" t="str">
        <x:v>Japanese set code in source index</x:v>
      </x:c>
      <x:c r="I330" s="16" t="str">
        <x:v>2018-09-07</x:v>
      </x:c>
      <x:c r="J330" s="16" t="str">
        <x:v>day</x:v>
      </x:c>
      <x:c r="K330" s="16" t="str">
        <x:v>Japan</x:v>
      </x:c>
      <x:c r="L330" s="16" t="n">
        <x:v>95</x:v>
      </x:c>
      <x:c r="M330" s="16" t="n">
        <x:v>16</x:v>
      </x:c>
      <x:c r="N330" s="16" t="n">
        <x:v>0</x:v>
      </x:c>
      <x:c r="O330" s="16" t="n">
        <x:v>111</x:v>
      </x:c>
      <x:c r="P330" s="16" t="n">
        <x:v>111</x:v>
      </x:c>
      <x:c r="Q330" s="16"/>
      <x:c r="R330" s="16"/>
      <x:c r="S330" s="16" t="str"/>
      <x:c r="T330" s="16"/>
      <x:c r="U330" s="16" t="str">
        <x:v>NO — review only</x:v>
      </x:c>
    </x:row>
    <x:row r="331" ht="54" customHeight="1">
      <x:c r="A331" s="16" t="str">
        <x:v>ja-3eb2e555b4ff</x:v>
      </x:c>
      <x:c r="B331" s="16" t="str">
        <x:v>ja</x:v>
      </x:c>
      <x:c r="C331" s="16" t="str">
        <x:v>Dark Order</x:v>
      </x:c>
      <x:c r="D331" s="16" t="str">
        <x:v>ダークオーダー</x:v>
      </x:c>
      <x:c r="E331" s="16" t="str">
        <x:v>Sun &amp; Moon</x:v>
      </x:c>
      <x:c r="F331" s="16" t="str">
        <x:v>Card set / collection</x:v>
      </x:c>
      <x:c r="G331" s="16" t="str">
        <x:v>SM8a</x:v>
      </x:c>
      <x:c r="H331" s="16" t="str">
        <x:v>Japanese set code in source index</x:v>
      </x:c>
      <x:c r="I331" s="16" t="str">
        <x:v>2018-10-05</x:v>
      </x:c>
      <x:c r="J331" s="16" t="str">
        <x:v>day</x:v>
      </x:c>
      <x:c r="K331" s="16" t="str">
        <x:v>Japan</x:v>
      </x:c>
      <x:c r="L331" s="16" t="n">
        <x:v>52</x:v>
      </x:c>
      <x:c r="M331" s="16" t="n">
        <x:v>13</x:v>
      </x:c>
      <x:c r="N331" s="16" t="n">
        <x:v>0</x:v>
      </x:c>
      <x:c r="O331" s="16" t="n">
        <x:v>65</x:v>
      </x:c>
      <x:c r="P331" s="16" t="n">
        <x:v>65</x:v>
      </x:c>
      <x:c r="Q331" s="16"/>
      <x:c r="R331" s="16"/>
      <x:c r="S331" s="16" t="str"/>
      <x:c r="T331" s="16"/>
      <x:c r="U331" s="16" t="str">
        <x:v>NO — review only</x:v>
      </x:c>
    </x:row>
    <x:row r="332" ht="54" customHeight="1">
      <x:c r="A332" s="16" t="str">
        <x:v>ja-14c79248f8f3</x:v>
      </x:c>
      <x:c r="B332" s="16" t="str">
        <x:v>ja</x:v>
      </x:c>
      <x:c r="C332" s="16" t="str">
        <x:v>GX Ultra Shiny</x:v>
      </x:c>
      <x:c r="D332" s="16" t="str">
        <x:v>GXウルトラシャイニー</x:v>
      </x:c>
      <x:c r="E332" s="16" t="str">
        <x:v>Sun &amp; Moon</x:v>
      </x:c>
      <x:c r="F332" s="16" t="str">
        <x:v>Card set / collection</x:v>
      </x:c>
      <x:c r="G332" s="16" t="str">
        <x:v>SM8b</x:v>
      </x:c>
      <x:c r="H332" s="16" t="str">
        <x:v>Japanese set code in source index</x:v>
      </x:c>
      <x:c r="I332" s="16" t="str">
        <x:v>2018-11-02</x:v>
      </x:c>
      <x:c r="J332" s="16" t="str">
        <x:v>day</x:v>
      </x:c>
      <x:c r="K332" s="16" t="str">
        <x:v>Japan</x:v>
      </x:c>
      <x:c r="L332" s="16" t="n">
        <x:v>150</x:v>
      </x:c>
      <x:c r="M332" s="16" t="n">
        <x:v>100</x:v>
      </x:c>
      <x:c r="N332" s="16" t="n">
        <x:v>0</x:v>
      </x:c>
      <x:c r="O332" s="16" t="n">
        <x:v>250</x:v>
      </x:c>
      <x:c r="P332" s="16" t="n">
        <x:v>250</x:v>
      </x:c>
      <x:c r="Q332" s="16"/>
      <x:c r="R332" s="16"/>
      <x:c r="S332" s="16" t="str"/>
      <x:c r="T332" s="16"/>
      <x:c r="U332" s="16" t="str">
        <x:v>NO — review only</x:v>
      </x:c>
    </x:row>
    <x:row r="333" ht="54" customHeight="1">
      <x:c r="A333" s="16" t="str">
        <x:v>ja-44e48422e5bf</x:v>
      </x:c>
      <x:c r="B333" s="16" t="str">
        <x:v>ja</x:v>
      </x:c>
      <x:c r="C333" s="16" t="str">
        <x:v>Tag Bolt</x:v>
      </x:c>
      <x:c r="D333" s="16" t="str">
        <x:v>タッグボルト</x:v>
      </x:c>
      <x:c r="E333" s="16" t="str">
        <x:v>Sun &amp; Moon</x:v>
      </x:c>
      <x:c r="F333" s="16" t="str">
        <x:v>Card set / collection</x:v>
      </x:c>
      <x:c r="G333" s="16" t="str">
        <x:v>SM9</x:v>
      </x:c>
      <x:c r="H333" s="16" t="str">
        <x:v>Japanese set code in source index</x:v>
      </x:c>
      <x:c r="I333" s="16" t="str">
        <x:v>2018-12-07</x:v>
      </x:c>
      <x:c r="J333" s="16" t="str">
        <x:v>day</x:v>
      </x:c>
      <x:c r="K333" s="16" t="str">
        <x:v>Japan</x:v>
      </x:c>
      <x:c r="L333" s="16" t="n">
        <x:v>95</x:v>
      </x:c>
      <x:c r="M333" s="16" t="n">
        <x:v>23</x:v>
      </x:c>
      <x:c r="N333" s="16" t="n">
        <x:v>0</x:v>
      </x:c>
      <x:c r="O333" s="16" t="n">
        <x:v>118</x:v>
      </x:c>
      <x:c r="P333" s="16" t="n">
        <x:v>118</x:v>
      </x:c>
      <x:c r="Q333" s="16"/>
      <x:c r="R333" s="16"/>
      <x:c r="S333" s="16" t="str"/>
      <x:c r="T333" s="16"/>
      <x:c r="U333" s="16" t="str">
        <x:v>NO — review only</x:v>
      </x:c>
    </x:row>
    <x:row r="334" ht="54" customHeight="1">
      <x:c r="A334" s="16" t="str">
        <x:v>ja-1492e357d239</x:v>
      </x:c>
      <x:c r="B334" s="16" t="str">
        <x:v>ja</x:v>
      </x:c>
      <x:c r="C334" s="16" t="str">
        <x:v>Night Unison</x:v>
      </x:c>
      <x:c r="D334" s="16" t="str">
        <x:v>ナイトユニゾン</x:v>
      </x:c>
      <x:c r="E334" s="16" t="str">
        <x:v>Sun &amp; Moon</x:v>
      </x:c>
      <x:c r="F334" s="16" t="str">
        <x:v>Card set / collection</x:v>
      </x:c>
      <x:c r="G334" s="16" t="str">
        <x:v>SM9a</x:v>
      </x:c>
      <x:c r="H334" s="16" t="str">
        <x:v>Japanese set code in source index</x:v>
      </x:c>
      <x:c r="I334" s="16" t="str">
        <x:v>2019-01-11</x:v>
      </x:c>
      <x:c r="J334" s="16" t="str">
        <x:v>day</x:v>
      </x:c>
      <x:c r="K334" s="16" t="str">
        <x:v>Japan</x:v>
      </x:c>
      <x:c r="L334" s="16" t="n">
        <x:v>55</x:v>
      </x:c>
      <x:c r="M334" s="16" t="n">
        <x:v>15</x:v>
      </x:c>
      <x:c r="N334" s="16" t="n">
        <x:v>0</x:v>
      </x:c>
      <x:c r="O334" s="16" t="n">
        <x:v>70</x:v>
      </x:c>
      <x:c r="P334" s="16" t="n">
        <x:v>70</x:v>
      </x:c>
      <x:c r="Q334" s="16"/>
      <x:c r="R334" s="16"/>
      <x:c r="S334" s="16" t="str"/>
      <x:c r="T334" s="16"/>
      <x:c r="U334" s="16" t="str">
        <x:v>NO — review only</x:v>
      </x:c>
    </x:row>
    <x:row r="335" ht="54" customHeight="1">
      <x:c r="A335" s="16" t="str">
        <x:v>ja-1d013958f902</x:v>
      </x:c>
      <x:c r="B335" s="16" t="str">
        <x:v>ja</x:v>
      </x:c>
      <x:c r="C335" s="16" t="str">
        <x:v>Full Metal Wall</x:v>
      </x:c>
      <x:c r="D335" s="16" t="str">
        <x:v>フルメタルウォール</x:v>
      </x:c>
      <x:c r="E335" s="16" t="str">
        <x:v>Sun &amp; Moon</x:v>
      </x:c>
      <x:c r="F335" s="16" t="str">
        <x:v>Card set / collection</x:v>
      </x:c>
      <x:c r="G335" s="16" t="str">
        <x:v>SM9b</x:v>
      </x:c>
      <x:c r="H335" s="16" t="str">
        <x:v>Japanese set code in source index</x:v>
      </x:c>
      <x:c r="I335" s="16" t="str">
        <x:v>2019-02-01</x:v>
      </x:c>
      <x:c r="J335" s="16" t="str">
        <x:v>day</x:v>
      </x:c>
      <x:c r="K335" s="16" t="str">
        <x:v>Japan</x:v>
      </x:c>
      <x:c r="L335" s="16" t="n">
        <x:v>54</x:v>
      </x:c>
      <x:c r="M335" s="16" t="n">
        <x:v>15</x:v>
      </x:c>
      <x:c r="N335" s="16" t="n">
        <x:v>0</x:v>
      </x:c>
      <x:c r="O335" s="16" t="n">
        <x:v>69</x:v>
      </x:c>
      <x:c r="P335" s="16" t="n">
        <x:v>69</x:v>
      </x:c>
      <x:c r="Q335" s="16"/>
      <x:c r="R335" s="16"/>
      <x:c r="S335" s="16" t="str"/>
      <x:c r="T335" s="16"/>
      <x:c r="U335" s="16" t="str">
        <x:v>NO — review only</x:v>
      </x:c>
    </x:row>
    <x:row r="336" ht="54" customHeight="1">
      <x:c r="A336" s="16" t="str">
        <x:v>ja-8a5c47e5fb6a</x:v>
      </x:c>
      <x:c r="B336" s="16" t="str">
        <x:v>ja</x:v>
      </x:c>
      <x:c r="C336" s="16" t="str">
        <x:v>Double Blaze</x:v>
      </x:c>
      <x:c r="D336" s="16" t="str">
        <x:v>ダブルブレイズ</x:v>
      </x:c>
      <x:c r="E336" s="16" t="str">
        <x:v>Sun &amp; Moon</x:v>
      </x:c>
      <x:c r="F336" s="16" t="str">
        <x:v>Card set / collection</x:v>
      </x:c>
      <x:c r="G336" s="16" t="str">
        <x:v>SM10</x:v>
      </x:c>
      <x:c r="H336" s="16" t="str">
        <x:v>Japanese set code in source index</x:v>
      </x:c>
      <x:c r="I336" s="16" t="str">
        <x:v>2019-03-01</x:v>
      </x:c>
      <x:c r="J336" s="16" t="str">
        <x:v>day</x:v>
      </x:c>
      <x:c r="K336" s="16" t="str">
        <x:v>Japan</x:v>
      </x:c>
      <x:c r="L336" s="16" t="n">
        <x:v>95</x:v>
      </x:c>
      <x:c r="M336" s="16" t="n">
        <x:v>21</x:v>
      </x:c>
      <x:c r="N336" s="16" t="n">
        <x:v>0</x:v>
      </x:c>
      <x:c r="O336" s="16" t="n">
        <x:v>116</x:v>
      </x:c>
      <x:c r="P336" s="16" t="n">
        <x:v>116</x:v>
      </x:c>
      <x:c r="Q336" s="16"/>
      <x:c r="R336" s="16"/>
      <x:c r="S336" s="16" t="str"/>
      <x:c r="T336" s="16"/>
      <x:c r="U336" s="16" t="str">
        <x:v>NO — review only</x:v>
      </x:c>
    </x:row>
    <x:row r="337" ht="54" customHeight="1">
      <x:c r="A337" s="16" t="str">
        <x:v>ja-c4a139835b63</x:v>
      </x:c>
      <x:c r="B337" s="16" t="str">
        <x:v>ja</x:v>
      </x:c>
      <x:c r="C337" s="16" t="str">
        <x:v>GG End</x:v>
      </x:c>
      <x:c r="D337" s="16" t="str">
        <x:v>ジージーエンド</x:v>
      </x:c>
      <x:c r="E337" s="16" t="str">
        <x:v>Sun &amp; Moon</x:v>
      </x:c>
      <x:c r="F337" s="16" t="str">
        <x:v>Card set / collection</x:v>
      </x:c>
      <x:c r="G337" s="16" t="str">
        <x:v>SM10a</x:v>
      </x:c>
      <x:c r="H337" s="16" t="str">
        <x:v>Japanese set code in source index</x:v>
      </x:c>
      <x:c r="I337" s="16" t="str">
        <x:v>2019-04-05</x:v>
      </x:c>
      <x:c r="J337" s="16" t="str">
        <x:v>day</x:v>
      </x:c>
      <x:c r="K337" s="16" t="str">
        <x:v>Japan</x:v>
      </x:c>
      <x:c r="L337" s="16" t="n">
        <x:v>54</x:v>
      </x:c>
      <x:c r="M337" s="16" t="n">
        <x:v>15</x:v>
      </x:c>
      <x:c r="N337" s="16" t="n">
        <x:v>0</x:v>
      </x:c>
      <x:c r="O337" s="16" t="n">
        <x:v>69</x:v>
      </x:c>
      <x:c r="P337" s="16" t="n">
        <x:v>69</x:v>
      </x:c>
      <x:c r="Q337" s="16"/>
      <x:c r="R337" s="16"/>
      <x:c r="S337" s="16" t="str"/>
      <x:c r="T337" s="16"/>
      <x:c r="U337" s="16" t="str">
        <x:v>NO — review only</x:v>
      </x:c>
    </x:row>
    <x:row r="338" ht="54" customHeight="1">
      <x:c r="A338" s="16" t="str">
        <x:v>ja-30e4f6411a6b</x:v>
      </x:c>
      <x:c r="B338" s="16" t="str">
        <x:v>ja</x:v>
      </x:c>
      <x:c r="C338" s="16" t="str">
        <x:v>Movie Special Pack Great Detective Pikachu</x:v>
      </x:c>
      <x:c r="D338" s="16" t="str">
        <x:v>ムービースペシャルパック 名探偵ピカチュウ</x:v>
      </x:c>
      <x:c r="E338" s="16" t="str">
        <x:v>Sun &amp; Moon</x:v>
      </x:c>
      <x:c r="F338" s="16" t="str">
        <x:v>Card set / collection</x:v>
      </x:c>
      <x:c r="G338" s="16" t="str">
        <x:v>SMP2</x:v>
      </x:c>
      <x:c r="H338" s="16" t="str">
        <x:v>Japanese set code in source index</x:v>
      </x:c>
      <x:c r="I338" s="16" t="str">
        <x:v>2019-04-26</x:v>
      </x:c>
      <x:c r="J338" s="16" t="str">
        <x:v>day</x:v>
      </x:c>
      <x:c r="K338" s="16" t="str">
        <x:v>Japan</x:v>
      </x:c>
      <x:c r="L338" s="16" t="n">
        <x:v>24</x:v>
      </x:c>
      <x:c r="M338" s="16" t="n">
        <x:v>1</x:v>
      </x:c>
      <x:c r="N338" s="16" t="n">
        <x:v>0</x:v>
      </x:c>
      <x:c r="O338" s="16" t="n">
        <x:v>25</x:v>
      </x:c>
      <x:c r="P338" s="16" t="n">
        <x:v>25</x:v>
      </x:c>
      <x:c r="Q338" s="16"/>
      <x:c r="R338" s="16"/>
      <x:c r="S338" s="16" t="str"/>
      <x:c r="T338" s="16"/>
      <x:c r="U338" s="16" t="str">
        <x:v>NO — review only</x:v>
      </x:c>
    </x:row>
    <x:row r="339" ht="54" customHeight="1">
      <x:c r="A339" s="16" t="str">
        <x:v>ja-817e33c42235</x:v>
      </x:c>
      <x:c r="B339" s="16" t="str">
        <x:v>ja</x:v>
      </x:c>
      <x:c r="C339" s="16" t="str">
        <x:v>Sky Legend</x:v>
      </x:c>
      <x:c r="D339" s="16" t="str">
        <x:v>スカイレジェンド</x:v>
      </x:c>
      <x:c r="E339" s="16" t="str">
        <x:v>Sun &amp; Moon</x:v>
      </x:c>
      <x:c r="F339" s="16" t="str">
        <x:v>Card set / collection</x:v>
      </x:c>
      <x:c r="G339" s="16" t="str">
        <x:v>SM10b</x:v>
      </x:c>
      <x:c r="H339" s="16" t="str">
        <x:v>Japanese set code in source index</x:v>
      </x:c>
      <x:c r="I339" s="16" t="str">
        <x:v>2019-04-26</x:v>
      </x:c>
      <x:c r="J339" s="16" t="str">
        <x:v>day</x:v>
      </x:c>
      <x:c r="K339" s="16" t="str">
        <x:v>Japan</x:v>
      </x:c>
      <x:c r="L339" s="16" t="n">
        <x:v>54</x:v>
      </x:c>
      <x:c r="M339" s="16" t="n">
        <x:v>15</x:v>
      </x:c>
      <x:c r="N339" s="16" t="n">
        <x:v>0</x:v>
      </x:c>
      <x:c r="O339" s="16" t="n">
        <x:v>69</x:v>
      </x:c>
      <x:c r="P339" s="16" t="n">
        <x:v>69</x:v>
      </x:c>
      <x:c r="Q339" s="16"/>
      <x:c r="R339" s="16"/>
      <x:c r="S339" s="16" t="str"/>
      <x:c r="T339" s="16"/>
      <x:c r="U339" s="16" t="str">
        <x:v>NO — review only</x:v>
      </x:c>
    </x:row>
    <x:row r="340" ht="54" customHeight="1">
      <x:c r="A340" s="16" t="str">
        <x:v>ja-6c05c1b394e2</x:v>
      </x:c>
      <x:c r="B340" s="16" t="str">
        <x:v>ja</x:v>
      </x:c>
      <x:c r="C340" s="16" t="str">
        <x:v>Miracle Twin</x:v>
      </x:c>
      <x:c r="D340" s="16" t="str">
        <x:v>ミラクルツイン</x:v>
      </x:c>
      <x:c r="E340" s="16" t="str">
        <x:v>Sun &amp; Moon</x:v>
      </x:c>
      <x:c r="F340" s="16" t="str">
        <x:v>Card set / collection</x:v>
      </x:c>
      <x:c r="G340" s="16" t="str">
        <x:v>SM11</x:v>
      </x:c>
      <x:c r="H340" s="16" t="str">
        <x:v>Japanese set code in source index</x:v>
      </x:c>
      <x:c r="I340" s="16" t="str">
        <x:v>2019-05-31</x:v>
      </x:c>
      <x:c r="J340" s="16" t="str">
        <x:v>day</x:v>
      </x:c>
      <x:c r="K340" s="16" t="str">
        <x:v>Japan</x:v>
      </x:c>
      <x:c r="L340" s="16" t="n">
        <x:v>94</x:v>
      </x:c>
      <x:c r="M340" s="16" t="n">
        <x:v>21</x:v>
      </x:c>
      <x:c r="N340" s="16" t="n">
        <x:v>0</x:v>
      </x:c>
      <x:c r="O340" s="16" t="n">
        <x:v>115</x:v>
      </x:c>
      <x:c r="P340" s="16" t="n">
        <x:v>115</x:v>
      </x:c>
      <x:c r="Q340" s="16"/>
      <x:c r="R340" s="16"/>
      <x:c r="S340" s="16" t="str"/>
      <x:c r="T340" s="16"/>
      <x:c r="U340" s="16" t="str">
        <x:v>NO — review only</x:v>
      </x:c>
    </x:row>
    <x:row r="341" ht="54" customHeight="1">
      <x:c r="A341" s="16" t="str">
        <x:v>ja-4567e4111ab9</x:v>
      </x:c>
      <x:c r="B341" s="16" t="str">
        <x:v>ja</x:v>
      </x:c>
      <x:c r="C341" s="16" t="str">
        <x:v>Remix Bout</x:v>
      </x:c>
      <x:c r="D341" s="16" t="str">
        <x:v>リミックスバウト</x:v>
      </x:c>
      <x:c r="E341" s="16" t="str">
        <x:v>Sun &amp; Moon</x:v>
      </x:c>
      <x:c r="F341" s="16" t="str">
        <x:v>Card set / collection</x:v>
      </x:c>
      <x:c r="G341" s="16" t="str">
        <x:v>SM11a</x:v>
      </x:c>
      <x:c r="H341" s="16" t="str">
        <x:v>Japanese set code in source index</x:v>
      </x:c>
      <x:c r="I341" s="16" t="str">
        <x:v>2019-07-05</x:v>
      </x:c>
      <x:c r="J341" s="16" t="str">
        <x:v>day</x:v>
      </x:c>
      <x:c r="K341" s="16" t="str">
        <x:v>Japan</x:v>
      </x:c>
      <x:c r="L341" s="16" t="n">
        <x:v>64</x:v>
      </x:c>
      <x:c r="M341" s="16" t="n">
        <x:v>16</x:v>
      </x:c>
      <x:c r="N341" s="16" t="n">
        <x:v>0</x:v>
      </x:c>
      <x:c r="O341" s="16" t="n">
        <x:v>80</x:v>
      </x:c>
      <x:c r="P341" s="16" t="n">
        <x:v>80</x:v>
      </x:c>
      <x:c r="Q341" s="16"/>
      <x:c r="R341" s="16"/>
      <x:c r="S341" s="16" t="str"/>
      <x:c r="T341" s="16"/>
      <x:c r="U341" s="16" t="str">
        <x:v>NO — review only</x:v>
      </x:c>
    </x:row>
    <x:row r="342" ht="54" customHeight="1">
      <x:c r="A342" s="16" t="str">
        <x:v>ja-b362201ebfc8</x:v>
      </x:c>
      <x:c r="B342" s="16" t="str">
        <x:v>ja</x:v>
      </x:c>
      <x:c r="C342" s="16" t="str">
        <x:v>Dream League</x:v>
      </x:c>
      <x:c r="D342" s="16" t="str">
        <x:v>ドリームリーグ</x:v>
      </x:c>
      <x:c r="E342" s="16" t="str">
        <x:v>Sun &amp; Moon</x:v>
      </x:c>
      <x:c r="F342" s="16" t="str">
        <x:v>Card set / collection</x:v>
      </x:c>
      <x:c r="G342" s="16" t="str">
        <x:v>SM11b</x:v>
      </x:c>
      <x:c r="H342" s="16" t="str">
        <x:v>Japanese set code in source index</x:v>
      </x:c>
      <x:c r="I342" s="16" t="str">
        <x:v>2019-08-02</x:v>
      </x:c>
      <x:c r="J342" s="16" t="str">
        <x:v>day</x:v>
      </x:c>
      <x:c r="K342" s="16" t="str">
        <x:v>Japan</x:v>
      </x:c>
      <x:c r="L342" s="16" t="n">
        <x:v>49</x:v>
      </x:c>
      <x:c r="M342" s="16" t="n">
        <x:v>26</x:v>
      </x:c>
      <x:c r="N342" s="16" t="n">
        <x:v>0</x:v>
      </x:c>
      <x:c r="O342" s="16" t="n">
        <x:v>75</x:v>
      </x:c>
      <x:c r="P342" s="16" t="n">
        <x:v>75</x:v>
      </x:c>
      <x:c r="Q342" s="16"/>
      <x:c r="R342" s="16"/>
      <x:c r="S342" s="16" t="str"/>
      <x:c r="T342" s="16"/>
      <x:c r="U342" s="16" t="str">
        <x:v>NO — review only</x:v>
      </x:c>
    </x:row>
    <x:row r="343" ht="54" customHeight="1">
      <x:c r="A343" s="16" t="str">
        <x:v>ja-360585a4f68e</x:v>
      </x:c>
      <x:c r="B343" s="16" t="str">
        <x:v>ja</x:v>
      </x:c>
      <x:c r="C343" s="16" t="str">
        <x:v>Alter Genesis</x:v>
      </x:c>
      <x:c r="D343" s="16" t="str">
        <x:v>オルタージェネシス</x:v>
      </x:c>
      <x:c r="E343" s="16" t="str">
        <x:v>Sun &amp; Moon</x:v>
      </x:c>
      <x:c r="F343" s="16" t="str">
        <x:v>Card set / collection</x:v>
      </x:c>
      <x:c r="G343" s="16" t="str">
        <x:v>SM12</x:v>
      </x:c>
      <x:c r="H343" s="16" t="str">
        <x:v>Japanese set code in source index</x:v>
      </x:c>
      <x:c r="I343" s="16" t="str">
        <x:v>2019-09-06</x:v>
      </x:c>
      <x:c r="J343" s="16" t="str">
        <x:v>day</x:v>
      </x:c>
      <x:c r="K343" s="16" t="str">
        <x:v>Japan</x:v>
      </x:c>
      <x:c r="L343" s="16" t="n">
        <x:v>95</x:v>
      </x:c>
      <x:c r="M343" s="16" t="n">
        <x:v>22</x:v>
      </x:c>
      <x:c r="N343" s="16" t="n">
        <x:v>0</x:v>
      </x:c>
      <x:c r="O343" s="16" t="n">
        <x:v>117</x:v>
      </x:c>
      <x:c r="P343" s="16" t="n">
        <x:v>117</x:v>
      </x:c>
      <x:c r="Q343" s="16"/>
      <x:c r="R343" s="16"/>
      <x:c r="S343" s="16" t="str"/>
      <x:c r="T343" s="16"/>
      <x:c r="U343" s="16" t="str">
        <x:v>NO — review only</x:v>
      </x:c>
    </x:row>
    <x:row r="344" ht="54" customHeight="1">
      <x:c r="A344" s="16" t="str">
        <x:v>ja-3470002c85af</x:v>
      </x:c>
      <x:c r="B344" s="16" t="str">
        <x:v>ja</x:v>
      </x:c>
      <x:c r="C344" s="16" t="str">
        <x:v>TAG TEAM GX: Tag All Stars</x:v>
      </x:c>
      <x:c r="D344" s="16" t="str">
        <x:v>TAG TEAM GX タッグオールスターズ</x:v>
      </x:c>
      <x:c r="E344" s="16" t="str">
        <x:v>Sun &amp; Moon</x:v>
      </x:c>
      <x:c r="F344" s="16" t="str">
        <x:v>Card set / collection</x:v>
      </x:c>
      <x:c r="G344" s="16" t="str">
        <x:v>SM12a</x:v>
      </x:c>
      <x:c r="H344" s="16" t="str">
        <x:v>Japanese set code in source index</x:v>
      </x:c>
      <x:c r="I344" s="16" t="str">
        <x:v>2019-10-04</x:v>
      </x:c>
      <x:c r="J344" s="16" t="str">
        <x:v>day</x:v>
      </x:c>
      <x:c r="K344" s="16" t="str">
        <x:v>Japan</x:v>
      </x:c>
      <x:c r="L344" s="16" t="n">
        <x:v>173</x:v>
      </x:c>
      <x:c r="M344" s="16" t="n">
        <x:v>53</x:v>
      </x:c>
      <x:c r="N344" s="16" t="n">
        <x:v>0</x:v>
      </x:c>
      <x:c r="O344" s="16" t="n">
        <x:v>226</x:v>
      </x:c>
      <x:c r="P344" s="16" t="n">
        <x:v>226</x:v>
      </x:c>
      <x:c r="Q344" s="16"/>
      <x:c r="R344" s="16"/>
      <x:c r="S344" s="16" t="str"/>
      <x:c r="T344" s="16"/>
      <x:c r="U344" s="16" t="str">
        <x:v>NO — review only</x:v>
      </x:c>
    </x:row>
    <x:row r="345" ht="54" customHeight="1">
      <x:c r="A345" s="16" t="str">
        <x:v>ja-68e24f4b9e33</x:v>
      </x:c>
      <x:c r="B345" s="16" t="str">
        <x:v>ja</x:v>
      </x:c>
      <x:c r="C345" s="16" t="str">
        <x:v>S-P Promotional cards</x:v>
      </x:c>
      <x:c r="D345" s="16" t="str">
        <x:v>S-Pプロモカード</x:v>
      </x:c>
      <x:c r="E345" s="16" t="str">
        <x:v>Sword &amp; Shield</x:v>
      </x:c>
      <x:c r="F345" s="16" t="str">
        <x:v>Promo catalogue</x:v>
      </x:c>
      <x:c r="G345" s="16" t="str">
        <x:v>S-P</x:v>
      </x:c>
      <x:c r="H345" s="16" t="str">
        <x:v>Promotional numbering prefix</x:v>
      </x:c>
      <x:c r="I345" s="16" t="str">
        <x:v>2019-11</x:v>
      </x:c>
      <x:c r="J345" s="16" t="str">
        <x:v>month</x:v>
      </x:c>
      <x:c r="K345" s="16" t="str">
        <x:v>Japan</x:v>
      </x:c>
      <x:c r="L345" s="16" t="n">
        <x:v>350</x:v>
      </x:c>
      <x:c r="M345" s="16" t="n">
        <x:v>24</x:v>
      </x:c>
      <x:c r="N345" s="16" t="n">
        <x:v>0</x:v>
      </x:c>
      <x:c r="O345" s="16" t="n">
        <x:v>374</x:v>
      </x:c>
      <x:c r="P345" s="16" t="n">
        <x:v>374</x:v>
      </x:c>
      <x:c r="Q345" s="16"/>
      <x:c r="R345" s="16"/>
      <x:c r="S345" s="16" t="str"/>
      <x:c r="T345" s="16" t="str">
        <x:v>https://bulbapedia.bulbagarden.net/wiki/S-P</x:v>
      </x:c>
      <x:c r="U345" s="16" t="str">
        <x:v>NO — review only</x:v>
      </x:c>
    </x:row>
    <x:row r="346" ht="54" customHeight="1">
      <x:c r="A346" s="16" t="str">
        <x:v>ja-9a9a258e145f</x:v>
      </x:c>
      <x:c r="B346" s="16" t="str">
        <x:v>ja</x:v>
      </x:c>
      <x:c r="C346" s="16" t="str">
        <x:v>Shield</x:v>
      </x:c>
      <x:c r="D346" s="16" t="str">
        <x:v>シールド</x:v>
      </x:c>
      <x:c r="E346" s="16" t="str">
        <x:v>Sword &amp; Shield</x:v>
      </x:c>
      <x:c r="F346" s="16" t="str">
        <x:v>Card set / collection</x:v>
      </x:c>
      <x:c r="G346" s="16" t="str">
        <x:v>S1H</x:v>
      </x:c>
      <x:c r="H346" s="16" t="str">
        <x:v>Japanese set code in source index</x:v>
      </x:c>
      <x:c r="I346" s="16" t="str">
        <x:v>2019-12-06</x:v>
      </x:c>
      <x:c r="J346" s="16" t="str">
        <x:v>day</x:v>
      </x:c>
      <x:c r="K346" s="16" t="str">
        <x:v>Japan</x:v>
      </x:c>
      <x:c r="L346" s="16" t="n">
        <x:v>60</x:v>
      </x:c>
      <x:c r="M346" s="16" t="n">
        <x:v>15</x:v>
      </x:c>
      <x:c r="N346" s="16" t="n">
        <x:v>0</x:v>
      </x:c>
      <x:c r="O346" s="16" t="n">
        <x:v>75</x:v>
      </x:c>
      <x:c r="P346" s="16" t="n">
        <x:v>75</x:v>
      </x:c>
      <x:c r="Q346" s="16"/>
      <x:c r="R346" s="16"/>
      <x:c r="S346" s="16" t="str"/>
      <x:c r="T346" s="16"/>
      <x:c r="U346" s="16" t="str">
        <x:v>NO — review only</x:v>
      </x:c>
    </x:row>
    <x:row r="347" ht="54" customHeight="1">
      <x:c r="A347" s="16" t="str">
        <x:v>ja-6ca3924b3841</x:v>
      </x:c>
      <x:c r="B347" s="16" t="str">
        <x:v>ja</x:v>
      </x:c>
      <x:c r="C347" s="16" t="str">
        <x:v>Sword</x:v>
      </x:c>
      <x:c r="D347" s="16" t="str">
        <x:v>ソード</x:v>
      </x:c>
      <x:c r="E347" s="16" t="str">
        <x:v>Sword &amp; Shield</x:v>
      </x:c>
      <x:c r="F347" s="16" t="str">
        <x:v>Card set / collection</x:v>
      </x:c>
      <x:c r="G347" s="16" t="str">
        <x:v>S1W</x:v>
      </x:c>
      <x:c r="H347" s="16" t="str">
        <x:v>Japanese set code in source index</x:v>
      </x:c>
      <x:c r="I347" s="16" t="str">
        <x:v>2019-12-06</x:v>
      </x:c>
      <x:c r="J347" s="16" t="str">
        <x:v>day</x:v>
      </x:c>
      <x:c r="K347" s="16" t="str">
        <x:v>Japan</x:v>
      </x:c>
      <x:c r="L347" s="16" t="n">
        <x:v>60</x:v>
      </x:c>
      <x:c r="M347" s="16" t="n">
        <x:v>15</x:v>
      </x:c>
      <x:c r="N347" s="16" t="n">
        <x:v>0</x:v>
      </x:c>
      <x:c r="O347" s="16" t="n">
        <x:v>75</x:v>
      </x:c>
      <x:c r="P347" s="16" t="n">
        <x:v>75</x:v>
      </x:c>
      <x:c r="Q347" s="16"/>
      <x:c r="R347" s="16"/>
      <x:c r="S347" s="16" t="str"/>
      <x:c r="T347" s="16"/>
      <x:c r="U347" s="16" t="str">
        <x:v>NO — review only</x:v>
      </x:c>
    </x:row>
    <x:row r="348" ht="54" customHeight="1">
      <x:c r="A348" s="16" t="str">
        <x:v>ja-41bc1f260fcc</x:v>
      </x:c>
      <x:c r="B348" s="16" t="str">
        <x:v>ja</x:v>
      </x:c>
      <x:c r="C348" s="16" t="str">
        <x:v>VMAX Rising</x:v>
      </x:c>
      <x:c r="D348" s="16" t="str">
        <x:v>VMAXライジング</x:v>
      </x:c>
      <x:c r="E348" s="16" t="str">
        <x:v>Sword &amp; Shield</x:v>
      </x:c>
      <x:c r="F348" s="16" t="str">
        <x:v>Card set / collection</x:v>
      </x:c>
      <x:c r="G348" s="16" t="str">
        <x:v>S1a</x:v>
      </x:c>
      <x:c r="H348" s="16" t="str">
        <x:v>Japanese set code in source index</x:v>
      </x:c>
      <x:c r="I348" s="16" t="str">
        <x:v>2020-02-07</x:v>
      </x:c>
      <x:c r="J348" s="16" t="str">
        <x:v>day</x:v>
      </x:c>
      <x:c r="K348" s="16" t="str">
        <x:v>Japan</x:v>
      </x:c>
      <x:c r="L348" s="16" t="n">
        <x:v>70</x:v>
      </x:c>
      <x:c r="M348" s="16" t="n">
        <x:v>16</x:v>
      </x:c>
      <x:c r="N348" s="16" t="n">
        <x:v>0</x:v>
      </x:c>
      <x:c r="O348" s="16" t="n">
        <x:v>86</x:v>
      </x:c>
      <x:c r="P348" s="16" t="n">
        <x:v>86</x:v>
      </x:c>
      <x:c r="Q348" s="16"/>
      <x:c r="R348" s="16"/>
      <x:c r="S348" s="16" t="str"/>
      <x:c r="T348" s="16"/>
      <x:c r="U348" s="16" t="str">
        <x:v>NO — review only</x:v>
      </x:c>
    </x:row>
    <x:row r="349" ht="54" customHeight="1">
      <x:c r="A349" s="16" t="str">
        <x:v>ja-4b1b5f2dbf56</x:v>
      </x:c>
      <x:c r="B349" s="16" t="str">
        <x:v>ja</x:v>
      </x:c>
      <x:c r="C349" s="16" t="str">
        <x:v>Rebellion Crash</x:v>
      </x:c>
      <x:c r="D349" s="16" t="str">
        <x:v>反逆クラッシュ</x:v>
      </x:c>
      <x:c r="E349" s="16" t="str">
        <x:v>Sword &amp; Shield</x:v>
      </x:c>
      <x:c r="F349" s="16" t="str">
        <x:v>Card set / collection</x:v>
      </x:c>
      <x:c r="G349" s="16" t="str">
        <x:v>S2</x:v>
      </x:c>
      <x:c r="H349" s="16" t="str">
        <x:v>Japanese set code in source index</x:v>
      </x:c>
      <x:c r="I349" s="16" t="str">
        <x:v>2020-03-06</x:v>
      </x:c>
      <x:c r="J349" s="16" t="str">
        <x:v>day</x:v>
      </x:c>
      <x:c r="K349" s="16" t="str">
        <x:v>Japan</x:v>
      </x:c>
      <x:c r="L349" s="16" t="n">
        <x:v>96</x:v>
      </x:c>
      <x:c r="M349" s="16" t="n">
        <x:v>19</x:v>
      </x:c>
      <x:c r="N349" s="16" t="n">
        <x:v>0</x:v>
      </x:c>
      <x:c r="O349" s="16" t="n">
        <x:v>115</x:v>
      </x:c>
      <x:c r="P349" s="16" t="n">
        <x:v>115</x:v>
      </x:c>
      <x:c r="Q349" s="16"/>
      <x:c r="R349" s="16"/>
      <x:c r="S349" s="16" t="str"/>
      <x:c r="T349" s="16"/>
      <x:c r="U349" s="16" t="str">
        <x:v>NO — review only</x:v>
      </x:c>
    </x:row>
    <x:row r="350" ht="54" customHeight="1">
      <x:c r="A350" s="16" t="str">
        <x:v>ja-bc61668ecd97</x:v>
      </x:c>
      <x:c r="B350" s="16" t="str">
        <x:v>ja</x:v>
      </x:c>
      <x:c r="C350" s="16" t="str">
        <x:v>Explosive Walker</x:v>
      </x:c>
      <x:c r="D350" s="16" t="str">
        <x:v>爆炎ウォーカー</x:v>
      </x:c>
      <x:c r="E350" s="16" t="str">
        <x:v>Sword &amp; Shield</x:v>
      </x:c>
      <x:c r="F350" s="16" t="str">
        <x:v>Card set / collection</x:v>
      </x:c>
      <x:c r="G350" s="16" t="str">
        <x:v>S2a</x:v>
      </x:c>
      <x:c r="H350" s="16" t="str">
        <x:v>Japanese set code in source index</x:v>
      </x:c>
      <x:c r="I350" s="16" t="str">
        <x:v>2020-04-24</x:v>
      </x:c>
      <x:c r="J350" s="16" t="str">
        <x:v>day</x:v>
      </x:c>
      <x:c r="K350" s="16" t="str">
        <x:v>Japan</x:v>
      </x:c>
      <x:c r="L350" s="16" t="n">
        <x:v>70</x:v>
      </x:c>
      <x:c r="M350" s="16" t="n">
        <x:v>16</x:v>
      </x:c>
      <x:c r="N350" s="16" t="n">
        <x:v>0</x:v>
      </x:c>
      <x:c r="O350" s="16" t="n">
        <x:v>86</x:v>
      </x:c>
      <x:c r="P350" s="16" t="n">
        <x:v>86</x:v>
      </x:c>
      <x:c r="Q350" s="16"/>
      <x:c r="R350" s="16"/>
      <x:c r="S350" s="16" t="str"/>
      <x:c r="T350" s="16"/>
      <x:c r="U350" s="16" t="str">
        <x:v>NO — review only</x:v>
      </x:c>
    </x:row>
    <x:row r="351" ht="54" customHeight="1">
      <x:c r="A351" s="16" t="str">
        <x:v>ja-fe67deb06caa</x:v>
      </x:c>
      <x:c r="B351" s="16" t="str">
        <x:v>ja</x:v>
      </x:c>
      <x:c r="C351" s="16" t="str">
        <x:v>Infinity Zone</x:v>
      </x:c>
      <x:c r="D351" s="16" t="str">
        <x:v>ムゲンゾーン</x:v>
      </x:c>
      <x:c r="E351" s="16" t="str">
        <x:v>Sword &amp; Shield</x:v>
      </x:c>
      <x:c r="F351" s="16" t="str">
        <x:v>Card set / collection</x:v>
      </x:c>
      <x:c r="G351" s="16" t="str">
        <x:v>S3</x:v>
      </x:c>
      <x:c r="H351" s="16" t="str">
        <x:v>Japanese set code in source index</x:v>
      </x:c>
      <x:c r="I351" s="16" t="str">
        <x:v>2020-06-05</x:v>
      </x:c>
      <x:c r="J351" s="16" t="str">
        <x:v>day</x:v>
      </x:c>
      <x:c r="K351" s="16" t="str">
        <x:v>Japan</x:v>
      </x:c>
      <x:c r="L351" s="16" t="n">
        <x:v>100</x:v>
      </x:c>
      <x:c r="M351" s="16" t="n">
        <x:v>19</x:v>
      </x:c>
      <x:c r="N351" s="16" t="n">
        <x:v>0</x:v>
      </x:c>
      <x:c r="O351" s="16" t="n">
        <x:v>119</x:v>
      </x:c>
      <x:c r="P351" s="16" t="n">
        <x:v>119</x:v>
      </x:c>
      <x:c r="Q351" s="16"/>
      <x:c r="R351" s="16"/>
      <x:c r="S351" s="16" t="str"/>
      <x:c r="T351" s="16"/>
      <x:c r="U351" s="16" t="str">
        <x:v>NO — review only</x:v>
      </x:c>
    </x:row>
    <x:row r="352" ht="54" customHeight="1">
      <x:c r="A352" s="16" t="str">
        <x:v>ja-5dec0101b162</x:v>
      </x:c>
      <x:c r="B352" s="16" t="str">
        <x:v>ja</x:v>
      </x:c>
      <x:c r="C352" s="16" t="str">
        <x:v>Legendary Heartbeat</x:v>
      </x:c>
      <x:c r="D352" s="16" t="str">
        <x:v>伝説の鼓動</x:v>
      </x:c>
      <x:c r="E352" s="16" t="str">
        <x:v>Sword &amp; Shield</x:v>
      </x:c>
      <x:c r="F352" s="16" t="str">
        <x:v>Card set / collection</x:v>
      </x:c>
      <x:c r="G352" s="16" t="str">
        <x:v>S3a</x:v>
      </x:c>
      <x:c r="H352" s="16" t="str">
        <x:v>Japanese set code in source index</x:v>
      </x:c>
      <x:c r="I352" s="16" t="str">
        <x:v>2020-07-10</x:v>
      </x:c>
      <x:c r="J352" s="16" t="str">
        <x:v>day</x:v>
      </x:c>
      <x:c r="K352" s="16" t="str">
        <x:v>Japan</x:v>
      </x:c>
      <x:c r="L352" s="16" t="n">
        <x:v>76</x:v>
      </x:c>
      <x:c r="M352" s="16" t="n">
        <x:v>18</x:v>
      </x:c>
      <x:c r="N352" s="16" t="n">
        <x:v>0</x:v>
      </x:c>
      <x:c r="O352" s="16" t="n">
        <x:v>94</x:v>
      </x:c>
      <x:c r="P352" s="16" t="n">
        <x:v>94</x:v>
      </x:c>
      <x:c r="Q352" s="16"/>
      <x:c r="R352" s="16"/>
      <x:c r="S352" s="16" t="str"/>
      <x:c r="T352" s="16"/>
      <x:c r="U352" s="16" t="str">
        <x:v>NO — review only</x:v>
      </x:c>
    </x:row>
    <x:row r="353" ht="54" customHeight="1">
      <x:c r="A353" s="16" t="str">
        <x:v>ja-d6983c9293ae</x:v>
      </x:c>
      <x:c r="B353" s="16" t="str">
        <x:v>ja</x:v>
      </x:c>
      <x:c r="C353" s="16" t="str">
        <x:v>Amazing Volt Tackle</x:v>
      </x:c>
      <x:c r="D353" s="16" t="str">
        <x:v>仰天のボルテッカー</x:v>
      </x:c>
      <x:c r="E353" s="16" t="str">
        <x:v>Sword &amp; Shield</x:v>
      </x:c>
      <x:c r="F353" s="16" t="str">
        <x:v>Card set / collection</x:v>
      </x:c>
      <x:c r="G353" s="16" t="str">
        <x:v>S4</x:v>
      </x:c>
      <x:c r="H353" s="16" t="str">
        <x:v>Japanese set code in source index</x:v>
      </x:c>
      <x:c r="I353" s="16" t="str">
        <x:v>2020-09-18</x:v>
      </x:c>
      <x:c r="J353" s="16" t="str">
        <x:v>day</x:v>
      </x:c>
      <x:c r="K353" s="16" t="str">
        <x:v>Japan</x:v>
      </x:c>
      <x:c r="L353" s="16" t="n">
        <x:v>100</x:v>
      </x:c>
      <x:c r="M353" s="16" t="n">
        <x:v>21</x:v>
      </x:c>
      <x:c r="N353" s="16" t="n">
        <x:v>0</x:v>
      </x:c>
      <x:c r="O353" s="16" t="n">
        <x:v>121</x:v>
      </x:c>
      <x:c r="P353" s="16" t="n">
        <x:v>121</x:v>
      </x:c>
      <x:c r="Q353" s="16"/>
      <x:c r="R353" s="16"/>
      <x:c r="S353" s="16" t="str"/>
      <x:c r="T353" s="16"/>
      <x:c r="U353" s="16" t="str">
        <x:v>NO — review only</x:v>
      </x:c>
    </x:row>
    <x:row r="354" ht="54" customHeight="1">
      <x:c r="A354" s="16" t="str">
        <x:v>ja-5c76d8bbd31d</x:v>
      </x:c>
      <x:c r="B354" s="16" t="str">
        <x:v>ja</x:v>
      </x:c>
      <x:c r="C354" s="16" t="str">
        <x:v>Shiny Star V</x:v>
      </x:c>
      <x:c r="D354" s="16" t="str">
        <x:v>シャイニースターV</x:v>
      </x:c>
      <x:c r="E354" s="16" t="str">
        <x:v>Sword &amp; Shield</x:v>
      </x:c>
      <x:c r="F354" s="16" t="str">
        <x:v>Card set / collection</x:v>
      </x:c>
      <x:c r="G354" s="16" t="str">
        <x:v>S4a</x:v>
      </x:c>
      <x:c r="H354" s="16" t="str">
        <x:v>Japanese set code in source index</x:v>
      </x:c>
      <x:c r="I354" s="16" t="str">
        <x:v>2020-11-20</x:v>
      </x:c>
      <x:c r="J354" s="16" t="str">
        <x:v>day</x:v>
      </x:c>
      <x:c r="K354" s="16" t="str">
        <x:v>Japan</x:v>
      </x:c>
      <x:c r="L354" s="16" t="n">
        <x:v>190</x:v>
      </x:c>
      <x:c r="M354" s="16" t="n">
        <x:v>140</x:v>
      </x:c>
      <x:c r="N354" s="16" t="n">
        <x:v>0</x:v>
      </x:c>
      <x:c r="O354" s="16" t="n">
        <x:v>330</x:v>
      </x:c>
      <x:c r="P354" s="16" t="n">
        <x:v>330</x:v>
      </x:c>
      <x:c r="Q354" s="16"/>
      <x:c r="R354" s="16"/>
      <x:c r="S354" s="16" t="str"/>
      <x:c r="T354" s="16"/>
      <x:c r="U354" s="16" t="str">
        <x:v>NO — review only</x:v>
      </x:c>
    </x:row>
    <x:row r="355" ht="54" customHeight="1">
      <x:c r="A355" s="16" t="str">
        <x:v>ja-ad7c897babc2</x:v>
      </x:c>
      <x:c r="B355" s="16" t="str">
        <x:v>ja</x:v>
      </x:c>
      <x:c r="C355" s="16" t="str">
        <x:v>Rapid Strike Master</x:v>
      </x:c>
      <x:c r="D355" s="16" t="str">
        <x:v>連撃マスター</x:v>
      </x:c>
      <x:c r="E355" s="16" t="str">
        <x:v>Sword &amp; Shield</x:v>
      </x:c>
      <x:c r="F355" s="16" t="str">
        <x:v>Card set / collection</x:v>
      </x:c>
      <x:c r="G355" s="16" t="str">
        <x:v>S5R</x:v>
      </x:c>
      <x:c r="H355" s="16" t="str">
        <x:v>Japanese set code in source index</x:v>
      </x:c>
      <x:c r="I355" s="16" t="str">
        <x:v>2021-01-22</x:v>
      </x:c>
      <x:c r="J355" s="16" t="str">
        <x:v>day</x:v>
      </x:c>
      <x:c r="K355" s="16" t="str">
        <x:v>Japan</x:v>
      </x:c>
      <x:c r="L355" s="16" t="n">
        <x:v>70</x:v>
      </x:c>
      <x:c r="M355" s="16" t="n">
        <x:v>21</x:v>
      </x:c>
      <x:c r="N355" s="16" t="n">
        <x:v>0</x:v>
      </x:c>
      <x:c r="O355" s="16" t="n">
        <x:v>91</x:v>
      </x:c>
      <x:c r="P355" s="16" t="n">
        <x:v>91</x:v>
      </x:c>
      <x:c r="Q355" s="16"/>
      <x:c r="R355" s="16"/>
      <x:c r="S355" s="16" t="str"/>
      <x:c r="T355" s="16"/>
      <x:c r="U355" s="16" t="str">
        <x:v>NO — review only</x:v>
      </x:c>
    </x:row>
    <x:row r="356" ht="54" customHeight="1">
      <x:c r="A356" s="16" t="str">
        <x:v>ja-2b362d2b173a</x:v>
      </x:c>
      <x:c r="B356" s="16" t="str">
        <x:v>ja</x:v>
      </x:c>
      <x:c r="C356" s="16" t="str">
        <x:v>Single Strike Master</x:v>
      </x:c>
      <x:c r="D356" s="16" t="str">
        <x:v>一撃マスター</x:v>
      </x:c>
      <x:c r="E356" s="16" t="str">
        <x:v>Sword &amp; Shield</x:v>
      </x:c>
      <x:c r="F356" s="16" t="str">
        <x:v>Card set / collection</x:v>
      </x:c>
      <x:c r="G356" s="16" t="str">
        <x:v>S5I</x:v>
      </x:c>
      <x:c r="H356" s="16" t="str">
        <x:v>Japanese set code in source index</x:v>
      </x:c>
      <x:c r="I356" s="16" t="str">
        <x:v>2021-01-22</x:v>
      </x:c>
      <x:c r="J356" s="16" t="str">
        <x:v>day</x:v>
      </x:c>
      <x:c r="K356" s="16" t="str">
        <x:v>Japan</x:v>
      </x:c>
      <x:c r="L356" s="16" t="n">
        <x:v>70</x:v>
      </x:c>
      <x:c r="M356" s="16" t="n">
        <x:v>21</x:v>
      </x:c>
      <x:c r="N356" s="16" t="n">
        <x:v>0</x:v>
      </x:c>
      <x:c r="O356" s="16" t="n">
        <x:v>91</x:v>
      </x:c>
      <x:c r="P356" s="16" t="n">
        <x:v>91</x:v>
      </x:c>
      <x:c r="Q356" s="16"/>
      <x:c r="R356" s="16"/>
      <x:c r="S356" s="16" t="str"/>
      <x:c r="T356" s="16"/>
      <x:c r="U356" s="16" t="str">
        <x:v>NO — review only</x:v>
      </x:c>
    </x:row>
    <x:row r="357" ht="54" customHeight="1">
      <x:c r="A357" s="16" t="str">
        <x:v>ja-828974f65bfc</x:v>
      </x:c>
      <x:c r="B357" s="16" t="str">
        <x:v>ja</x:v>
      </x:c>
      <x:c r="C357" s="16" t="str">
        <x:v>Peerless Fighters</x:v>
      </x:c>
      <x:c r="D357" s="16" t="str">
        <x:v>双璧のファイター</x:v>
      </x:c>
      <x:c r="E357" s="16" t="str">
        <x:v>Sword &amp; Shield</x:v>
      </x:c>
      <x:c r="F357" s="16" t="str">
        <x:v>Card set / collection</x:v>
      </x:c>
      <x:c r="G357" s="16" t="str">
        <x:v>S5a</x:v>
      </x:c>
      <x:c r="H357" s="16" t="str">
        <x:v>Japanese set code in source index</x:v>
      </x:c>
      <x:c r="I357" s="16" t="str">
        <x:v>2021-03-19</x:v>
      </x:c>
      <x:c r="J357" s="16" t="str">
        <x:v>day</x:v>
      </x:c>
      <x:c r="K357" s="16" t="str">
        <x:v>Japan</x:v>
      </x:c>
      <x:c r="L357" s="16" t="n">
        <x:v>70</x:v>
      </x:c>
      <x:c r="M357" s="16" t="n">
        <x:v>26</x:v>
      </x:c>
      <x:c r="N357" s="16" t="n">
        <x:v>0</x:v>
      </x:c>
      <x:c r="O357" s="16" t="n">
        <x:v>96</x:v>
      </x:c>
      <x:c r="P357" s="16" t="n">
        <x:v>96</x:v>
      </x:c>
      <x:c r="Q357" s="16"/>
      <x:c r="R357" s="16"/>
      <x:c r="S357" s="16"/>
      <x:c r="T357" s="16"/>
      <x:c r="U357" s="16" t="str">
        <x:v>NO — review only</x:v>
      </x:c>
    </x:row>
    <x:row r="358" ht="54" customHeight="1">
      <x:c r="A358" s="16" t="str">
        <x:v>ja-1dc54d0d52c9</x:v>
      </x:c>
      <x:c r="B358" s="16" t="str">
        <x:v>ja</x:v>
      </x:c>
      <x:c r="C358" s="16" t="str">
        <x:v>Jet-Black Spirit</x:v>
      </x:c>
      <x:c r="D358" s="16" t="str">
        <x:v>漆黒のガイスト</x:v>
      </x:c>
      <x:c r="E358" s="16" t="str">
        <x:v>Sword &amp; Shield</x:v>
      </x:c>
      <x:c r="F358" s="16" t="str">
        <x:v>Card set / collection</x:v>
      </x:c>
      <x:c r="G358" s="16" t="str">
        <x:v>S6K</x:v>
      </x:c>
      <x:c r="H358" s="16" t="str">
        <x:v>Japanese set code in source index</x:v>
      </x:c>
      <x:c r="I358" s="16" t="str">
        <x:v>2021-04-23</x:v>
      </x:c>
      <x:c r="J358" s="16" t="str">
        <x:v>day</x:v>
      </x:c>
      <x:c r="K358" s="16" t="str">
        <x:v>Japan</x:v>
      </x:c>
      <x:c r="L358" s="16" t="n">
        <x:v>70</x:v>
      </x:c>
      <x:c r="M358" s="16" t="n">
        <x:v>25</x:v>
      </x:c>
      <x:c r="N358" s="16" t="n">
        <x:v>0</x:v>
      </x:c>
      <x:c r="O358" s="16" t="n">
        <x:v>95</x:v>
      </x:c>
      <x:c r="P358" s="16" t="n">
        <x:v>95</x:v>
      </x:c>
      <x:c r="Q358" s="16"/>
      <x:c r="R358" s="16"/>
      <x:c r="S358" s="16" t="str"/>
      <x:c r="T358" s="16"/>
      <x:c r="U358" s="16" t="str">
        <x:v>NO — review only</x:v>
      </x:c>
    </x:row>
    <x:row r="359" ht="54" customHeight="1">
      <x:c r="A359" s="16" t="str">
        <x:v>ja-c54e31e73b73</x:v>
      </x:c>
      <x:c r="B359" s="16" t="str">
        <x:v>ja</x:v>
      </x:c>
      <x:c r="C359" s="16" t="str">
        <x:v>Silver Lance</x:v>
      </x:c>
      <x:c r="D359" s="16" t="str">
        <x:v>白銀のランス</x:v>
      </x:c>
      <x:c r="E359" s="16" t="str">
        <x:v>Sword &amp; Shield</x:v>
      </x:c>
      <x:c r="F359" s="16" t="str">
        <x:v>Card set / collection</x:v>
      </x:c>
      <x:c r="G359" s="16" t="str">
        <x:v>S6H</x:v>
      </x:c>
      <x:c r="H359" s="16" t="str">
        <x:v>Japanese set code in source index</x:v>
      </x:c>
      <x:c r="I359" s="16" t="str">
        <x:v>2021-04-23</x:v>
      </x:c>
      <x:c r="J359" s="16" t="str">
        <x:v>day</x:v>
      </x:c>
      <x:c r="K359" s="16" t="str">
        <x:v>Japan</x:v>
      </x:c>
      <x:c r="L359" s="16" t="n">
        <x:v>70</x:v>
      </x:c>
      <x:c r="M359" s="16" t="n">
        <x:v>25</x:v>
      </x:c>
      <x:c r="N359" s="16" t="n">
        <x:v>0</x:v>
      </x:c>
      <x:c r="O359" s="16" t="n">
        <x:v>95</x:v>
      </x:c>
      <x:c r="P359" s="16" t="n">
        <x:v>95</x:v>
      </x:c>
      <x:c r="Q359" s="16"/>
      <x:c r="R359" s="16"/>
      <x:c r="S359" s="16" t="str"/>
      <x:c r="T359" s="16"/>
      <x:c r="U359" s="16" t="str">
        <x:v>NO — review only</x:v>
      </x:c>
    </x:row>
    <x:row r="360" ht="54" customHeight="1">
      <x:c r="A360" s="16" t="str">
        <x:v>ja-9ff3481acdf9</x:v>
      </x:c>
      <x:c r="B360" s="16" t="str">
        <x:v>ja</x:v>
      </x:c>
      <x:c r="C360" s="16" t="str">
        <x:v>Eevee Heroes</x:v>
      </x:c>
      <x:c r="D360" s="16" t="str">
        <x:v>イーブイヒーローズ</x:v>
      </x:c>
      <x:c r="E360" s="16" t="str">
        <x:v>Sword &amp; Shield</x:v>
      </x:c>
      <x:c r="F360" s="16" t="str">
        <x:v>Card set / collection</x:v>
      </x:c>
      <x:c r="G360" s="16" t="str">
        <x:v>S6a</x:v>
      </x:c>
      <x:c r="H360" s="16" t="str">
        <x:v>Japanese set code in source index</x:v>
      </x:c>
      <x:c r="I360" s="16" t="str">
        <x:v>2021-05-28</x:v>
      </x:c>
      <x:c r="J360" s="16" t="str">
        <x:v>day</x:v>
      </x:c>
      <x:c r="K360" s="16" t="str">
        <x:v>Japan</x:v>
      </x:c>
      <x:c r="L360" s="16" t="n">
        <x:v>69</x:v>
      </x:c>
      <x:c r="M360" s="16" t="n">
        <x:v>32</x:v>
      </x:c>
      <x:c r="N360" s="16" t="n">
        <x:v>0</x:v>
      </x:c>
      <x:c r="O360" s="16" t="n">
        <x:v>101</x:v>
      </x:c>
      <x:c r="P360" s="16" t="n">
        <x:v>101</x:v>
      </x:c>
      <x:c r="Q360" s="16"/>
      <x:c r="R360" s="16"/>
      <x:c r="S360" s="16" t="str"/>
      <x:c r="T360" s="16"/>
      <x:c r="U360" s="16" t="str">
        <x:v>NO — review only</x:v>
      </x:c>
    </x:row>
    <x:row r="361" ht="54" customHeight="1">
      <x:c r="A361" s="16" t="str">
        <x:v>ja-2a45df0b3090</x:v>
      </x:c>
      <x:c r="B361" s="16" t="str">
        <x:v>ja</x:v>
      </x:c>
      <x:c r="C361" s="16" t="str">
        <x:v>Blue Sky Stream</x:v>
      </x:c>
      <x:c r="D361" s="16" t="str">
        <x:v>蒼空ストリーム</x:v>
      </x:c>
      <x:c r="E361" s="16" t="str">
        <x:v>Sword &amp; Shield</x:v>
      </x:c>
      <x:c r="F361" s="16" t="str">
        <x:v>Card set / collection</x:v>
      </x:c>
      <x:c r="G361" s="16" t="str">
        <x:v>S7R</x:v>
      </x:c>
      <x:c r="H361" s="16" t="str">
        <x:v>Japanese set code in source index</x:v>
      </x:c>
      <x:c r="I361" s="16" t="str">
        <x:v>2021-07-09</x:v>
      </x:c>
      <x:c r="J361" s="16" t="str">
        <x:v>day</x:v>
      </x:c>
      <x:c r="K361" s="16" t="str">
        <x:v>Japan</x:v>
      </x:c>
      <x:c r="L361" s="16" t="n">
        <x:v>67</x:v>
      </x:c>
      <x:c r="M361" s="16" t="n">
        <x:v>23</x:v>
      </x:c>
      <x:c r="N361" s="16" t="n">
        <x:v>0</x:v>
      </x:c>
      <x:c r="O361" s="16" t="n">
        <x:v>90</x:v>
      </x:c>
      <x:c r="P361" s="16" t="n">
        <x:v>90</x:v>
      </x:c>
      <x:c r="Q361" s="16"/>
      <x:c r="R361" s="16"/>
      <x:c r="S361" s="16" t="str"/>
      <x:c r="T361" s="16"/>
      <x:c r="U361" s="16" t="str">
        <x:v>NO — review only</x:v>
      </x:c>
    </x:row>
    <x:row r="362" ht="54" customHeight="1">
      <x:c r="A362" s="16" t="str">
        <x:v>ja-419a40449874</x:v>
      </x:c>
      <x:c r="B362" s="16" t="str">
        <x:v>ja</x:v>
      </x:c>
      <x:c r="C362" s="16" t="str">
        <x:v>Skyscraping Perfection</x:v>
      </x:c>
      <x:c r="D362" s="16" t="str">
        <x:v>摩天パーフェクト</x:v>
      </x:c>
      <x:c r="E362" s="16" t="str">
        <x:v>Sword &amp; Shield</x:v>
      </x:c>
      <x:c r="F362" s="16" t="str">
        <x:v>Card set / collection</x:v>
      </x:c>
      <x:c r="G362" s="16" t="str">
        <x:v>S7D</x:v>
      </x:c>
      <x:c r="H362" s="16" t="str">
        <x:v>Japanese set code in source index</x:v>
      </x:c>
      <x:c r="I362" s="16" t="str">
        <x:v>2021-07-09</x:v>
      </x:c>
      <x:c r="J362" s="16" t="str">
        <x:v>day</x:v>
      </x:c>
      <x:c r="K362" s="16" t="str">
        <x:v>Japan</x:v>
      </x:c>
      <x:c r="L362" s="16" t="n">
        <x:v>67</x:v>
      </x:c>
      <x:c r="M362" s="16" t="n">
        <x:v>23</x:v>
      </x:c>
      <x:c r="N362" s="16" t="n">
        <x:v>0</x:v>
      </x:c>
      <x:c r="O362" s="16" t="n">
        <x:v>90</x:v>
      </x:c>
      <x:c r="P362" s="16" t="n">
        <x:v>90</x:v>
      </x:c>
      <x:c r="Q362" s="16"/>
      <x:c r="R362" s="16"/>
      <x:c r="S362" s="16" t="str"/>
      <x:c r="T362" s="16"/>
      <x:c r="U362" s="16" t="str">
        <x:v>NO — review only</x:v>
      </x:c>
    </x:row>
    <x:row r="363" ht="54" customHeight="1">
      <x:c r="A363" s="16" t="str">
        <x:v>ja-d02fca79b23e</x:v>
      </x:c>
      <x:c r="B363" s="16" t="str">
        <x:v>ja</x:v>
      </x:c>
      <x:c r="C363" s="16" t="str">
        <x:v>Fusion Arts</x:v>
      </x:c>
      <x:c r="D363" s="16" t="str">
        <x:v>フュージョンアーツ</x:v>
      </x:c>
      <x:c r="E363" s="16" t="str">
        <x:v>Sword &amp; Shield</x:v>
      </x:c>
      <x:c r="F363" s="16" t="str">
        <x:v>Card set / collection</x:v>
      </x:c>
      <x:c r="G363" s="16" t="str">
        <x:v>S8</x:v>
      </x:c>
      <x:c r="H363" s="16" t="str">
        <x:v>Japanese set code in source index</x:v>
      </x:c>
      <x:c r="I363" s="16" t="str">
        <x:v>2021-09-24</x:v>
      </x:c>
      <x:c r="J363" s="16" t="str">
        <x:v>day</x:v>
      </x:c>
      <x:c r="K363" s="16" t="str">
        <x:v>Japan</x:v>
      </x:c>
      <x:c r="L363" s="16" t="n">
        <x:v>100</x:v>
      </x:c>
      <x:c r="M363" s="16" t="n">
        <x:v>29</x:v>
      </x:c>
      <x:c r="N363" s="16" t="n">
        <x:v>0</x:v>
      </x:c>
      <x:c r="O363" s="16" t="n">
        <x:v>129</x:v>
      </x:c>
      <x:c r="P363" s="16" t="n">
        <x:v>129</x:v>
      </x:c>
      <x:c r="Q363" s="16"/>
      <x:c r="R363" s="16"/>
      <x:c r="S363" s="16" t="str"/>
      <x:c r="T363" s="16"/>
      <x:c r="U363" s="16" t="str">
        <x:v>NO — review only</x:v>
      </x:c>
    </x:row>
    <x:row r="364" ht="54" customHeight="1">
      <x:c r="A364" s="16" t="str">
        <x:v>ja-190989f70989</x:v>
      </x:c>
      <x:c r="B364" s="16" t="str">
        <x:v>ja</x:v>
      </x:c>
      <x:c r="C364" s="16" t="str">
        <x:v>25th Anniversary Collection</x:v>
      </x:c>
      <x:c r="D364" s="16" t="str">
        <x:v>25th ANNIVERSARY COLLECTION</x:v>
      </x:c>
      <x:c r="E364" s="16" t="str">
        <x:v>Sword &amp; Shield</x:v>
      </x:c>
      <x:c r="F364" s="16" t="str">
        <x:v>Card set / collection</x:v>
      </x:c>
      <x:c r="G364" s="16" t="str">
        <x:v>S8a</x:v>
      </x:c>
      <x:c r="H364" s="16" t="str">
        <x:v>Japanese set code in source index</x:v>
      </x:c>
      <x:c r="I364" s="16" t="str">
        <x:v>2021-10-22</x:v>
      </x:c>
      <x:c r="J364" s="16" t="str">
        <x:v>day</x:v>
      </x:c>
      <x:c r="K364" s="16" t="str">
        <x:v>Japan</x:v>
      </x:c>
      <x:c r="L364" s="16" t="n">
        <x:v>28</x:v>
      </x:c>
      <x:c r="M364" s="16" t="n">
        <x:v>2</x:v>
      </x:c>
      <x:c r="N364" s="16" t="n">
        <x:v>0</x:v>
      </x:c>
      <x:c r="O364" s="16" t="n">
        <x:v>30</x:v>
      </x:c>
      <x:c r="P364" s="16" t="n">
        <x:v>30</x:v>
      </x:c>
      <x:c r="Q364" s="16"/>
      <x:c r="R364" s="16"/>
      <x:c r="S364" s="16" t="str"/>
      <x:c r="T364" s="16"/>
      <x:c r="U364" s="16" t="str">
        <x:v>NO — review only</x:v>
      </x:c>
    </x:row>
    <x:row r="365" ht="54" customHeight="1">
      <x:c r="A365" s="16" t="str">
        <x:v>ja-bfa6e28a825b</x:v>
      </x:c>
      <x:c r="B365" s="16" t="str">
        <x:v>ja</x:v>
      </x:c>
      <x:c r="C365" s="16" t="str">
        <x:v>Promo Card Pack 25th Anniversary Edition</x:v>
      </x:c>
      <x:c r="D365" s="16" t="str">
        <x:v>プロモカードパック 25th ANNIVERSARY edition</x:v>
      </x:c>
      <x:c r="E365" s="16" t="str">
        <x:v>Sword &amp; Shield</x:v>
      </x:c>
      <x:c r="F365" s="16" t="str">
        <x:v>Promo catalogue</x:v>
      </x:c>
      <x:c r="G365" s="16" t="str">
        <x:v>S8aP</x:v>
      </x:c>
      <x:c r="H365" s="16" t="str">
        <x:v>Established database identifier for the Promo Card Pack 25th Anniversary Edition</x:v>
      </x:c>
      <x:c r="I365" s="16" t="str">
        <x:v>2021-10-22</x:v>
      </x:c>
      <x:c r="J365" s="16" t="str">
        <x:v>day</x:v>
      </x:c>
      <x:c r="K365" s="16" t="str">
        <x:v>Japan</x:v>
      </x:c>
      <x:c r="L365" s="16" t="n">
        <x:v>25</x:v>
      </x:c>
      <x:c r="M365" s="16" t="n">
        <x:v>0</x:v>
      </x:c>
      <x:c r="N365" s="16" t="n">
        <x:v>0</x:v>
      </x:c>
      <x:c r="O365" s="16" t="n">
        <x:v>25</x:v>
      </x:c>
      <x:c r="P365" s="16" t="n">
        <x:v>25</x:v>
      </x:c>
      <x:c r="Q365" s="16"/>
      <x:c r="R365" s="16"/>
      <x:c r="S365" s="16" t="str"/>
      <x:c r="T365" s="16" t="str">
        <x:v>https://bulbapedia.bulbagarden.net/wiki/S8aP</x:v>
      </x:c>
      <x:c r="U365" s="16" t="str">
        <x:v>NO — review only</x:v>
      </x:c>
    </x:row>
    <x:row r="366" ht="54" customHeight="1">
      <x:c r="A366" s="16" t="str">
        <x:v>ja-5df7e14f52c6</x:v>
      </x:c>
      <x:c r="B366" s="16" t="str">
        <x:v>ja</x:v>
      </x:c>
      <x:c r="C366" s="16" t="str">
        <x:v>VMAX Climax</x:v>
      </x:c>
      <x:c r="D366" s="16" t="str">
        <x:v>VMAXクライマックス</x:v>
      </x:c>
      <x:c r="E366" s="16" t="str">
        <x:v>Sword &amp; Shield</x:v>
      </x:c>
      <x:c r="F366" s="16" t="str">
        <x:v>Card set / collection</x:v>
      </x:c>
      <x:c r="G366" s="16" t="str">
        <x:v>S8b</x:v>
      </x:c>
      <x:c r="H366" s="16" t="str">
        <x:v>Japanese set code in source index</x:v>
      </x:c>
      <x:c r="I366" s="16" t="str">
        <x:v>2021-12-03</x:v>
      </x:c>
      <x:c r="J366" s="16" t="str">
        <x:v>day</x:v>
      </x:c>
      <x:c r="K366" s="16" t="str">
        <x:v>Japan</x:v>
      </x:c>
      <x:c r="L366" s="16" t="n">
        <x:v>184</x:v>
      </x:c>
      <x:c r="M366" s="16" t="n">
        <x:v>101</x:v>
      </x:c>
      <x:c r="N366" s="16" t="n">
        <x:v>0</x:v>
      </x:c>
      <x:c r="O366" s="16" t="n">
        <x:v>285</x:v>
      </x:c>
      <x:c r="P366" s="16" t="n">
        <x:v>285</x:v>
      </x:c>
      <x:c r="Q366" s="16"/>
      <x:c r="R366" s="16"/>
      <x:c r="S366" s="16" t="str"/>
      <x:c r="T366" s="16"/>
      <x:c r="U366" s="16" t="str">
        <x:v>NO — review only</x:v>
      </x:c>
    </x:row>
    <x:row r="367" ht="54" customHeight="1">
      <x:c r="A367" s="16" t="str">
        <x:v>ja-96e92be4b754</x:v>
      </x:c>
      <x:c r="B367" s="16" t="str">
        <x:v>ja</x:v>
      </x:c>
      <x:c r="C367" s="16" t="str">
        <x:v>Star Birth</x:v>
      </x:c>
      <x:c r="D367" s="16" t="str">
        <x:v>スターバース</x:v>
      </x:c>
      <x:c r="E367" s="16" t="str">
        <x:v>Sword &amp; Shield</x:v>
      </x:c>
      <x:c r="F367" s="16" t="str">
        <x:v>Card set / collection</x:v>
      </x:c>
      <x:c r="G367" s="16" t="str">
        <x:v>S9</x:v>
      </x:c>
      <x:c r="H367" s="16" t="str">
        <x:v>Japanese set code in source index</x:v>
      </x:c>
      <x:c r="I367" s="16" t="str">
        <x:v>2022-01-14</x:v>
      </x:c>
      <x:c r="J367" s="16" t="str">
        <x:v>day</x:v>
      </x:c>
      <x:c r="K367" s="16" t="str">
        <x:v>Japan</x:v>
      </x:c>
      <x:c r="L367" s="16" t="n">
        <x:v>100</x:v>
      </x:c>
      <x:c r="M367" s="16" t="n">
        <x:v>27</x:v>
      </x:c>
      <x:c r="N367" s="16" t="n">
        <x:v>0</x:v>
      </x:c>
      <x:c r="O367" s="16" t="n">
        <x:v>127</x:v>
      </x:c>
      <x:c r="P367" s="16" t="n">
        <x:v>127</x:v>
      </x:c>
      <x:c r="Q367" s="16"/>
      <x:c r="R367" s="16"/>
      <x:c r="S367" s="16" t="str"/>
      <x:c r="T367" s="16"/>
      <x:c r="U367" s="16" t="str">
        <x:v>NO — review only</x:v>
      </x:c>
    </x:row>
    <x:row r="368" ht="54" customHeight="1">
      <x:c r="A368" s="16" t="str">
        <x:v>ja-49441998dfc5</x:v>
      </x:c>
      <x:c r="B368" s="16" t="str">
        <x:v>ja</x:v>
      </x:c>
      <x:c r="C368" s="16" t="str">
        <x:v>Battle Region</x:v>
      </x:c>
      <x:c r="D368" s="16" t="str">
        <x:v>バトルリージョン</x:v>
      </x:c>
      <x:c r="E368" s="16" t="str">
        <x:v>Sword &amp; Shield</x:v>
      </x:c>
      <x:c r="F368" s="16" t="str">
        <x:v>Card set / collection</x:v>
      </x:c>
      <x:c r="G368" s="16" t="str">
        <x:v>S9a</x:v>
      </x:c>
      <x:c r="H368" s="16" t="str">
        <x:v>Japanese set code in source index</x:v>
      </x:c>
      <x:c r="I368" s="16" t="str">
        <x:v>2022-02-25</x:v>
      </x:c>
      <x:c r="J368" s="16" t="str">
        <x:v>day</x:v>
      </x:c>
      <x:c r="K368" s="16" t="str">
        <x:v>Japan</x:v>
      </x:c>
      <x:c r="L368" s="16" t="n">
        <x:v>67</x:v>
      </x:c>
      <x:c r="M368" s="16" t="n">
        <x:v>26</x:v>
      </x:c>
      <x:c r="N368" s="16" t="n">
        <x:v>0</x:v>
      </x:c>
      <x:c r="O368" s="16" t="n">
        <x:v>93</x:v>
      </x:c>
      <x:c r="P368" s="16" t="n">
        <x:v>93</x:v>
      </x:c>
      <x:c r="Q368" s="16"/>
      <x:c r="R368" s="16"/>
      <x:c r="S368" s="16" t="str"/>
      <x:c r="T368" s="16"/>
      <x:c r="U368" s="16" t="str">
        <x:v>NO — review only</x:v>
      </x:c>
    </x:row>
    <x:row r="369" ht="54" customHeight="1">
      <x:c r="A369" s="16" t="str">
        <x:v>ja-930d500eb1d9</x:v>
      </x:c>
      <x:c r="B369" s="16" t="str">
        <x:v>ja</x:v>
      </x:c>
      <x:c r="C369" s="16" t="str">
        <x:v>Space Juggler</x:v>
      </x:c>
      <x:c r="D369" s="16" t="str">
        <x:v>スペースジャグラー</x:v>
      </x:c>
      <x:c r="E369" s="16" t="str">
        <x:v>Sword &amp; Shield</x:v>
      </x:c>
      <x:c r="F369" s="16" t="str">
        <x:v>Card set / collection</x:v>
      </x:c>
      <x:c r="G369" s="16" t="str">
        <x:v>S10P</x:v>
      </x:c>
      <x:c r="H369" s="16" t="str">
        <x:v>Japanese set code in source index</x:v>
      </x:c>
      <x:c r="I369" s="16" t="str">
        <x:v>2022-04-08</x:v>
      </x:c>
      <x:c r="J369" s="16" t="str">
        <x:v>day</x:v>
      </x:c>
      <x:c r="K369" s="16" t="str">
        <x:v>Japan</x:v>
      </x:c>
      <x:c r="L369" s="16" t="n">
        <x:v>67</x:v>
      </x:c>
      <x:c r="M369" s="16" t="n">
        <x:v>21</x:v>
      </x:c>
      <x:c r="N369" s="16" t="n">
        <x:v>0</x:v>
      </x:c>
      <x:c r="O369" s="16" t="n">
        <x:v>88</x:v>
      </x:c>
      <x:c r="P369" s="16" t="n">
        <x:v>88</x:v>
      </x:c>
      <x:c r="Q369" s="16"/>
      <x:c r="R369" s="16"/>
      <x:c r="S369" s="16" t="str"/>
      <x:c r="T369" s="16"/>
      <x:c r="U369" s="16" t="str">
        <x:v>NO — review only</x:v>
      </x:c>
    </x:row>
    <x:row r="370" ht="54" customHeight="1">
      <x:c r="A370" s="16" t="str">
        <x:v>ja-ca6a213c93b9</x:v>
      </x:c>
      <x:c r="B370" s="16" t="str">
        <x:v>ja</x:v>
      </x:c>
      <x:c r="C370" s="16" t="str">
        <x:v>Time Gazer</x:v>
      </x:c>
      <x:c r="D370" s="16" t="str">
        <x:v>タイムゲイザー</x:v>
      </x:c>
      <x:c r="E370" s="16" t="str">
        <x:v>Sword &amp; Shield</x:v>
      </x:c>
      <x:c r="F370" s="16" t="str">
        <x:v>Card set / collection</x:v>
      </x:c>
      <x:c r="G370" s="16" t="str">
        <x:v>S10D</x:v>
      </x:c>
      <x:c r="H370" s="16" t="str">
        <x:v>Japanese set code in source index</x:v>
      </x:c>
      <x:c r="I370" s="16" t="str">
        <x:v>2022-04-08</x:v>
      </x:c>
      <x:c r="J370" s="16" t="str">
        <x:v>day</x:v>
      </x:c>
      <x:c r="K370" s="16" t="str">
        <x:v>Japan</x:v>
      </x:c>
      <x:c r="L370" s="16" t="n">
        <x:v>67</x:v>
      </x:c>
      <x:c r="M370" s="16" t="n">
        <x:v>21</x:v>
      </x:c>
      <x:c r="N370" s="16" t="n">
        <x:v>0</x:v>
      </x:c>
      <x:c r="O370" s="16" t="n">
        <x:v>88</x:v>
      </x:c>
      <x:c r="P370" s="16" t="n">
        <x:v>88</x:v>
      </x:c>
      <x:c r="Q370" s="16"/>
      <x:c r="R370" s="16"/>
      <x:c r="S370" s="16" t="str"/>
      <x:c r="T370" s="16"/>
      <x:c r="U370" s="16" t="str">
        <x:v>NO — review only</x:v>
      </x:c>
    </x:row>
    <x:row r="371" ht="54" customHeight="1">
      <x:c r="A371" s="16" t="str">
        <x:v>ja-c83a71b0ee77</x:v>
      </x:c>
      <x:c r="B371" s="16" t="str">
        <x:v>ja</x:v>
      </x:c>
      <x:c r="C371" s="16" t="str">
        <x:v>Dark Phantasma</x:v>
      </x:c>
      <x:c r="D371" s="16" t="str">
        <x:v>ダークファンタズマ</x:v>
      </x:c>
      <x:c r="E371" s="16" t="str">
        <x:v>Sword &amp; Shield</x:v>
      </x:c>
      <x:c r="F371" s="16" t="str">
        <x:v>Card set / collection</x:v>
      </x:c>
      <x:c r="G371" s="16" t="str">
        <x:v>S10a</x:v>
      </x:c>
      <x:c r="H371" s="16" t="str">
        <x:v>Japanese set code in source index</x:v>
      </x:c>
      <x:c r="I371" s="16" t="str">
        <x:v>2022-05-13</x:v>
      </x:c>
      <x:c r="J371" s="16" t="str">
        <x:v>day</x:v>
      </x:c>
      <x:c r="K371" s="16" t="str">
        <x:v>Japan</x:v>
      </x:c>
      <x:c r="L371" s="16" t="n">
        <x:v>71</x:v>
      </x:c>
      <x:c r="M371" s="16" t="n">
        <x:v>28</x:v>
      </x:c>
      <x:c r="N371" s="16" t="n">
        <x:v>0</x:v>
      </x:c>
      <x:c r="O371" s="16" t="n">
        <x:v>99</x:v>
      </x:c>
      <x:c r="P371" s="16" t="n">
        <x:v>99</x:v>
      </x:c>
      <x:c r="Q371" s="16"/>
      <x:c r="R371" s="16"/>
      <x:c r="S371" s="16" t="str"/>
      <x:c r="T371" s="16"/>
      <x:c r="U371" s="16" t="str">
        <x:v>NO — review only</x:v>
      </x:c>
    </x:row>
    <x:row r="372" ht="54" customHeight="1">
      <x:c r="A372" s="16" t="str">
        <x:v>ja-ff2e38d6fae3</x:v>
      </x:c>
      <x:c r="B372" s="16" t="str">
        <x:v>ja</x:v>
      </x:c>
      <x:c r="C372" s="16" t="str">
        <x:v>Pokémon GO</x:v>
      </x:c>
      <x:c r="D372" s="16" t="str">
        <x:v>Pokémon GO</x:v>
      </x:c>
      <x:c r="E372" s="16" t="str">
        <x:v>Sword &amp; Shield</x:v>
      </x:c>
      <x:c r="F372" s="16" t="str">
        <x:v>Card set / collection</x:v>
      </x:c>
      <x:c r="G372" s="16" t="str">
        <x:v>S10b</x:v>
      </x:c>
      <x:c r="H372" s="16" t="str">
        <x:v>Japanese set code in source index</x:v>
      </x:c>
      <x:c r="I372" s="16" t="str">
        <x:v>2022-06-17</x:v>
      </x:c>
      <x:c r="J372" s="16" t="str">
        <x:v>day</x:v>
      </x:c>
      <x:c r="K372" s="16" t="str">
        <x:v>Japan</x:v>
      </x:c>
      <x:c r="L372" s="16" t="n">
        <x:v>71</x:v>
      </x:c>
      <x:c r="M372" s="16" t="n">
        <x:v>22</x:v>
      </x:c>
      <x:c r="N372" s="16" t="n">
        <x:v>0</x:v>
      </x:c>
      <x:c r="O372" s="16" t="n">
        <x:v>93</x:v>
      </x:c>
      <x:c r="P372" s="16" t="n">
        <x:v>93</x:v>
      </x:c>
      <x:c r="Q372" s="16"/>
      <x:c r="R372" s="16"/>
      <x:c r="S372" s="16" t="str"/>
      <x:c r="T372" s="16"/>
      <x:c r="U372" s="16" t="str">
        <x:v>NO — review only</x:v>
      </x:c>
    </x:row>
    <x:row r="373" ht="54" customHeight="1">
      <x:c r="A373" s="16" t="str">
        <x:v>ja-7f2bbdd801e4</x:v>
      </x:c>
      <x:c r="B373" s="16" t="str">
        <x:v>ja</x:v>
      </x:c>
      <x:c r="C373" s="16" t="str">
        <x:v>Lost Abyss</x:v>
      </x:c>
      <x:c r="D373" s="16" t="str">
        <x:v>ロストアビス</x:v>
      </x:c>
      <x:c r="E373" s="16" t="str">
        <x:v>Sword &amp; Shield</x:v>
      </x:c>
      <x:c r="F373" s="16" t="str">
        <x:v>Card set / collection</x:v>
      </x:c>
      <x:c r="G373" s="16" t="str">
        <x:v>S11</x:v>
      </x:c>
      <x:c r="H373" s="16" t="str">
        <x:v>Japanese set code in source index</x:v>
      </x:c>
      <x:c r="I373" s="16" t="str">
        <x:v>2022-07-15</x:v>
      </x:c>
      <x:c r="J373" s="16" t="str">
        <x:v>day</x:v>
      </x:c>
      <x:c r="K373" s="16" t="str">
        <x:v>Japan</x:v>
      </x:c>
      <x:c r="L373" s="16" t="n">
        <x:v>100</x:v>
      </x:c>
      <x:c r="M373" s="16" t="n">
        <x:v>27</x:v>
      </x:c>
      <x:c r="N373" s="16" t="n">
        <x:v>0</x:v>
      </x:c>
      <x:c r="O373" s="16" t="n">
        <x:v>127</x:v>
      </x:c>
      <x:c r="P373" s="16" t="n">
        <x:v>127</x:v>
      </x:c>
      <x:c r="Q373" s="16"/>
      <x:c r="R373" s="16"/>
      <x:c r="S373" s="16" t="str"/>
      <x:c r="T373" s="16"/>
      <x:c r="U373" s="16" t="str">
        <x:v>NO — review only</x:v>
      </x:c>
    </x:row>
    <x:row r="374" ht="54" customHeight="1">
      <x:c r="A374" s="16" t="str">
        <x:v>ja-e7a3195eec67</x:v>
      </x:c>
      <x:c r="B374" s="16" t="str">
        <x:v>ja</x:v>
      </x:c>
      <x:c r="C374" s="16" t="str">
        <x:v>Incandescent Arcana</x:v>
      </x:c>
      <x:c r="D374" s="16" t="str">
        <x:v>白熱のアルカナ</x:v>
      </x:c>
      <x:c r="E374" s="16" t="str">
        <x:v>Sword &amp; Shield</x:v>
      </x:c>
      <x:c r="F374" s="16" t="str">
        <x:v>Card set / collection</x:v>
      </x:c>
      <x:c r="G374" s="16" t="str">
        <x:v>S11a</x:v>
      </x:c>
      <x:c r="H374" s="16" t="str">
        <x:v>Japanese set code in source index</x:v>
      </x:c>
      <x:c r="I374" s="16" t="str">
        <x:v>2022-09-02</x:v>
      </x:c>
      <x:c r="J374" s="16" t="str">
        <x:v>day</x:v>
      </x:c>
      <x:c r="K374" s="16" t="str">
        <x:v>Japan</x:v>
      </x:c>
      <x:c r="L374" s="16" t="n">
        <x:v>68</x:v>
      </x:c>
      <x:c r="M374" s="16" t="n">
        <x:v>26</x:v>
      </x:c>
      <x:c r="N374" s="16" t="n">
        <x:v>0</x:v>
      </x:c>
      <x:c r="O374" s="16" t="n">
        <x:v>94</x:v>
      </x:c>
      <x:c r="P374" s="16" t="n">
        <x:v>94</x:v>
      </x:c>
      <x:c r="Q374" s="16"/>
      <x:c r="R374" s="16"/>
      <x:c r="S374" s="16" t="str"/>
      <x:c r="T374" s="16"/>
      <x:c r="U374" s="16" t="str">
        <x:v>NO — review only</x:v>
      </x:c>
    </x:row>
    <x:row r="375" ht="54" customHeight="1">
      <x:c r="A375" s="16" t="str">
        <x:v>ja-e770f86aba36</x:v>
      </x:c>
      <x:c r="B375" s="16" t="str">
        <x:v>ja</x:v>
      </x:c>
      <x:c r="C375" s="16" t="str">
        <x:v>Paradigm Trigger</x:v>
      </x:c>
      <x:c r="D375" s="16" t="str">
        <x:v>パラダイムトリガー</x:v>
      </x:c>
      <x:c r="E375" s="16" t="str">
        <x:v>Sword &amp; Shield</x:v>
      </x:c>
      <x:c r="F375" s="16" t="str">
        <x:v>Card set / collection</x:v>
      </x:c>
      <x:c r="G375" s="16" t="str">
        <x:v>S12</x:v>
      </x:c>
      <x:c r="H375" s="16" t="str">
        <x:v>Japanese set code in source index</x:v>
      </x:c>
      <x:c r="I375" s="16" t="str">
        <x:v>2022-10-21</x:v>
      </x:c>
      <x:c r="J375" s="16" t="str">
        <x:v>day</x:v>
      </x:c>
      <x:c r="K375" s="16" t="str">
        <x:v>Japan</x:v>
      </x:c>
      <x:c r="L375" s="16" t="n">
        <x:v>98</x:v>
      </x:c>
      <x:c r="M375" s="16" t="n">
        <x:v>27</x:v>
      </x:c>
      <x:c r="N375" s="16" t="n">
        <x:v>0</x:v>
      </x:c>
      <x:c r="O375" s="16" t="n">
        <x:v>125</x:v>
      </x:c>
      <x:c r="P375" s="16" t="n">
        <x:v>125</x:v>
      </x:c>
      <x:c r="Q375" s="16"/>
      <x:c r="R375" s="16"/>
      <x:c r="S375" s="16" t="str"/>
      <x:c r="T375" s="16"/>
      <x:c r="U375" s="16" t="str">
        <x:v>NO — review only</x:v>
      </x:c>
    </x:row>
    <x:row r="376" ht="54" customHeight="1">
      <x:c r="A376" s="16" t="str">
        <x:v>ja-eeac9c4c185b</x:v>
      </x:c>
      <x:c r="B376" s="16" t="str">
        <x:v>ja</x:v>
      </x:c>
      <x:c r="C376" s="16" t="str">
        <x:v>SV-P Promotional cards</x:v>
      </x:c>
      <x:c r="D376" s="16" t="str">
        <x:v>SV-Pプロモカード</x:v>
      </x:c>
      <x:c r="E376" s="16" t="str">
        <x:v>Scarlet &amp; Violet</x:v>
      </x:c>
      <x:c r="F376" s="16" t="str">
        <x:v>Promo catalogue</x:v>
      </x:c>
      <x:c r="G376" s="16" t="str">
        <x:v>SV-P</x:v>
      </x:c>
      <x:c r="H376" s="16" t="str">
        <x:v>Promotional numbering prefix</x:v>
      </x:c>
      <x:c r="I376" s="16" t="str">
        <x:v>2022-11</x:v>
      </x:c>
      <x:c r="J376" s="16" t="str">
        <x:v>month</x:v>
      </x:c>
      <x:c r="K376" s="16" t="str">
        <x:v>Japan</x:v>
      </x:c>
      <x:c r="L376" s="16" t="n">
        <x:v>290</x:v>
      </x:c>
      <x:c r="M376" s="16" t="n">
        <x:v>13</x:v>
      </x:c>
      <x:c r="N376" s="16" t="n">
        <x:v>0</x:v>
      </x:c>
      <x:c r="O376" s="16" t="n">
        <x:v>303</x:v>
      </x:c>
      <x:c r="P376" s="16" t="n">
        <x:v>303</x:v>
      </x:c>
      <x:c r="Q376" s="16"/>
      <x:c r="R376" s="16"/>
      <x:c r="S376" s="16" t="str"/>
      <x:c r="T376" s="16" t="str">
        <x:v>https://bulbapedia.bulbagarden.net/wiki/SV-P</x:v>
      </x:c>
      <x:c r="U376" s="16" t="str">
        <x:v>NO — review only</x:v>
      </x:c>
    </x:row>
    <x:row r="377" ht="54" customHeight="1">
      <x:c r="A377" s="16" t="str">
        <x:v>ja-3ae335269b5c</x:v>
      </x:c>
      <x:c r="B377" s="16" t="str">
        <x:v>ja</x:v>
      </x:c>
      <x:c r="C377" s="16" t="str">
        <x:v>VSTAR Universe</x:v>
      </x:c>
      <x:c r="D377" s="16" t="str">
        <x:v>VSTARユニバース</x:v>
      </x:c>
      <x:c r="E377" s="16" t="str">
        <x:v>Sword &amp; Shield</x:v>
      </x:c>
      <x:c r="F377" s="16" t="str">
        <x:v>Card set / collection</x:v>
      </x:c>
      <x:c r="G377" s="16" t="str">
        <x:v>S12a</x:v>
      </x:c>
      <x:c r="H377" s="16" t="str">
        <x:v>Japanese set code in source index</x:v>
      </x:c>
      <x:c r="I377" s="16" t="str">
        <x:v>2022-12-02</x:v>
      </x:c>
      <x:c r="J377" s="16" t="str">
        <x:v>day</x:v>
      </x:c>
      <x:c r="K377" s="16" t="str">
        <x:v>Japan</x:v>
      </x:c>
      <x:c r="L377" s="16" t="n">
        <x:v>172</x:v>
      </x:c>
      <x:c r="M377" s="16" t="n">
        <x:v>90</x:v>
      </x:c>
      <x:c r="N377" s="16" t="n">
        <x:v>0</x:v>
      </x:c>
      <x:c r="O377" s="16" t="n">
        <x:v>262</x:v>
      </x:c>
      <x:c r="P377" s="16" t="n">
        <x:v>262</x:v>
      </x:c>
      <x:c r="Q377" s="16"/>
      <x:c r="R377" s="16"/>
      <x:c r="S377" s="16" t="str"/>
      <x:c r="T377" s="16"/>
      <x:c r="U377" s="16" t="str">
        <x:v>NO — review only</x:v>
      </x:c>
    </x:row>
    <x:row r="378" ht="54" customHeight="1">
      <x:c r="A378" s="16" t="str">
        <x:v>ja-9dba419ea2be</x:v>
      </x:c>
      <x:c r="B378" s="16" t="str">
        <x:v>ja</x:v>
      </x:c>
      <x:c r="C378" s="16" t="str">
        <x:v>Scarlet ex</x:v>
      </x:c>
      <x:c r="D378" s="16" t="str">
        <x:v>スカーレットex</x:v>
      </x:c>
      <x:c r="E378" s="16" t="str">
        <x:v>Scarlet &amp; Violet</x:v>
      </x:c>
      <x:c r="F378" s="16" t="str">
        <x:v>Card set / collection</x:v>
      </x:c>
      <x:c r="G378" s="16" t="str">
        <x:v>SV1S</x:v>
      </x:c>
      <x:c r="H378" s="16" t="str">
        <x:v>Catalogue identifier (TCG Collector); printed form not independently checked</x:v>
      </x:c>
      <x:c r="I378" s="16" t="str">
        <x:v>2023-01-20</x:v>
      </x:c>
      <x:c r="J378" s="16" t="str">
        <x:v>day</x:v>
      </x:c>
      <x:c r="K378" s="16" t="str">
        <x:v>Japan</x:v>
      </x:c>
      <x:c r="L378" s="16" t="n">
        <x:v>78</x:v>
      </x:c>
      <x:c r="M378" s="16" t="n">
        <x:v>30</x:v>
      </x:c>
      <x:c r="N378" s="16" t="n">
        <x:v>0</x:v>
      </x:c>
      <x:c r="O378" s="16" t="n">
        <x:v>108</x:v>
      </x:c>
      <x:c r="P378" s="16" t="n">
        <x:v>108</x:v>
      </x:c>
      <x:c r="Q378" s="16"/>
      <x:c r="R378" s="16"/>
      <x:c r="S378" s="16" t="str"/>
      <x:c r="T378" s="16"/>
      <x:c r="U378" s="16" t="str">
        <x:v>NO — review only</x:v>
      </x:c>
    </x:row>
    <x:row r="379" ht="54" customHeight="1">
      <x:c r="A379" s="16" t="str">
        <x:v>ja-b1fc33531199</x:v>
      </x:c>
      <x:c r="B379" s="16" t="str">
        <x:v>ja</x:v>
      </x:c>
      <x:c r="C379" s="16" t="str">
        <x:v>Violet ex</x:v>
      </x:c>
      <x:c r="D379" s="16" t="str">
        <x:v>バイオレットex</x:v>
      </x:c>
      <x:c r="E379" s="16" t="str">
        <x:v>Scarlet &amp; Violet</x:v>
      </x:c>
      <x:c r="F379" s="16" t="str">
        <x:v>Card set / collection</x:v>
      </x:c>
      <x:c r="G379" s="16" t="str">
        <x:v>SV1V</x:v>
      </x:c>
      <x:c r="H379" s="16" t="str">
        <x:v>Japanese set code in source index</x:v>
      </x:c>
      <x:c r="I379" s="16" t="str">
        <x:v>2023-01-20</x:v>
      </x:c>
      <x:c r="J379" s="16" t="str">
        <x:v>day</x:v>
      </x:c>
      <x:c r="K379" s="16" t="str">
        <x:v>Japan</x:v>
      </x:c>
      <x:c r="L379" s="16" t="n">
        <x:v>78</x:v>
      </x:c>
      <x:c r="M379" s="16" t="n">
        <x:v>30</x:v>
      </x:c>
      <x:c r="N379" s="16" t="n">
        <x:v>0</x:v>
      </x:c>
      <x:c r="O379" s="16" t="n">
        <x:v>108</x:v>
      </x:c>
      <x:c r="P379" s="16" t="n">
        <x:v>108</x:v>
      </x:c>
      <x:c r="Q379" s="16"/>
      <x:c r="R379" s="16"/>
      <x:c r="S379" s="16" t="str"/>
      <x:c r="T379" s="16"/>
      <x:c r="U379" s="16" t="str">
        <x:v>NO — review only</x:v>
      </x:c>
    </x:row>
    <x:row r="380" ht="54" customHeight="1">
      <x:c r="A380" s="16" t="str">
        <x:v>ja-2169700da313</x:v>
      </x:c>
      <x:c r="B380" s="16" t="str">
        <x:v>ja</x:v>
      </x:c>
      <x:c r="C380" s="16" t="str">
        <x:v>Triplet Beat</x:v>
      </x:c>
      <x:c r="D380" s="16" t="str">
        <x:v>トリプレットビート</x:v>
      </x:c>
      <x:c r="E380" s="16" t="str">
        <x:v>Scarlet &amp; Violet</x:v>
      </x:c>
      <x:c r="F380" s="16" t="str">
        <x:v>Card set / collection</x:v>
      </x:c>
      <x:c r="G380" s="16" t="str">
        <x:v>SV1a</x:v>
      </x:c>
      <x:c r="H380" s="16" t="str">
        <x:v>Japanese set code in source index</x:v>
      </x:c>
      <x:c r="I380" s="16" t="str">
        <x:v>2023-03-10</x:v>
      </x:c>
      <x:c r="J380" s="16" t="str">
        <x:v>day</x:v>
      </x:c>
      <x:c r="K380" s="16" t="str">
        <x:v>Japan</x:v>
      </x:c>
      <x:c r="L380" s="16" t="n">
        <x:v>73</x:v>
      </x:c>
      <x:c r="M380" s="16" t="n">
        <x:v>30</x:v>
      </x:c>
      <x:c r="N380" s="16" t="n">
        <x:v>0</x:v>
      </x:c>
      <x:c r="O380" s="16" t="n">
        <x:v>103</x:v>
      </x:c>
      <x:c r="P380" s="16" t="n">
        <x:v>103</x:v>
      </x:c>
      <x:c r="Q380" s="16"/>
      <x:c r="R380" s="16"/>
      <x:c r="S380" s="16" t="str"/>
      <x:c r="T380" s="16"/>
      <x:c r="U380" s="16" t="str">
        <x:v>NO — review only</x:v>
      </x:c>
    </x:row>
    <x:row r="381" ht="54" customHeight="1">
      <x:c r="A381" s="16" t="str">
        <x:v>ja-0a61f0dd4a65</x:v>
      </x:c>
      <x:c r="B381" s="16" t="str">
        <x:v>ja</x:v>
      </x:c>
      <x:c r="C381" s="16" t="str">
        <x:v>Clay Burst</x:v>
      </x:c>
      <x:c r="D381" s="16" t="str">
        <x:v>クレイバースト</x:v>
      </x:c>
      <x:c r="E381" s="16" t="str">
        <x:v>Scarlet &amp; Violet</x:v>
      </x:c>
      <x:c r="F381" s="16" t="str">
        <x:v>Card set / collection</x:v>
      </x:c>
      <x:c r="G381" s="16" t="str">
        <x:v>SV2D</x:v>
      </x:c>
      <x:c r="H381" s="16" t="str">
        <x:v>Japanese set code in source index</x:v>
      </x:c>
      <x:c r="I381" s="16" t="str">
        <x:v>2023-04-14</x:v>
      </x:c>
      <x:c r="J381" s="16" t="str">
        <x:v>day</x:v>
      </x:c>
      <x:c r="K381" s="16" t="str">
        <x:v>Japan</x:v>
      </x:c>
      <x:c r="L381" s="16" t="n">
        <x:v>71</x:v>
      </x:c>
      <x:c r="M381" s="16" t="n">
        <x:v>28</x:v>
      </x:c>
      <x:c r="N381" s="16" t="n">
        <x:v>0</x:v>
      </x:c>
      <x:c r="O381" s="16" t="n">
        <x:v>99</x:v>
      </x:c>
      <x:c r="P381" s="16" t="n">
        <x:v>99</x:v>
      </x:c>
      <x:c r="Q381" s="16"/>
      <x:c r="R381" s="16"/>
      <x:c r="S381" s="16" t="str"/>
      <x:c r="T381" s="16"/>
      <x:c r="U381" s="16" t="str">
        <x:v>NO — review only</x:v>
      </x:c>
    </x:row>
    <x:row r="382" ht="54" customHeight="1">
      <x:c r="A382" s="16" t="str">
        <x:v>ja-ac6fcae41357</x:v>
      </x:c>
      <x:c r="B382" s="16" t="str">
        <x:v>ja</x:v>
      </x:c>
      <x:c r="C382" s="16" t="str">
        <x:v>Snow Hazard</x:v>
      </x:c>
      <x:c r="D382" s="16" t="str">
        <x:v>スノーハザード</x:v>
      </x:c>
      <x:c r="E382" s="16" t="str">
        <x:v>Scarlet &amp; Violet</x:v>
      </x:c>
      <x:c r="F382" s="16" t="str">
        <x:v>Card set / collection</x:v>
      </x:c>
      <x:c r="G382" s="16" t="str">
        <x:v>SV2P</x:v>
      </x:c>
      <x:c r="H382" s="16" t="str">
        <x:v>Japanese set code in source index</x:v>
      </x:c>
      <x:c r="I382" s="16" t="str">
        <x:v>2023-04-14</x:v>
      </x:c>
      <x:c r="J382" s="16" t="str">
        <x:v>day</x:v>
      </x:c>
      <x:c r="K382" s="16" t="str">
        <x:v>Japan</x:v>
      </x:c>
      <x:c r="L382" s="16" t="n">
        <x:v>71</x:v>
      </x:c>
      <x:c r="M382" s="16" t="n">
        <x:v>28</x:v>
      </x:c>
      <x:c r="N382" s="16" t="n">
        <x:v>0</x:v>
      </x:c>
      <x:c r="O382" s="16" t="n">
        <x:v>99</x:v>
      </x:c>
      <x:c r="P382" s="16" t="n">
        <x:v>99</x:v>
      </x:c>
      <x:c r="Q382" s="16"/>
      <x:c r="R382" s="16"/>
      <x:c r="S382" s="16" t="str"/>
      <x:c r="T382" s="16"/>
      <x:c r="U382" s="16" t="str">
        <x:v>NO — review only</x:v>
      </x:c>
    </x:row>
    <x:row r="383" ht="54" customHeight="1">
      <x:c r="A383" s="16" t="str">
        <x:v>ja-d0f14d808a91</x:v>
      </x:c>
      <x:c r="B383" s="16" t="str">
        <x:v>ja</x:v>
      </x:c>
      <x:c r="C383" s="16" t="str">
        <x:v>Pokémon Card 151</x:v>
      </x:c>
      <x:c r="D383" s="16" t="str">
        <x:v>ポケモンカード151</x:v>
      </x:c>
      <x:c r="E383" s="16" t="str">
        <x:v>Scarlet &amp; Violet</x:v>
      </x:c>
      <x:c r="F383" s="16" t="str">
        <x:v>Card set / collection</x:v>
      </x:c>
      <x:c r="G383" s="16" t="str">
        <x:v>SV2a</x:v>
      </x:c>
      <x:c r="H383" s="16" t="str">
        <x:v>Japanese set code in source index</x:v>
      </x:c>
      <x:c r="I383" s="16" t="str">
        <x:v>2023-06-16</x:v>
      </x:c>
      <x:c r="J383" s="16" t="str">
        <x:v>day</x:v>
      </x:c>
      <x:c r="K383" s="16" t="str">
        <x:v>Japan</x:v>
      </x:c>
      <x:c r="L383" s="16" t="n">
        <x:v>165</x:v>
      </x:c>
      <x:c r="M383" s="16" t="n">
        <x:v>45</x:v>
      </x:c>
      <x:c r="N383" s="16" t="n">
        <x:v>0</x:v>
      </x:c>
      <x:c r="O383" s="16" t="n">
        <x:v>210</x:v>
      </x:c>
      <x:c r="P383" s="16" t="n">
        <x:v>210</x:v>
      </x:c>
      <x:c r="Q383" s="16"/>
      <x:c r="R383" s="16"/>
      <x:c r="S383" s="16" t="str"/>
      <x:c r="T383" s="16"/>
      <x:c r="U383" s="16" t="str">
        <x:v>NO — review only</x:v>
      </x:c>
    </x:row>
    <x:row r="384" ht="54" customHeight="1">
      <x:c r="A384" s="16" t="str">
        <x:v>ja-b5d3a493d7fc</x:v>
      </x:c>
      <x:c r="B384" s="16" t="str">
        <x:v>ja</x:v>
      </x:c>
      <x:c r="C384" s="16" t="str">
        <x:v>Ruler of the Black Flame</x:v>
      </x:c>
      <x:c r="D384" s="16" t="str">
        <x:v>黒炎の支配者</x:v>
      </x:c>
      <x:c r="E384" s="16" t="str">
        <x:v>Scarlet &amp; Violet</x:v>
      </x:c>
      <x:c r="F384" s="16" t="str">
        <x:v>Card set / collection</x:v>
      </x:c>
      <x:c r="G384" s="16" t="str">
        <x:v>SV3</x:v>
      </x:c>
      <x:c r="H384" s="16" t="str">
        <x:v>Japanese set code in source index</x:v>
      </x:c>
      <x:c r="I384" s="16" t="str">
        <x:v>2023-07-28</x:v>
      </x:c>
      <x:c r="J384" s="16" t="str">
        <x:v>day</x:v>
      </x:c>
      <x:c r="K384" s="16" t="str">
        <x:v>Japan</x:v>
      </x:c>
      <x:c r="L384" s="16" t="n">
        <x:v>108</x:v>
      </x:c>
      <x:c r="M384" s="16" t="n">
        <x:v>33</x:v>
      </x:c>
      <x:c r="N384" s="16" t="n">
        <x:v>0</x:v>
      </x:c>
      <x:c r="O384" s="16" t="n">
        <x:v>141</x:v>
      </x:c>
      <x:c r="P384" s="16" t="n">
        <x:v>141</x:v>
      </x:c>
      <x:c r="Q384" s="16"/>
      <x:c r="R384" s="16"/>
      <x:c r="S384" s="16" t="str"/>
      <x:c r="T384" s="16"/>
      <x:c r="U384" s="16" t="str">
        <x:v>NO — review only</x:v>
      </x:c>
    </x:row>
    <x:row r="385" ht="54" customHeight="1">
      <x:c r="A385" s="16" t="str">
        <x:v>ja-826c95e68c4c</x:v>
      </x:c>
      <x:c r="B385" s="16" t="str">
        <x:v>ja</x:v>
      </x:c>
      <x:c r="C385" s="16" t="str">
        <x:v>Raging Surf</x:v>
      </x:c>
      <x:c r="D385" s="16" t="str">
        <x:v>レイジングサーフ</x:v>
      </x:c>
      <x:c r="E385" s="16" t="str">
        <x:v>Scarlet &amp; Violet</x:v>
      </x:c>
      <x:c r="F385" s="16" t="str">
        <x:v>Card set / collection</x:v>
      </x:c>
      <x:c r="G385" s="16" t="str">
        <x:v>SV3a</x:v>
      </x:c>
      <x:c r="H385" s="16" t="str">
        <x:v>Japanese set code in source index</x:v>
      </x:c>
      <x:c r="I385" s="16" t="str">
        <x:v>2023-09-22</x:v>
      </x:c>
      <x:c r="J385" s="16" t="str">
        <x:v>day</x:v>
      </x:c>
      <x:c r="K385" s="16" t="str">
        <x:v>Japan</x:v>
      </x:c>
      <x:c r="L385" s="16" t="n">
        <x:v>62</x:v>
      </x:c>
      <x:c r="M385" s="16" t="n">
        <x:v>30</x:v>
      </x:c>
      <x:c r="N385" s="16" t="n">
        <x:v>0</x:v>
      </x:c>
      <x:c r="O385" s="16" t="n">
        <x:v>92</x:v>
      </x:c>
      <x:c r="P385" s="16" t="n">
        <x:v>92</x:v>
      </x:c>
      <x:c r="Q385" s="16"/>
      <x:c r="R385" s="16"/>
      <x:c r="S385" s="16" t="str"/>
      <x:c r="T385" s="16"/>
      <x:c r="U385" s="16" t="str">
        <x:v>NO — review only</x:v>
      </x:c>
    </x:row>
    <x:row r="386" ht="54" customHeight="1">
      <x:c r="A386" s="16" t="str">
        <x:v>ja-19e415254ef6</x:v>
      </x:c>
      <x:c r="B386" s="16" t="str">
        <x:v>ja</x:v>
      </x:c>
      <x:c r="C386" s="16" t="str">
        <x:v>Ancient Roar</x:v>
      </x:c>
      <x:c r="D386" s="16" t="str">
        <x:v>古代の咆哮</x:v>
      </x:c>
      <x:c r="E386" s="16" t="str">
        <x:v>Scarlet &amp; Violet</x:v>
      </x:c>
      <x:c r="F386" s="16" t="str">
        <x:v>Card set / collection</x:v>
      </x:c>
      <x:c r="G386" s="16" t="str">
        <x:v>SV4K</x:v>
      </x:c>
      <x:c r="H386" s="16" t="str">
        <x:v>Japanese set code in source index</x:v>
      </x:c>
      <x:c r="I386" s="16" t="str">
        <x:v>2023-10-27</x:v>
      </x:c>
      <x:c r="J386" s="16" t="str">
        <x:v>day</x:v>
      </x:c>
      <x:c r="K386" s="16" t="str">
        <x:v>Japan</x:v>
      </x:c>
      <x:c r="L386" s="16" t="n">
        <x:v>66</x:v>
      </x:c>
      <x:c r="M386" s="16" t="n">
        <x:v>29</x:v>
      </x:c>
      <x:c r="N386" s="16" t="n">
        <x:v>0</x:v>
      </x:c>
      <x:c r="O386" s="16" t="n">
        <x:v>95</x:v>
      </x:c>
      <x:c r="P386" s="16" t="n">
        <x:v>95</x:v>
      </x:c>
      <x:c r="Q386" s="16"/>
      <x:c r="R386" s="16"/>
      <x:c r="S386" s="16" t="str"/>
      <x:c r="T386" s="16"/>
      <x:c r="U386" s="16" t="str">
        <x:v>NO — review only</x:v>
      </x:c>
    </x:row>
    <x:row r="387" ht="54" customHeight="1">
      <x:c r="A387" s="16" t="str">
        <x:v>ja-a38ca556c129</x:v>
      </x:c>
      <x:c r="B387" s="16" t="str">
        <x:v>ja</x:v>
      </x:c>
      <x:c r="C387" s="16" t="str">
        <x:v>Future Flash</x:v>
      </x:c>
      <x:c r="D387" s="16" t="str">
        <x:v>未来の一閃</x:v>
      </x:c>
      <x:c r="E387" s="16" t="str">
        <x:v>Scarlet &amp; Violet</x:v>
      </x:c>
      <x:c r="F387" s="16" t="str">
        <x:v>Card set / collection</x:v>
      </x:c>
      <x:c r="G387" s="16" t="str">
        <x:v>SV4M</x:v>
      </x:c>
      <x:c r="H387" s="16" t="str">
        <x:v>Japanese set code in source index</x:v>
      </x:c>
      <x:c r="I387" s="16" t="str">
        <x:v>2023-10-27</x:v>
      </x:c>
      <x:c r="J387" s="16" t="str">
        <x:v>day</x:v>
      </x:c>
      <x:c r="K387" s="16" t="str">
        <x:v>Japan</x:v>
      </x:c>
      <x:c r="L387" s="16" t="n">
        <x:v>66</x:v>
      </x:c>
      <x:c r="M387" s="16" t="n">
        <x:v>29</x:v>
      </x:c>
      <x:c r="N387" s="16" t="n">
        <x:v>0</x:v>
      </x:c>
      <x:c r="O387" s="16" t="n">
        <x:v>95</x:v>
      </x:c>
      <x:c r="P387" s="16" t="n">
        <x:v>95</x:v>
      </x:c>
      <x:c r="Q387" s="16"/>
      <x:c r="R387" s="16"/>
      <x:c r="S387" s="16" t="str"/>
      <x:c r="T387" s="16"/>
      <x:c r="U387" s="16" t="str">
        <x:v>NO — review only</x:v>
      </x:c>
    </x:row>
    <x:row r="388" ht="54" customHeight="1">
      <x:c r="A388" s="16" t="str">
        <x:v>ja-f3d64cdaf563</x:v>
      </x:c>
      <x:c r="B388" s="16" t="str">
        <x:v>ja</x:v>
      </x:c>
      <x:c r="C388" s="16" t="str">
        <x:v>Shiny Treasure ex</x:v>
      </x:c>
      <x:c r="D388" s="16" t="str">
        <x:v>シャイニートレジャーex</x:v>
      </x:c>
      <x:c r="E388" s="16" t="str">
        <x:v>Scarlet &amp; Violet</x:v>
      </x:c>
      <x:c r="F388" s="16" t="str">
        <x:v>Card set / collection</x:v>
      </x:c>
      <x:c r="G388" s="16" t="str">
        <x:v>SV4a</x:v>
      </x:c>
      <x:c r="H388" s="16" t="str">
        <x:v>Japanese set code in source index</x:v>
      </x:c>
      <x:c r="I388" s="16" t="str">
        <x:v>2023-12-01</x:v>
      </x:c>
      <x:c r="J388" s="16" t="str">
        <x:v>day</x:v>
      </x:c>
      <x:c r="K388" s="16" t="str">
        <x:v>Japan</x:v>
      </x:c>
      <x:c r="L388" s="16" t="n">
        <x:v>190</x:v>
      </x:c>
      <x:c r="M388" s="16" t="n">
        <x:v>170</x:v>
      </x:c>
      <x:c r="N388" s="16" t="n">
        <x:v>0</x:v>
      </x:c>
      <x:c r="O388" s="16" t="n">
        <x:v>360</x:v>
      </x:c>
      <x:c r="P388" s="16" t="n">
        <x:v>360</x:v>
      </x:c>
      <x:c r="Q388" s="16"/>
      <x:c r="R388" s="16"/>
      <x:c r="S388" s="16" t="str"/>
      <x:c r="T388" s="16"/>
      <x:c r="U388" s="16" t="str">
        <x:v>NO — review only</x:v>
      </x:c>
    </x:row>
    <x:row r="389" ht="54" customHeight="1">
      <x:c r="A389" s="16" t="str">
        <x:v>ja-a9d3c3b46ca8</x:v>
      </x:c>
      <x:c r="B389" s="16" t="str">
        <x:v>ja</x:v>
      </x:c>
      <x:c r="C389" s="16" t="str">
        <x:v>Cyber Judge</x:v>
      </x:c>
      <x:c r="D389" s="16" t="str">
        <x:v>サイバージャッジ</x:v>
      </x:c>
      <x:c r="E389" s="16" t="str">
        <x:v>Scarlet &amp; Violet</x:v>
      </x:c>
      <x:c r="F389" s="16" t="str">
        <x:v>Card set / collection</x:v>
      </x:c>
      <x:c r="G389" s="16" t="str">
        <x:v>SV5M</x:v>
      </x:c>
      <x:c r="H389" s="16" t="str">
        <x:v>Japanese set code in source index</x:v>
      </x:c>
      <x:c r="I389" s="16" t="str">
        <x:v>2024-01-26</x:v>
      </x:c>
      <x:c r="J389" s="16" t="str">
        <x:v>day</x:v>
      </x:c>
      <x:c r="K389" s="16" t="str">
        <x:v>Japan</x:v>
      </x:c>
      <x:c r="L389" s="16" t="n">
        <x:v>71</x:v>
      </x:c>
      <x:c r="M389" s="16" t="n">
        <x:v>29</x:v>
      </x:c>
      <x:c r="N389" s="16" t="n">
        <x:v>0</x:v>
      </x:c>
      <x:c r="O389" s="16" t="n">
        <x:v>100</x:v>
      </x:c>
      <x:c r="P389" s="16" t="n">
        <x:v>100</x:v>
      </x:c>
      <x:c r="Q389" s="16"/>
      <x:c r="R389" s="16"/>
      <x:c r="S389" s="16" t="str"/>
      <x:c r="T389" s="16"/>
      <x:c r="U389" s="16" t="str">
        <x:v>NO — review only</x:v>
      </x:c>
    </x:row>
    <x:row r="390" ht="54" customHeight="1">
      <x:c r="A390" s="16" t="str">
        <x:v>ja-f0a550785a60</x:v>
      </x:c>
      <x:c r="B390" s="16" t="str">
        <x:v>ja</x:v>
      </x:c>
      <x:c r="C390" s="16" t="str">
        <x:v>Wild Force</x:v>
      </x:c>
      <x:c r="D390" s="16" t="str">
        <x:v>ワイルドフォース</x:v>
      </x:c>
      <x:c r="E390" s="16" t="str">
        <x:v>Scarlet &amp; Violet</x:v>
      </x:c>
      <x:c r="F390" s="16" t="str">
        <x:v>Card set / collection</x:v>
      </x:c>
      <x:c r="G390" s="16" t="str">
        <x:v>SV5K</x:v>
      </x:c>
      <x:c r="H390" s="16" t="str">
        <x:v>Japanese set code in source index</x:v>
      </x:c>
      <x:c r="I390" s="16" t="str">
        <x:v>2024-01-26</x:v>
      </x:c>
      <x:c r="J390" s="16" t="str">
        <x:v>day</x:v>
      </x:c>
      <x:c r="K390" s="16" t="str">
        <x:v>Japan</x:v>
      </x:c>
      <x:c r="L390" s="16" t="n">
        <x:v>71</x:v>
      </x:c>
      <x:c r="M390" s="16" t="n">
        <x:v>29</x:v>
      </x:c>
      <x:c r="N390" s="16" t="n">
        <x:v>0</x:v>
      </x:c>
      <x:c r="O390" s="16" t="n">
        <x:v>100</x:v>
      </x:c>
      <x:c r="P390" s="16" t="n">
        <x:v>100</x:v>
      </x:c>
      <x:c r="Q390" s="16"/>
      <x:c r="R390" s="16"/>
      <x:c r="S390" s="16" t="str"/>
      <x:c r="T390" s="16"/>
      <x:c r="U390" s="16" t="str">
        <x:v>NO — review only</x:v>
      </x:c>
    </x:row>
    <x:row r="391" ht="54" customHeight="1">
      <x:c r="A391" s="16" t="str">
        <x:v>ja-d25e1390fd8d</x:v>
      </x:c>
      <x:c r="B391" s="16" t="str">
        <x:v>ja</x:v>
      </x:c>
      <x:c r="C391" s="16" t="str">
        <x:v>Crimson Haze</x:v>
      </x:c>
      <x:c r="D391" s="16" t="str">
        <x:v>クリムゾンヘイズ</x:v>
      </x:c>
      <x:c r="E391" s="16" t="str">
        <x:v>Scarlet &amp; Violet</x:v>
      </x:c>
      <x:c r="F391" s="16" t="str">
        <x:v>Card set / collection</x:v>
      </x:c>
      <x:c r="G391" s="16" t="str">
        <x:v>SV5a</x:v>
      </x:c>
      <x:c r="H391" s="16" t="str">
        <x:v>Japanese set code in source index</x:v>
      </x:c>
      <x:c r="I391" s="16" t="str">
        <x:v>2024-03-22</x:v>
      </x:c>
      <x:c r="J391" s="16" t="str">
        <x:v>day</x:v>
      </x:c>
      <x:c r="K391" s="16" t="str">
        <x:v>Japan</x:v>
      </x:c>
      <x:c r="L391" s="16" t="n">
        <x:v>66</x:v>
      </x:c>
      <x:c r="M391" s="16" t="n">
        <x:v>30</x:v>
      </x:c>
      <x:c r="N391" s="16" t="n">
        <x:v>0</x:v>
      </x:c>
      <x:c r="O391" s="16" t="n">
        <x:v>96</x:v>
      </x:c>
      <x:c r="P391" s="16" t="n">
        <x:v>96</x:v>
      </x:c>
      <x:c r="Q391" s="16"/>
      <x:c r="R391" s="16"/>
      <x:c r="S391" s="16" t="str"/>
      <x:c r="T391" s="16"/>
      <x:c r="U391" s="16" t="str">
        <x:v>NO — review only</x:v>
      </x:c>
    </x:row>
    <x:row r="392" ht="54" customHeight="1">
      <x:c r="A392" s="16" t="str">
        <x:v>ja-6f8cea791535</x:v>
      </x:c>
      <x:c r="B392" s="16" t="str">
        <x:v>ja</x:v>
      </x:c>
      <x:c r="C392" s="16" t="str">
        <x:v>Transformation Mask</x:v>
      </x:c>
      <x:c r="D392" s="16" t="str">
        <x:v>変幻の仮面</x:v>
      </x:c>
      <x:c r="E392" s="16" t="str">
        <x:v>Scarlet &amp; Violet</x:v>
      </x:c>
      <x:c r="F392" s="16" t="str">
        <x:v>Card set / collection</x:v>
      </x:c>
      <x:c r="G392" s="16" t="str">
        <x:v>SV6</x:v>
      </x:c>
      <x:c r="H392" s="16" t="str">
        <x:v>Japanese set code in source index</x:v>
      </x:c>
      <x:c r="I392" s="16" t="str">
        <x:v>2024-04-26</x:v>
      </x:c>
      <x:c r="J392" s="16" t="str">
        <x:v>day</x:v>
      </x:c>
      <x:c r="K392" s="16" t="str">
        <x:v>Japan</x:v>
      </x:c>
      <x:c r="L392" s="16" t="n">
        <x:v>101</x:v>
      </x:c>
      <x:c r="M392" s="16" t="n">
        <x:v>32</x:v>
      </x:c>
      <x:c r="N392" s="16" t="n">
        <x:v>0</x:v>
      </x:c>
      <x:c r="O392" s="16" t="n">
        <x:v>133</x:v>
      </x:c>
      <x:c r="P392" s="16" t="n">
        <x:v>133</x:v>
      </x:c>
      <x:c r="Q392" s="16"/>
      <x:c r="R392" s="16"/>
      <x:c r="S392" s="16" t="str"/>
      <x:c r="T392" s="16"/>
      <x:c r="U392" s="16" t="str">
        <x:v>NO — review only</x:v>
      </x:c>
    </x:row>
    <x:row r="393" ht="54" customHeight="1">
      <x:c r="A393" s="16" t="str">
        <x:v>ja-2bfd313d693f</x:v>
      </x:c>
      <x:c r="B393" s="16" t="str">
        <x:v>ja</x:v>
      </x:c>
      <x:c r="C393" s="16" t="str">
        <x:v>Night Wanderer</x:v>
      </x:c>
      <x:c r="D393" s="16" t="str">
        <x:v>ナイトワンダラー</x:v>
      </x:c>
      <x:c r="E393" s="16" t="str">
        <x:v>Scarlet &amp; Violet</x:v>
      </x:c>
      <x:c r="F393" s="16" t="str">
        <x:v>Card set / collection</x:v>
      </x:c>
      <x:c r="G393" s="16" t="str">
        <x:v>SV6a</x:v>
      </x:c>
      <x:c r="H393" s="16" t="str">
        <x:v>Catalogue identifier (TCG Collector); printed form not independently checked</x:v>
      </x:c>
      <x:c r="I393" s="16" t="str">
        <x:v>2024-06-07</x:v>
      </x:c>
      <x:c r="J393" s="16" t="str">
        <x:v>day</x:v>
      </x:c>
      <x:c r="K393" s="16" t="str">
        <x:v>Japan</x:v>
      </x:c>
      <x:c r="L393" s="16" t="n">
        <x:v>64</x:v>
      </x:c>
      <x:c r="M393" s="16" t="n">
        <x:v>30</x:v>
      </x:c>
      <x:c r="N393" s="16" t="n">
        <x:v>0</x:v>
      </x:c>
      <x:c r="O393" s="16" t="n">
        <x:v>94</x:v>
      </x:c>
      <x:c r="P393" s="16" t="n">
        <x:v>94</x:v>
      </x:c>
      <x:c r="Q393" s="16"/>
      <x:c r="R393" s="16"/>
      <x:c r="S393" s="16" t="str"/>
      <x:c r="T393" s="16"/>
      <x:c r="U393" s="16" t="str">
        <x:v>NO — review only</x:v>
      </x:c>
    </x:row>
    <x:row r="394" ht="54" customHeight="1">
      <x:c r="A394" s="16" t="str">
        <x:v>ja-ad526e9fc3de</x:v>
      </x:c>
      <x:c r="B394" s="16" t="str">
        <x:v>ja</x:v>
      </x:c>
      <x:c r="C394" s="16" t="str">
        <x:v>Stellar Miracle</x:v>
      </x:c>
      <x:c r="D394" s="16" t="str">
        <x:v>ステラミラクル</x:v>
      </x:c>
      <x:c r="E394" s="16" t="str">
        <x:v>Scarlet &amp; Violet</x:v>
      </x:c>
      <x:c r="F394" s="16" t="str">
        <x:v>Card set / collection</x:v>
      </x:c>
      <x:c r="G394" s="16" t="str">
        <x:v>SV7</x:v>
      </x:c>
      <x:c r="H394" s="16" t="str">
        <x:v>Catalogue identifier (TCG Collector); printed form not independently checked</x:v>
      </x:c>
      <x:c r="I394" s="16" t="str">
        <x:v>2024-07-19</x:v>
      </x:c>
      <x:c r="J394" s="16" t="str">
        <x:v>day</x:v>
      </x:c>
      <x:c r="K394" s="16" t="str">
        <x:v>Japan</x:v>
      </x:c>
      <x:c r="L394" s="16" t="n">
        <x:v>102</x:v>
      </x:c>
      <x:c r="M394" s="16" t="n">
        <x:v>33</x:v>
      </x:c>
      <x:c r="N394" s="16" t="n">
        <x:v>0</x:v>
      </x:c>
      <x:c r="O394" s="16" t="n">
        <x:v>135</x:v>
      </x:c>
      <x:c r="P394" s="16" t="n">
        <x:v>135</x:v>
      </x:c>
      <x:c r="Q394" s="16"/>
      <x:c r="R394" s="16"/>
      <x:c r="S394" s="16" t="str"/>
      <x:c r="T394" s="16"/>
      <x:c r="U394" s="16" t="str">
        <x:v>NO — review only</x:v>
      </x:c>
    </x:row>
    <x:row r="395" ht="54" customHeight="1">
      <x:c r="A395" s="16" t="str">
        <x:v>ja-0cd79b1e89bd</x:v>
      </x:c>
      <x:c r="B395" s="16" t="str">
        <x:v>ja</x:v>
      </x:c>
      <x:c r="C395" s="16" t="str">
        <x:v>Paradise Dragona</x:v>
      </x:c>
      <x:c r="D395" s="16" t="str">
        <x:v>楽園ドラゴーナ</x:v>
      </x:c>
      <x:c r="E395" s="16" t="str">
        <x:v>Scarlet &amp; Violet</x:v>
      </x:c>
      <x:c r="F395" s="16" t="str">
        <x:v>Card set / collection</x:v>
      </x:c>
      <x:c r="G395" s="16" t="str">
        <x:v>SV7a</x:v>
      </x:c>
      <x:c r="H395" s="16" t="str">
        <x:v>Catalogue identifier (TCG Collector); printed form not independently checked</x:v>
      </x:c>
      <x:c r="I395" s="16" t="str">
        <x:v>2024-09-13</x:v>
      </x:c>
      <x:c r="J395" s="16" t="str">
        <x:v>day</x:v>
      </x:c>
      <x:c r="K395" s="16" t="str">
        <x:v>Japan</x:v>
      </x:c>
      <x:c r="L395" s="16" t="n">
        <x:v>64</x:v>
      </x:c>
      <x:c r="M395" s="16" t="n">
        <x:v>30</x:v>
      </x:c>
      <x:c r="N395" s="16" t="n">
        <x:v>0</x:v>
      </x:c>
      <x:c r="O395" s="16" t="n">
        <x:v>94</x:v>
      </x:c>
      <x:c r="P395" s="16" t="n">
        <x:v>94</x:v>
      </x:c>
      <x:c r="Q395" s="16"/>
      <x:c r="R395" s="16"/>
      <x:c r="S395" s="16" t="str"/>
      <x:c r="T395" s="16"/>
      <x:c r="U395" s="16" t="str">
        <x:v>NO — review only</x:v>
      </x:c>
    </x:row>
    <x:row r="396" ht="54" customHeight="1">
      <x:c r="A396" s="16" t="str">
        <x:v>ja-887597e51882</x:v>
      </x:c>
      <x:c r="B396" s="16" t="str">
        <x:v>ja</x:v>
      </x:c>
      <x:c r="C396" s="16" t="str">
        <x:v>Super Electric Breaker</x:v>
      </x:c>
      <x:c r="D396" s="16" t="str">
        <x:v>超電ブレイカー</x:v>
      </x:c>
      <x:c r="E396" s="16" t="str">
        <x:v>Scarlet &amp; Violet</x:v>
      </x:c>
      <x:c r="F396" s="16" t="str">
        <x:v>Card set / collection</x:v>
      </x:c>
      <x:c r="G396" s="16" t="str">
        <x:v>SV8</x:v>
      </x:c>
      <x:c r="H396" s="16" t="str">
        <x:v>Catalogue identifier (TCG Collector); printed form not independently checked</x:v>
      </x:c>
      <x:c r="I396" s="16" t="str">
        <x:v>2024-10-18</x:v>
      </x:c>
      <x:c r="J396" s="16" t="str">
        <x:v>day</x:v>
      </x:c>
      <x:c r="K396" s="16" t="str">
        <x:v>Japan</x:v>
      </x:c>
      <x:c r="L396" s="16" t="n">
        <x:v>106</x:v>
      </x:c>
      <x:c r="M396" s="16" t="n">
        <x:v>32</x:v>
      </x:c>
      <x:c r="N396" s="16" t="n">
        <x:v>0</x:v>
      </x:c>
      <x:c r="O396" s="16" t="n">
        <x:v>138</x:v>
      </x:c>
      <x:c r="P396" s="16" t="n">
        <x:v>138</x:v>
      </x:c>
      <x:c r="Q396" s="16"/>
      <x:c r="R396" s="16"/>
      <x:c r="S396" s="16" t="str"/>
      <x:c r="T396" s="16"/>
      <x:c r="U396" s="16" t="str">
        <x:v>NO — review only</x:v>
      </x:c>
    </x:row>
    <x:row r="397" ht="54" customHeight="1">
      <x:c r="A397" s="16" t="str">
        <x:v>ja-401830040344</x:v>
      </x:c>
      <x:c r="B397" s="16" t="str">
        <x:v>ja</x:v>
      </x:c>
      <x:c r="C397" s="16" t="str">
        <x:v>Terastal Fest ex</x:v>
      </x:c>
      <x:c r="D397" s="16" t="str">
        <x:v>テラスタルフェスex</x:v>
      </x:c>
      <x:c r="E397" s="16" t="str">
        <x:v>Scarlet &amp; Violet</x:v>
      </x:c>
      <x:c r="F397" s="16" t="str">
        <x:v>Card set / collection</x:v>
      </x:c>
      <x:c r="G397" s="16" t="str">
        <x:v>SV8a</x:v>
      </x:c>
      <x:c r="H397" s="16" t="str">
        <x:v>Catalogue identifier (TCG Collector); printed form not independently checked</x:v>
      </x:c>
      <x:c r="I397" s="16" t="str">
        <x:v>2024-12-06</x:v>
      </x:c>
      <x:c r="J397" s="16" t="str">
        <x:v>day</x:v>
      </x:c>
      <x:c r="K397" s="16" t="str">
        <x:v>Japan</x:v>
      </x:c>
      <x:c r="L397" s="16" t="n">
        <x:v>187</x:v>
      </x:c>
      <x:c r="M397" s="16" t="n">
        <x:v>50</x:v>
      </x:c>
      <x:c r="N397" s="16" t="n">
        <x:v>0</x:v>
      </x:c>
      <x:c r="O397" s="16" t="n">
        <x:v>237</x:v>
      </x:c>
      <x:c r="P397" s="16" t="n">
        <x:v>237</x:v>
      </x:c>
      <x:c r="Q397" s="16"/>
      <x:c r="R397" s="16"/>
      <x:c r="S397" s="16" t="str"/>
      <x:c r="T397" s="16"/>
      <x:c r="U397" s="16" t="str">
        <x:v>NO — review only</x:v>
      </x:c>
    </x:row>
    <x:row r="398" ht="54" customHeight="1">
      <x:c r="A398" s="16" t="str">
        <x:v>ja-c66f053aaf61</x:v>
      </x:c>
      <x:c r="B398" s="16" t="str">
        <x:v>ja</x:v>
      </x:c>
      <x:c r="C398" s="16" t="str">
        <x:v>Battle Partners</x:v>
      </x:c>
      <x:c r="D398" s="16" t="str">
        <x:v>バトルパートナーズ</x:v>
      </x:c>
      <x:c r="E398" s="16" t="str">
        <x:v>Scarlet &amp; Violet</x:v>
      </x:c>
      <x:c r="F398" s="16" t="str">
        <x:v>Card set / collection</x:v>
      </x:c>
      <x:c r="G398" s="16" t="str">
        <x:v>SV9</x:v>
      </x:c>
      <x:c r="H398" s="16" t="str">
        <x:v>Catalogue identifier (TCG Collector); printed form not independently checked</x:v>
      </x:c>
      <x:c r="I398" s="16" t="str">
        <x:v>2025-01-24</x:v>
      </x:c>
      <x:c r="J398" s="16" t="str">
        <x:v>day</x:v>
      </x:c>
      <x:c r="K398" s="16" t="str">
        <x:v>Japan</x:v>
      </x:c>
      <x:c r="L398" s="16" t="n">
        <x:v>100</x:v>
      </x:c>
      <x:c r="M398" s="16" t="n">
        <x:v>32</x:v>
      </x:c>
      <x:c r="N398" s="16" t="n">
        <x:v>0</x:v>
      </x:c>
      <x:c r="O398" s="16" t="n">
        <x:v>132</x:v>
      </x:c>
      <x:c r="P398" s="16" t="n">
        <x:v>132</x:v>
      </x:c>
      <x:c r="Q398" s="16"/>
      <x:c r="R398" s="16"/>
      <x:c r="S398" s="16" t="str"/>
      <x:c r="T398" s="16"/>
      <x:c r="U398" s="16" t="str">
        <x:v>NO — review only</x:v>
      </x:c>
    </x:row>
    <x:row r="399" ht="54" customHeight="1">
      <x:c r="A399" s="16" t="str">
        <x:v>ja-46088b1e25d5</x:v>
      </x:c>
      <x:c r="B399" s="16" t="str">
        <x:v>ja</x:v>
      </x:c>
      <x:c r="C399" s="16" t="str">
        <x:v>Hot Wind Arena</x:v>
      </x:c>
      <x:c r="D399" s="16" t="str">
        <x:v>熱風のアリーナ</x:v>
      </x:c>
      <x:c r="E399" s="16" t="str">
        <x:v>Scarlet &amp; Violet</x:v>
      </x:c>
      <x:c r="F399" s="16" t="str">
        <x:v>Card set / collection</x:v>
      </x:c>
      <x:c r="G399" s="16" t="str">
        <x:v>SV9a</x:v>
      </x:c>
      <x:c r="H399" s="16" t="str">
        <x:v>Catalogue identifier (TCG Collector); printed form not independently checked</x:v>
      </x:c>
      <x:c r="I399" s="16" t="str">
        <x:v>2025-03-14</x:v>
      </x:c>
      <x:c r="J399" s="16" t="str">
        <x:v>day</x:v>
      </x:c>
      <x:c r="K399" s="16" t="str">
        <x:v>Japan</x:v>
      </x:c>
      <x:c r="L399" s="16" t="n">
        <x:v>63</x:v>
      </x:c>
      <x:c r="M399" s="16" t="n">
        <x:v>29</x:v>
      </x:c>
      <x:c r="N399" s="16" t="n">
        <x:v>0</x:v>
      </x:c>
      <x:c r="O399" s="16" t="n">
        <x:v>92</x:v>
      </x:c>
      <x:c r="P399" s="16" t="n">
        <x:v>92</x:v>
      </x:c>
      <x:c r="Q399" s="16"/>
      <x:c r="R399" s="16"/>
      <x:c r="S399" s="16" t="str"/>
      <x:c r="T399" s="16"/>
      <x:c r="U399" s="16" t="str">
        <x:v>NO — review only</x:v>
      </x:c>
    </x:row>
    <x:row r="400" ht="54" customHeight="1">
      <x:c r="A400" s="16" t="str">
        <x:v>ja-6cc224cf3b12</x:v>
      </x:c>
      <x:c r="B400" s="16" t="str">
        <x:v>ja</x:v>
      </x:c>
      <x:c r="C400" s="16" t="str">
        <x:v>Glory of the Rocket Gang</x:v>
      </x:c>
      <x:c r="D400" s="16" t="str">
        <x:v>ロケット団の栄光</x:v>
      </x:c>
      <x:c r="E400" s="16" t="str">
        <x:v>Scarlet &amp; Violet</x:v>
      </x:c>
      <x:c r="F400" s="16" t="str">
        <x:v>Card set / collection</x:v>
      </x:c>
      <x:c r="G400" s="16" t="str">
        <x:v>SV10</x:v>
      </x:c>
      <x:c r="H400" s="16" t="str">
        <x:v>Catalogue identifier (TCG Collector); printed form not independently checked</x:v>
      </x:c>
      <x:c r="I400" s="16" t="str">
        <x:v>2025-04-18</x:v>
      </x:c>
      <x:c r="J400" s="16" t="str">
        <x:v>day</x:v>
      </x:c>
      <x:c r="K400" s="16" t="str">
        <x:v>Japan</x:v>
      </x:c>
      <x:c r="L400" s="16" t="n">
        <x:v>98</x:v>
      </x:c>
      <x:c r="M400" s="16" t="n">
        <x:v>34</x:v>
      </x:c>
      <x:c r="N400" s="16" t="n">
        <x:v>0</x:v>
      </x:c>
      <x:c r="O400" s="16" t="n">
        <x:v>132</x:v>
      </x:c>
      <x:c r="P400" s="16" t="n">
        <x:v>132</x:v>
      </x:c>
      <x:c r="Q400" s="16"/>
      <x:c r="R400" s="16"/>
      <x:c r="S400" s="16" t="str"/>
      <x:c r="T400" s="16"/>
      <x:c r="U400" s="16" t="str">
        <x:v>NO — review only</x:v>
      </x:c>
    </x:row>
    <x:row r="401" ht="54" customHeight="1">
      <x:c r="A401" s="16" t="str">
        <x:v>ja-f2b4be41f5a8</x:v>
      </x:c>
      <x:c r="B401" s="16" t="str">
        <x:v>ja</x:v>
      </x:c>
      <x:c r="C401" s="16" t="str">
        <x:v>Black Bolt</x:v>
      </x:c>
      <x:c r="D401" s="16" t="str">
        <x:v>ブラックボルト</x:v>
      </x:c>
      <x:c r="E401" s="16" t="str">
        <x:v>Scarlet &amp; Violet</x:v>
      </x:c>
      <x:c r="F401" s="16" t="str">
        <x:v>Card set / collection</x:v>
      </x:c>
      <x:c r="G401" s="16" t="str">
        <x:v>SV11B</x:v>
      </x:c>
      <x:c r="H401" s="16" t="str">
        <x:v>Catalogue identifier (TCG Collector); printed form not independently checked</x:v>
      </x:c>
      <x:c r="I401" s="16" t="str">
        <x:v>2025-06-06</x:v>
      </x:c>
      <x:c r="J401" s="16" t="str">
        <x:v>day</x:v>
      </x:c>
      <x:c r="K401" s="16" t="str">
        <x:v>Japan</x:v>
      </x:c>
      <x:c r="L401" s="16" t="n">
        <x:v>86</x:v>
      </x:c>
      <x:c r="M401" s="16" t="n">
        <x:v>88</x:v>
      </x:c>
      <x:c r="N401" s="16" t="n">
        <x:v>0</x:v>
      </x:c>
      <x:c r="O401" s="16" t="n">
        <x:v>174</x:v>
      </x:c>
      <x:c r="P401" s="16" t="n">
        <x:v>174</x:v>
      </x:c>
      <x:c r="Q401" s="16"/>
      <x:c r="R401" s="16"/>
      <x:c r="S401" s="16" t="str"/>
      <x:c r="T401" s="16"/>
      <x:c r="U401" s="16" t="str">
        <x:v>NO — review only</x:v>
      </x:c>
    </x:row>
    <x:row r="402" ht="54" customHeight="1">
      <x:c r="A402" s="16" t="str">
        <x:v>ja-cabe28faa7c7</x:v>
      </x:c>
      <x:c r="B402" s="16" t="str">
        <x:v>ja</x:v>
      </x:c>
      <x:c r="C402" s="16" t="str">
        <x:v>White Flare</x:v>
      </x:c>
      <x:c r="D402" s="16" t="str">
        <x:v>ホワイトフレア</x:v>
      </x:c>
      <x:c r="E402" s="16" t="str">
        <x:v>Scarlet &amp; Violet</x:v>
      </x:c>
      <x:c r="F402" s="16" t="str">
        <x:v>Card set / collection</x:v>
      </x:c>
      <x:c r="G402" s="16" t="str">
        <x:v>SV11W</x:v>
      </x:c>
      <x:c r="H402" s="16" t="str">
        <x:v>Catalogue identifier (TCG Collector); printed form not independently checked</x:v>
      </x:c>
      <x:c r="I402" s="16" t="str">
        <x:v>2025-06-06</x:v>
      </x:c>
      <x:c r="J402" s="16" t="str">
        <x:v>day</x:v>
      </x:c>
      <x:c r="K402" s="16" t="str">
        <x:v>Japan</x:v>
      </x:c>
      <x:c r="L402" s="16" t="n">
        <x:v>86</x:v>
      </x:c>
      <x:c r="M402" s="16" t="n">
        <x:v>88</x:v>
      </x:c>
      <x:c r="N402" s="16" t="n">
        <x:v>0</x:v>
      </x:c>
      <x:c r="O402" s="16" t="n">
        <x:v>174</x:v>
      </x:c>
      <x:c r="P402" s="16" t="n">
        <x:v>174</x:v>
      </x:c>
      <x:c r="Q402" s="16"/>
      <x:c r="R402" s="16"/>
      <x:c r="S402" s="16" t="str"/>
      <x:c r="T402" s="16"/>
      <x:c r="U402" s="16" t="str">
        <x:v>NO — review only</x:v>
      </x:c>
    </x:row>
    <x:row r="403" ht="54" customHeight="1">
      <x:c r="A403" s="16" t="str">
        <x:v>ja-201f35403317</x:v>
      </x:c>
      <x:c r="B403" s="16" t="str">
        <x:v>ja</x:v>
      </x:c>
      <x:c r="C403" s="16" t="str">
        <x:v>M-P Promotional cards</x:v>
      </x:c>
      <x:c r="D403" s="16" t="str">
        <x:v>M-Pプロモカード</x:v>
      </x:c>
      <x:c r="E403" s="16" t="str">
        <x:v>Mega Evolution</x:v>
      </x:c>
      <x:c r="F403" s="16" t="str">
        <x:v>Promo catalogue</x:v>
      </x:c>
      <x:c r="G403" s="16" t="str">
        <x:v>M-P</x:v>
      </x:c>
      <x:c r="H403" s="16" t="str">
        <x:v>Promotional numbering prefix</x:v>
      </x:c>
      <x:c r="I403" s="16" t="str">
        <x:v>2025-08-01</x:v>
      </x:c>
      <x:c r="J403" s="16" t="str">
        <x:v>day</x:v>
      </x:c>
      <x:c r="K403" s="16" t="str">
        <x:v>Japan</x:v>
      </x:c>
      <x:c r="L403" s="16"/>
      <x:c r="M403" s="16"/>
      <x:c r="N403" s="16" t="n">
        <x:v>0</x:v>
      </x:c>
      <x:c r="O403" s="16" t="n">
        <x:v>145</x:v>
      </x:c>
      <x:c r="P403" s="16" t="n">
        <x:v>145</x:v>
      </x:c>
      <x:c r="Q403" s="16"/>
      <x:c r="R403" s="16"/>
      <x:c r="S403" s="16" t="str">
        <x:v>numbered_total_provisional_snapshot</x:v>
      </x:c>
      <x:c r="T403" s="16" t="str">
        <x:v>https://bulbapedia.bulbagarden.net/wiki/M-P_Promotional_cards_%28TCG%29 ; https://bulbapedia.bulbagarden.net/wiki/M-P_Promotional_cards_(TCG)</x:v>
      </x:c>
      <x:c r="U403" s="16" t="str">
        <x:v>NO — review only</x:v>
      </x:c>
    </x:row>
    <x:row r="404" ht="54" customHeight="1">
      <x:c r="A404" s="16" t="str">
        <x:v>ja-75c63791ecae</x:v>
      </x:c>
      <x:c r="B404" s="16" t="str">
        <x:v>ja</x:v>
      </x:c>
      <x:c r="C404" s="16" t="str">
        <x:v>Mega Brave</x:v>
      </x:c>
      <x:c r="D404" s="16" t="str">
        <x:v>メガブレイブ</x:v>
      </x:c>
      <x:c r="E404" s="16" t="str">
        <x:v>Mega Evolution</x:v>
      </x:c>
      <x:c r="F404" s="16" t="str">
        <x:v>Card set / collection</x:v>
      </x:c>
      <x:c r="G404" s="16" t="str">
        <x:v>M1L</x:v>
      </x:c>
      <x:c r="H404" s="16" t="str">
        <x:v>Catalogue identifier (TCG Collector); printed form not independently checked</x:v>
      </x:c>
      <x:c r="I404" s="16" t="str">
        <x:v>2025-08-01</x:v>
      </x:c>
      <x:c r="J404" s="16" t="str">
        <x:v>day</x:v>
      </x:c>
      <x:c r="K404" s="16" t="str">
        <x:v>Japan</x:v>
      </x:c>
      <x:c r="L404" s="16" t="n">
        <x:v>63</x:v>
      </x:c>
      <x:c r="M404" s="16" t="n">
        <x:v>29</x:v>
      </x:c>
      <x:c r="N404" s="16" t="n">
        <x:v>0</x:v>
      </x:c>
      <x:c r="O404" s="16" t="n">
        <x:v>92</x:v>
      </x:c>
      <x:c r="P404" s="16" t="n">
        <x:v>92</x:v>
      </x:c>
      <x:c r="Q404" s="16"/>
      <x:c r="R404" s="16"/>
      <x:c r="S404" s="16" t="str"/>
      <x:c r="T404" s="16"/>
      <x:c r="U404" s="16" t="str">
        <x:v>NO — review only</x:v>
      </x:c>
    </x:row>
    <x:row r="405" ht="54" customHeight="1">
      <x:c r="A405" s="16" t="str">
        <x:v>ja-736839987504</x:v>
      </x:c>
      <x:c r="B405" s="16" t="str">
        <x:v>ja</x:v>
      </x:c>
      <x:c r="C405" s="16" t="str">
        <x:v>Mega Symphonia</x:v>
      </x:c>
      <x:c r="D405" s="16" t="str">
        <x:v>メガシンフォニア</x:v>
      </x:c>
      <x:c r="E405" s="16" t="str">
        <x:v>Mega Evolution</x:v>
      </x:c>
      <x:c r="F405" s="16" t="str">
        <x:v>Card set / collection</x:v>
      </x:c>
      <x:c r="G405" s="16" t="str">
        <x:v>M1S</x:v>
      </x:c>
      <x:c r="H405" s="16" t="str">
        <x:v>Catalogue identifier (TCG Collector); printed form not independently checked</x:v>
      </x:c>
      <x:c r="I405" s="16" t="str">
        <x:v>2025-08-01</x:v>
      </x:c>
      <x:c r="J405" s="16" t="str">
        <x:v>day</x:v>
      </x:c>
      <x:c r="K405" s="16" t="str">
        <x:v>Japan</x:v>
      </x:c>
      <x:c r="L405" s="16" t="n">
        <x:v>63</x:v>
      </x:c>
      <x:c r="M405" s="16" t="n">
        <x:v>29</x:v>
      </x:c>
      <x:c r="N405" s="16" t="n">
        <x:v>0</x:v>
      </x:c>
      <x:c r="O405" s="16" t="n">
        <x:v>92</x:v>
      </x:c>
      <x:c r="P405" s="16" t="n">
        <x:v>92</x:v>
      </x:c>
      <x:c r="Q405" s="16"/>
      <x:c r="R405" s="16"/>
      <x:c r="S405" s="16" t="str"/>
      <x:c r="T405" s="16"/>
      <x:c r="U405" s="16" t="str">
        <x:v>NO — review only</x:v>
      </x:c>
    </x:row>
    <x:row r="406" ht="54" customHeight="1">
      <x:c r="A406" s="16" t="str">
        <x:v>ja-f44e493607aa</x:v>
      </x:c>
      <x:c r="B406" s="16" t="str">
        <x:v>ja</x:v>
      </x:c>
      <x:c r="C406" s="16" t="str">
        <x:v>Inferno X</x:v>
      </x:c>
      <x:c r="D406" s="16" t="str">
        <x:v>インフェルノX</x:v>
      </x:c>
      <x:c r="E406" s="16" t="str">
        <x:v>Mega Evolution</x:v>
      </x:c>
      <x:c r="F406" s="16" t="str">
        <x:v>Card set / collection</x:v>
      </x:c>
      <x:c r="G406" s="16" t="str">
        <x:v>M2</x:v>
      </x:c>
      <x:c r="H406" s="16" t="str">
        <x:v>Catalogue identifier (TCG Collector); printed form not independently checked</x:v>
      </x:c>
      <x:c r="I406" s="16" t="str">
        <x:v>2025-09-26</x:v>
      </x:c>
      <x:c r="J406" s="16" t="str">
        <x:v>day</x:v>
      </x:c>
      <x:c r="K406" s="16" t="str">
        <x:v>Japan</x:v>
      </x:c>
      <x:c r="L406" s="16" t="n">
        <x:v>80</x:v>
      </x:c>
      <x:c r="M406" s="16" t="n">
        <x:v>36</x:v>
      </x:c>
      <x:c r="N406" s="16" t="n">
        <x:v>0</x:v>
      </x:c>
      <x:c r="O406" s="16" t="n">
        <x:v>116</x:v>
      </x:c>
      <x:c r="P406" s="16" t="n">
        <x:v>116</x:v>
      </x:c>
      <x:c r="Q406" s="16"/>
      <x:c r="R406" s="16"/>
      <x:c r="S406" s="16" t="str"/>
      <x:c r="T406" s="16"/>
      <x:c r="U406" s="16" t="str">
        <x:v>NO — review only</x:v>
      </x:c>
    </x:row>
    <x:row r="407" ht="54" customHeight="1">
      <x:c r="A407" s="16" t="str">
        <x:v>ja-f8999c534ee8</x:v>
      </x:c>
      <x:c r="B407" s="16" t="str">
        <x:v>ja</x:v>
      </x:c>
      <x:c r="C407" s="16" t="str">
        <x:v>MEGA Dream ex</x:v>
      </x:c>
      <x:c r="D407" s="16" t="str">
        <x:v>MEGAドリームex</x:v>
      </x:c>
      <x:c r="E407" s="16" t="str">
        <x:v>Mega Evolution</x:v>
      </x:c>
      <x:c r="F407" s="16" t="str">
        <x:v>Card set / collection</x:v>
      </x:c>
      <x:c r="G407" s="16" t="str">
        <x:v>M2a</x:v>
      </x:c>
      <x:c r="H407" s="16" t="str">
        <x:v>Catalogue identifier (TCG Collector); printed form not independently checked</x:v>
      </x:c>
      <x:c r="I407" s="16" t="str">
        <x:v>2025-11-28</x:v>
      </x:c>
      <x:c r="J407" s="16" t="str">
        <x:v>day</x:v>
      </x:c>
      <x:c r="K407" s="16" t="str">
        <x:v>Japan</x:v>
      </x:c>
      <x:c r="L407" s="16" t="n">
        <x:v>193</x:v>
      </x:c>
      <x:c r="M407" s="16" t="n">
        <x:v>57</x:v>
      </x:c>
      <x:c r="N407" s="16" t="n">
        <x:v>0</x:v>
      </x:c>
      <x:c r="O407" s="16" t="n">
        <x:v>250</x:v>
      </x:c>
      <x:c r="P407" s="16" t="n">
        <x:v>250</x:v>
      </x:c>
      <x:c r="Q407" s="16"/>
      <x:c r="R407" s="16"/>
      <x:c r="S407" s="16" t="str"/>
      <x:c r="T407" s="16"/>
      <x:c r="U407" s="16" t="str">
        <x:v>NO — review only</x:v>
      </x:c>
    </x:row>
    <x:row r="408" ht="54" customHeight="1">
      <x:c r="A408" s="16" t="str">
        <x:v>ja-ed06c96f7471</x:v>
      </x:c>
      <x:c r="B408" s="16" t="str">
        <x:v>ja</x:v>
      </x:c>
      <x:c r="C408" s="16" t="str">
        <x:v>Nihil Zero</x:v>
      </x:c>
      <x:c r="D408" s="16" t="str">
        <x:v>ムニキスゼロ</x:v>
      </x:c>
      <x:c r="E408" s="16" t="str">
        <x:v>Mega Evolution</x:v>
      </x:c>
      <x:c r="F408" s="16" t="str">
        <x:v>Card set / collection</x:v>
      </x:c>
      <x:c r="G408" s="16" t="str">
        <x:v>M3</x:v>
      </x:c>
      <x:c r="H408" s="16" t="str">
        <x:v>Official product/catalogue identifier; not a Stackr ID</x:v>
      </x:c>
      <x:c r="I408" s="16" t="str">
        <x:v>2026-01-23</x:v>
      </x:c>
      <x:c r="J408" s="16" t="str">
        <x:v>day</x:v>
      </x:c>
      <x:c r="K408" s="16" t="str">
        <x:v>Japan</x:v>
      </x:c>
      <x:c r="L408" s="16" t="n">
        <x:v>80</x:v>
      </x:c>
      <x:c r="M408" s="16" t="n">
        <x:v>37</x:v>
      </x:c>
      <x:c r="N408" s="16" t="n">
        <x:v>0</x:v>
      </x:c>
      <x:c r="O408" s="16" t="n">
        <x:v>117</x:v>
      </x:c>
      <x:c r="P408" s="16" t="n">
        <x:v>117</x:v>
      </x:c>
      <x:c r="Q408" s="16"/>
      <x:c r="R408" s="16"/>
      <x:c r="S408" s="16" t="str"/>
      <x:c r="T408" s="16"/>
      <x:c r="U408" s="16" t="str">
        <x:v>NO — review only</x:v>
      </x:c>
    </x:row>
    <x:row r="409" ht="54" customHeight="1">
      <x:c r="A409" s="16" t="str">
        <x:v>ja-ad8588bb85a3</x:v>
      </x:c>
      <x:c r="B409" s="16" t="str">
        <x:v>ja</x:v>
      </x:c>
      <x:c r="C409" s="16" t="str">
        <x:v>Ninja Spinner</x:v>
      </x:c>
      <x:c r="D409" s="16" t="str">
        <x:v>ニンジャスピナー</x:v>
      </x:c>
      <x:c r="E409" s="16" t="str">
        <x:v>Mega Evolution</x:v>
      </x:c>
      <x:c r="F409" s="16" t="str">
        <x:v>Card set / collection</x:v>
      </x:c>
      <x:c r="G409" s="16" t="str">
        <x:v>M4</x:v>
      </x:c>
      <x:c r="H409" s="16" t="str">
        <x:v>Official product/catalogue identifier; not a Stackr ID</x:v>
      </x:c>
      <x:c r="I409" s="16" t="str">
        <x:v>2026-03-13</x:v>
      </x:c>
      <x:c r="J409" s="16" t="str">
        <x:v>day</x:v>
      </x:c>
      <x:c r="K409" s="16" t="str">
        <x:v>Japan</x:v>
      </x:c>
      <x:c r="L409" s="16" t="n">
        <x:v>83</x:v>
      </x:c>
      <x:c r="M409" s="16" t="n">
        <x:v>37</x:v>
      </x:c>
      <x:c r="N409" s="16" t="n">
        <x:v>0</x:v>
      </x:c>
      <x:c r="O409" s="16" t="n">
        <x:v>120</x:v>
      </x:c>
      <x:c r="P409" s="16" t="n">
        <x:v>120</x:v>
      </x:c>
      <x:c r="Q409" s="16"/>
      <x:c r="R409" s="16"/>
      <x:c r="S409" s="16" t="str"/>
      <x:c r="T409" s="16"/>
      <x:c r="U409" s="16" t="str">
        <x:v>NO — review only</x:v>
      </x:c>
    </x:row>
    <x:row r="410" ht="54" customHeight="1">
      <x:c r="A410" s="16" t="str">
        <x:v>ja-53c96b5e509c</x:v>
      </x:c>
      <x:c r="B410" s="16" t="str">
        <x:v>ja</x:v>
      </x:c>
      <x:c r="C410" s="16" t="str">
        <x:v>Abyss Eye</x:v>
      </x:c>
      <x:c r="D410" s="16" t="str">
        <x:v>アビスアイ</x:v>
      </x:c>
      <x:c r="E410" s="16" t="str">
        <x:v>Mega Evolution</x:v>
      </x:c>
      <x:c r="F410" s="16" t="str">
        <x:v>Card set / collection</x:v>
      </x:c>
      <x:c r="G410" s="16" t="str">
        <x:v>M5</x:v>
      </x:c>
      <x:c r="H410" s="16" t="str">
        <x:v>Official product/catalogue identifier; not a Stackr ID</x:v>
      </x:c>
      <x:c r="I410" s="16" t="str">
        <x:v>2026-05-22</x:v>
      </x:c>
      <x:c r="J410" s="16" t="str">
        <x:v>day</x:v>
      </x:c>
      <x:c r="K410" s="16" t="str">
        <x:v>Japan</x:v>
      </x:c>
      <x:c r="L410" s="16" t="n">
        <x:v>81</x:v>
      </x:c>
      <x:c r="M410" s="16" t="n">
        <x:v>37</x:v>
      </x:c>
      <x:c r="N410" s="16" t="n">
        <x:v>0</x:v>
      </x:c>
      <x:c r="O410" s="16" t="n">
        <x:v>118</x:v>
      </x:c>
      <x:c r="P410" s="16" t="n">
        <x:v>118</x:v>
      </x:c>
      <x:c r="Q410" s="16"/>
      <x:c r="R410" s="16"/>
      <x:c r="S410" s="16" t="str"/>
      <x:c r="T410" s="16"/>
      <x:c r="U410" s="16" t="str">
        <x:v>NO — review only</x:v>
      </x:c>
    </x:row>
    <x:row r="411" ht="54" customHeight="1">
      <x:c r="A411" s="16" t="str">
        <x:v>ja-ca7893199ddf</x:v>
      </x:c>
      <x:c r="B411" s="16" t="str">
        <x:v>ja</x:v>
      </x:c>
      <x:c r="C411" s="16" t="str">
        <x:v>Storm Emeralda</x:v>
      </x:c>
      <x:c r="D411" s="16" t="str">
        <x:v>ストームエメラルダ</x:v>
      </x:c>
      <x:c r="E411" s="16" t="str">
        <x:v>Mega Evolution</x:v>
      </x:c>
      <x:c r="F411" s="16" t="str">
        <x:v>Card set / collection</x:v>
      </x:c>
      <x:c r="G411" s="16" t="str">
        <x:v>M6</x:v>
      </x:c>
      <x:c r="H411" s="16" t="str">
        <x:v>Official product/catalogue identifier; not a Stackr ID</x:v>
      </x:c>
      <x:c r="I411" s="16" t="str">
        <x:v>2026-07-31</x:v>
      </x:c>
      <x:c r="J411" s="16" t="str">
        <x:v>day</x:v>
      </x:c>
      <x:c r="K411" s="16" t="str">
        <x:v>Japan</x:v>
      </x:c>
      <x:c r="L411" s="16" t="n">
        <x:v>76</x:v>
      </x:c>
      <x:c r="M411" s="16" t="n">
        <x:v>37</x:v>
      </x:c>
      <x:c r="N411" s="16" t="n">
        <x:v>0</x:v>
      </x:c>
      <x:c r="O411" s="16" t="n">
        <x:v>113</x:v>
      </x:c>
      <x:c r="P411" s="16" t="n">
        <x:v>113</x:v>
      </x:c>
      <x:c r="Q411" s="16"/>
      <x:c r="R411" s="16"/>
      <x:c r="S411" s="16" t="str"/>
      <x:c r="T411" s="16"/>
      <x:c r="U411" s="16" t="str">
        <x:v>NO — review only</x:v>
      </x:c>
    </x:row>
    <x:row r="412" ht="54" customHeight="1">
      <x:c r="A412" s="16" t="str">
        <x:v>ja-b1b5ce787164</x:v>
      </x:c>
      <x:c r="B412" s="16" t="str">
        <x:v>ja</x:v>
      </x:c>
      <x:c r="C412" s="16" t="str">
        <x:v>30th Celebration</x:v>
      </x:c>
      <x:c r="D412" s="16" t="str">
        <x:v>30th CELEBRATION</x:v>
      </x:c>
      <x:c r="E412" s="16" t="str">
        <x:v>Mega Evolution</x:v>
      </x:c>
      <x:c r="F412" s="16" t="str">
        <x:v>Card set / collection</x:v>
      </x:c>
      <x:c r="G412" s="16" t="str">
        <x:v>M6a</x:v>
      </x:c>
      <x:c r="H412" s="16" t="str">
        <x:v>Catalogue identifier (TCG Collector); printed form not independently checked</x:v>
      </x:c>
      <x:c r="I412" s="16" t="str">
        <x:v>2026-09-16</x:v>
      </x:c>
      <x:c r="J412" s="16" t="str">
        <x:v>day</x:v>
      </x:c>
      <x:c r="K412" s="16" t="str">
        <x:v>Japan</x:v>
      </x:c>
      <x:c r="L412" s="16" t="n">
        <x:v>103</x:v>
      </x:c>
      <x:c r="M412" s="16" t="n">
        <x:v>62</x:v>
      </x:c>
      <x:c r="N412" s="16" t="n">
        <x:v>0</x:v>
      </x:c>
      <x:c r="O412" s="16" t="n">
        <x:v>173</x:v>
      </x:c>
      <x:c r="P412" s="16" t="n">
        <x:v>165</x:v>
      </x:c>
      <x:c r="Q412" s="16"/>
      <x:c r="R412" s="16"/>
      <x:c r="S412" s="16" t="str"/>
      <x:c r="T412" s="16" t="str">
        <x:v>https://bulbapedia.bulbagarden.net/wiki/List_of_Japanese_TCG_Expansions ; https://tokyocardreport.com/articles/30th-celebration-card-list-chase-cards/</x:v>
      </x:c>
      <x:c r="U412" s="16" t="str">
        <x:v>NO — review only</x:v>
      </x:c>
    </x:row>
    <x:row r="413" ht="54" customHeight="1">
      <x:c r="A413" s="16" t="str">
        <x:v>ja-b1764b4acecd</x:v>
      </x:c>
      <x:c r="B413" s="16" t="str">
        <x:v>ja</x:v>
      </x:c>
      <x:c r="C413" s="16" t="str">
        <x:v>Ash vs Team Rocket Battle Set</x:v>
      </x:c>
      <x:c r="D413" s="16" t="str">
        <x:v>30枚デッキ対戦セット「サトシVSロケット団」</x:v>
      </x:c>
      <x:c r="E413" s="16" t="str">
        <x:v>Sun &amp; Moon</x:v>
      </x:c>
      <x:c r="F413" s="16" t="str">
        <x:v>Product / deck</x:v>
      </x:c>
      <x:c r="G413" s="16" t="str">
        <x:v>SMD</x:v>
      </x:c>
      <x:c r="H413" s="16" t="str">
        <x:v>Catalogue identifier (TCG Collector); may identify shared product family</x:v>
      </x:c>
      <x:c r="I413" s="16" t="str">
        <x:v>2017-04-21</x:v>
      </x:c>
      <x:c r="J413" s="16" t="str">
        <x:v>day</x:v>
      </x:c>
      <x:c r="K413" s="16" t="str">
        <x:v>Japan</x:v>
      </x:c>
      <x:c r="L413" s="16"/>
      <x:c r="M413" s="16"/>
      <x:c r="N413" s="16"/>
      <x:c r="O413" s="16" t="n">
        <x:v>30</x:v>
      </x:c>
      <x:c r="P413" s="16" t="n">
        <x:v>30</x:v>
      </x:c>
      <x:c r="Q413" s="16"/>
      <x:c r="R413" s="16" t="n">
        <x:v>60</x:v>
      </x:c>
      <x:c r="S413" s="16" t="str"/>
      <x:c r="T413" s="16" t="str">
        <x:v>https://www.pokemon-card.com/products/sm/smd.html</x:v>
      </x:c>
      <x:c r="U413" s="16" t="str">
        <x:v>NO — review only</x:v>
      </x:c>
    </x:row>
    <x:row r="414" ht="54" customHeight="1">
      <x:c r="A414" s="16" t="str">
        <x:v>ja-08c1ac029230</x:v>
      </x:c>
      <x:c r="B414" s="16" t="str">
        <x:v>ja</x:v>
      </x:c>
      <x:c r="C414" s="16" t="str">
        <x:v>Aura Seeker</x:v>
      </x:c>
      <x:c r="D414" s="16" t="str">
        <x:v>ハドウシーカー</x:v>
      </x:c>
      <x:c r="E414" s="16" t="str">
        <x:v>Mega Evolution</x:v>
      </x:c>
      <x:c r="F414" s="16" t="str">
        <x:v>Unconfirmed candidate</x:v>
      </x:c>
      <x:c r="G414" s="16" t="str">
        <x:v>JA-AURA</x:v>
      </x:c>
      <x:c r="H414" s="16" t="str">
        <x:v>PROVISIONAL Stackr identifier only. Aura Seeker is an expected future Japanese MEGA-era set; no official expansion code is established as of 26 September 2026</x:v>
      </x:c>
      <x:c r="I414" s="16"/>
      <x:c r="J414" s="16" t="str">
        <x:v>unknown</x:v>
      </x:c>
      <x:c r="K414" s="16" t="str">
        <x:v>Japan</x:v>
      </x:c>
      <x:c r="L414" s="16"/>
      <x:c r="M414" s="16"/>
      <x:c r="N414" s="16" t="n">
        <x:v>0</x:v>
      </x:c>
      <x:c r="O414" s="16"/>
      <x:c r="P414" s="16"/>
      <x:c r="Q414" s="16"/>
      <x:c r="R414" s="16"/>
      <x:c r="S414" s="16" t="str">
        <x:v>release_date, official_set_code_pending, official_release_date_pending, reference_count_pending_official_checklist, numbered_total_pending_official_checklist</x:v>
      </x:c>
      <x:c r="T414" s="16" t="str">
        <x:v>https://bulbapedia.bulbagarden.net/wiki/Aura_Seeker_%28TCG%29 ; https://bulbapedia.bulbagarden.net/wiki/Aura_Seeker_(TCG)</x:v>
      </x:c>
      <x:c r="U414" s="16" t="str">
        <x:v>NO — review only</x:v>
      </x:c>
    </x:row>
    <x:row r="415" ht="54" customHeight="1">
      <x:c r="A415" s="16" t="str">
        <x:v>ja-ed85c17ec216</x:v>
      </x:c>
      <x:c r="B415" s="16" t="str">
        <x:v>ja</x:v>
      </x:c>
      <x:c r="C415" s="16" t="str">
        <x:v>Blastoise &amp; Kyurem Combo Deck</x:v>
      </x:c>
      <x:c r="D415" s="16" t="str">
        <x:v>最強爆流コンボデッキ60 カメックス＋キュレムEX</x:v>
      </x:c>
      <x:c r="E415" s="16" t="str">
        <x:v>BW</x:v>
      </x:c>
      <x:c r="F415" s="16" t="str">
        <x:v>Product / deck</x:v>
      </x:c>
      <x:c r="G415" s="16" t="str">
        <x:v>K+K</x:v>
      </x:c>
      <x:c r="H415" s="16" t="str">
        <x:v>Catalogue identifier (TCG Collector); may identify shared product family</x:v>
      </x:c>
      <x:c r="I415" s="16" t="str">
        <x:v>2013-03-15</x:v>
      </x:c>
      <x:c r="J415" s="16" t="str">
        <x:v>day</x:v>
      </x:c>
      <x:c r="K415" s="16" t="str">
        <x:v>Japan</x:v>
      </x:c>
      <x:c r="L415" s="16"/>
      <x:c r="M415" s="16"/>
      <x:c r="N415" s="16"/>
      <x:c r="O415" s="16" t="n">
        <x:v>19</x:v>
      </x:c>
      <x:c r="P415" s="16" t="n">
        <x:v>19</x:v>
      </x:c>
      <x:c r="Q415" s="16"/>
      <x:c r="R415" s="16"/>
      <x:c r="S415" s="16" t="str"/>
      <x:c r="T415" s="16" t="str">
        <x:v>https://www.pokemon-card.com/card-search/details.php/card/28659/</x:v>
      </x:c>
      <x:c r="U415" s="16" t="str">
        <x:v>NO — review only</x:v>
      </x:c>
    </x:row>
    <x:row r="416" ht="54" customHeight="1">
      <x:c r="A416" s="16" t="str">
        <x:v>ja-25e1785bd838</x:v>
      </x:c>
      <x:c r="B416" s="16" t="str">
        <x:v>ja</x:v>
      </x:c>
      <x:c r="C416" s="16" t="str">
        <x:v>Eevee Heroes VMAX Special Set</x:v>
      </x:c>
      <x:c r="D416" s="16" t="str">
        <x:v>VMAXスペシャルセット イーブイヒーローズ</x:v>
      </x:c>
      <x:c r="E416" s="16" t="str">
        <x:v>Sword &amp; Shield</x:v>
      </x:c>
      <x:c r="F416" s="16" t="str">
        <x:v>Product / deck</x:v>
      </x:c>
      <x:c r="G416" s="16" t="str">
        <x:v>SP4</x:v>
      </x:c>
      <x:c r="H416" s="16" t="str">
        <x:v>Catalogue identifier (TCG Collector); may identify shared product family</x:v>
      </x:c>
      <x:c r="I416" s="16" t="str">
        <x:v>2021-05-28</x:v>
      </x:c>
      <x:c r="J416" s="16" t="str">
        <x:v>day</x:v>
      </x:c>
      <x:c r="K416" s="16" t="str">
        <x:v>Japan</x:v>
      </x:c>
      <x:c r="L416" s="16"/>
      <x:c r="M416" s="16"/>
      <x:c r="N416" s="16"/>
      <x:c r="O416" s="16" t="n">
        <x:v>8</x:v>
      </x:c>
      <x:c r="P416" s="16" t="n">
        <x:v>8</x:v>
      </x:c>
      <x:c r="Q416" s="16"/>
      <x:c r="R416" s="16"/>
      <x:c r="S416" s="16" t="str"/>
      <x:c r="T416" s="16" t="str">
        <x:v>https://www.pokemon-card.com/products/s/sp4.html</x:v>
      </x:c>
      <x:c r="U416" s="16" t="str">
        <x:v>NO — review only</x:v>
      </x:c>
    </x:row>
    <x:row r="417" ht="54" customHeight="1">
      <x:c r="A417" s="16" t="str">
        <x:v>ja-fb8b80ed6a17</x:v>
      </x:c>
      <x:c r="B417" s="16" t="str">
        <x:v>ja</x:v>
      </x:c>
      <x:c r="C417" s="16" t="str">
        <x:v>Exciting Battle for Everyone</x:v>
      </x:c>
      <x:c r="D417" s="16" t="str">
        <x:v>みんなのWAKUWAKUバトル</x:v>
      </x:c>
      <x:c r="E417" s="16" t="str">
        <x:v>BW</x:v>
      </x:c>
      <x:c r="F417" s="16" t="str">
        <x:v>Product / deck</x:v>
      </x:c>
      <x:c r="G417" s="16" t="str">
        <x:v>WAK</x:v>
      </x:c>
      <x:c r="H417" s="16" t="str">
        <x:v>Catalogue identifier (TCG Collector); may identify shared product family</x:v>
      </x:c>
      <x:c r="I417" s="16" t="str">
        <x:v>2012-11-16</x:v>
      </x:c>
      <x:c r="J417" s="16" t="str">
        <x:v>day</x:v>
      </x:c>
      <x:c r="K417" s="16" t="str">
        <x:v>Japan</x:v>
      </x:c>
      <x:c r="L417" s="16"/>
      <x:c r="M417" s="16"/>
      <x:c r="N417" s="16"/>
      <x:c r="O417" s="16" t="n">
        <x:v>55</x:v>
      </x:c>
      <x:c r="P417" s="16" t="n">
        <x:v>55</x:v>
      </x:c>
      <x:c r="Q417" s="16"/>
      <x:c r="R417" s="16"/>
      <x:c r="S417" s="16" t="str"/>
      <x:c r="T417" s="16" t="str">
        <x:v>https://www.pokemon-card.com/card-search/details.php/card/28455</x:v>
      </x:c>
      <x:c r="U417" s="16" t="str">
        <x:v>NO — review only</x:v>
      </x:c>
    </x:row>
    <x:row r="418" ht="54" customHeight="1">
      <x:c r="A418" s="16" t="str">
        <x:v>ja-cc38166449ff</x:v>
      </x:c>
      <x:c r="B418" s="16" t="str">
        <x:v>ja</x:v>
      </x:c>
      <x:c r="C418" s="16" t="str">
        <x:v>Garchomp Half Deck</x:v>
      </x:c>
      <x:c r="D418" s="16" t="str">
        <x:v>ガブリアスデッキ30</x:v>
      </x:c>
      <x:c r="E418" s="16" t="str">
        <x:v>BW</x:v>
      </x:c>
      <x:c r="F418" s="16" t="str">
        <x:v>Product / deck</x:v>
      </x:c>
      <x:c r="G418" s="16" t="str">
        <x:v>GBR</x:v>
      </x:c>
      <x:c r="H418" s="16" t="str">
        <x:v>Catalogue identifier (TCG Collector); may identify shared product family</x:v>
      </x:c>
      <x:c r="I418" s="16" t="str">
        <x:v>2012-03-16</x:v>
      </x:c>
      <x:c r="J418" s="16" t="str">
        <x:v>day</x:v>
      </x:c>
      <x:c r="K418" s="16" t="str">
        <x:v>Japan</x:v>
      </x:c>
      <x:c r="L418" s="16"/>
      <x:c r="M418" s="16"/>
      <x:c r="N418" s="16"/>
      <x:c r="O418" s="16" t="n">
        <x:v>18</x:v>
      </x:c>
      <x:c r="P418" s="16" t="n">
        <x:v>18</x:v>
      </x:c>
      <x:c r="Q418" s="16"/>
      <x:c r="R418" s="16"/>
      <x:c r="S418" s="16" t="str"/>
      <x:c r="T418" s="16" t="str">
        <x:v>https://www.pokemon-card.com/card-search/details.php/card/27982</x:v>
      </x:c>
      <x:c r="U418" s="16" t="str">
        <x:v>NO — review only</x:v>
      </x:c>
    </x:row>
    <x:row r="419" ht="54" customHeight="1">
      <x:c r="A419" s="16" t="str">
        <x:v>ja-67342d154972</x:v>
      </x:c>
      <x:c r="B419" s="16" t="str">
        <x:v>ja</x:v>
      </x:c>
      <x:c r="C419" s="16" t="str">
        <x:v>Genesect Half Deck (Mewtwo vs Genesect)</x:v>
      </x:c>
      <x:c r="D419" s="16" t="str">
        <x:v>ゲノセクトハーフデッキ（30枚デッキ対戦set ミュウツーVSゲノセクト）</x:v>
      </x:c>
      <x:c r="E419" s="16" t="str">
        <x:v>BW</x:v>
      </x:c>
      <x:c r="F419" s="16" t="str">
        <x:v>Product / deck</x:v>
      </x:c>
      <x:c r="G419" s="16" t="str">
        <x:v>MG-G</x:v>
      </x:c>
      <x:c r="H419" s="16" t="str">
        <x:v>Stackr component alias for the Genesect half of the shared MG Mewtwo vs Genesect deck-kit family.</x:v>
      </x:c>
      <x:c r="I419" s="16" t="str">
        <x:v>2013-07-13</x:v>
      </x:c>
      <x:c r="J419" s="16" t="str">
        <x:v>day</x:v>
      </x:c>
      <x:c r="K419" s="16" t="str">
        <x:v>Japan</x:v>
      </x:c>
      <x:c r="L419" s="16"/>
      <x:c r="M419" s="16"/>
      <x:c r="N419" s="16"/>
      <x:c r="O419" s="16" t="n">
        <x:v>17</x:v>
      </x:c>
      <x:c r="P419" s="16" t="n">
        <x:v>17</x:v>
      </x:c>
      <x:c r="Q419" s="16"/>
      <x:c r="R419" s="16"/>
      <x:c r="S419" s="16" t="str"/>
      <x:c r="T419" s="16" t="str">
        <x:v>https://bulbapedia.bulbagarden.net/wiki/Genesect_Half_Deck_%28TCG%29</x:v>
      </x:c>
      <x:c r="U419" s="16" t="str">
        <x:v>NO — review only</x:v>
      </x:c>
    </x:row>
    <x:row r="420" ht="54" customHeight="1">
      <x:c r="A420" s="16" t="str">
        <x:v>ja-354378f4f0c7</x:v>
      </x:c>
      <x:c r="B420" s="16" t="str">
        <x:v>ja</x:v>
      </x:c>
      <x:c r="C420" s="16" t="str">
        <x:v>Golduck BREAK &amp; Palkia-EX Combo Deck</x:v>
      </x:c>
      <x:c r="D420" s="16" t="str">
        <x:v>BREAKコンボデッキ60「ゴルダックBREAK+パルキアEX」</x:v>
      </x:c>
      <x:c r="E420" s="16" t="str">
        <x:v>XY</x:v>
      </x:c>
      <x:c r="F420" s="16" t="str">
        <x:v>Product / deck</x:v>
      </x:c>
      <x:c r="G420" s="16" t="str">
        <x:v>XYF</x:v>
      </x:c>
      <x:c r="H420" s="16" t="str">
        <x:v>Catalogue identifier (TCG Collector); may identify shared product family</x:v>
      </x:c>
      <x:c r="I420" s="16" t="str">
        <x:v>2015-10-09</x:v>
      </x:c>
      <x:c r="J420" s="16" t="str">
        <x:v>day</x:v>
      </x:c>
      <x:c r="K420" s="16" t="str">
        <x:v>Japan</x:v>
      </x:c>
      <x:c r="L420" s="16"/>
      <x:c r="M420" s="16"/>
      <x:c r="N420" s="16"/>
      <x:c r="O420" s="16" t="n">
        <x:v>17</x:v>
      </x:c>
      <x:c r="P420" s="16" t="n">
        <x:v>17</x:v>
      </x:c>
      <x:c r="Q420" s="16"/>
      <x:c r="R420" s="16" t="n">
        <x:v>60</x:v>
      </x:c>
      <x:c r="S420" s="16" t="str"/>
      <x:c r="T420" s="16" t="str">
        <x:v>https://www.pokemon-card.com/products/xy/xyf.html</x:v>
      </x:c>
      <x:c r="U420" s="16" t="str">
        <x:v>NO — review only</x:v>
      </x:c>
    </x:row>
    <x:row r="421" ht="54" customHeight="1">
      <x:c r="A421" s="16" t="str">
        <x:v>ja-b505cc9dc7df</x:v>
      </x:c>
      <x:c r="B421" s="16" t="str">
        <x:v>ja</x:v>
      </x:c>
      <x:c r="C421" s="16" t="str">
        <x:v>Hydreigon Half Deck</x:v>
      </x:c>
      <x:c r="D421" s="16" t="str">
        <x:v>サザンドラデッキ30</x:v>
      </x:c>
      <x:c r="E421" s="16" t="str">
        <x:v>BW</x:v>
      </x:c>
      <x:c r="F421" s="16" t="str">
        <x:v>Product / deck</x:v>
      </x:c>
      <x:c r="G421" s="16" t="str">
        <x:v>SZD</x:v>
      </x:c>
      <x:c r="H421" s="16" t="str">
        <x:v>Catalogue identifier (TCG Collector); may identify shared product family</x:v>
      </x:c>
      <x:c r="I421" s="16" t="str">
        <x:v>2012-03-16</x:v>
      </x:c>
      <x:c r="J421" s="16" t="str">
        <x:v>day</x:v>
      </x:c>
      <x:c r="K421" s="16" t="str">
        <x:v>Japan</x:v>
      </x:c>
      <x:c r="L421" s="16"/>
      <x:c r="M421" s="16"/>
      <x:c r="N421" s="16"/>
      <x:c r="O421" s="16" t="n">
        <x:v>18</x:v>
      </x:c>
      <x:c r="P421" s="16" t="n">
        <x:v>18</x:v>
      </x:c>
      <x:c r="Q421" s="16"/>
      <x:c r="R421" s="16"/>
      <x:c r="S421" s="16" t="str"/>
      <x:c r="T421" s="16" t="str">
        <x:v>https://www.pokemon-card.com/ex/25th/chronicle/</x:v>
      </x:c>
      <x:c r="U421" s="16" t="str">
        <x:v>NO — review only</x:v>
      </x:c>
    </x:row>
    <x:row r="422" ht="54" customHeight="1">
      <x:c r="A422" s="16" t="str">
        <x:v>ja-8fdc44f9f846</x:v>
      </x:c>
      <x:c r="B422" s="16" t="str">
        <x:v>ja</x:v>
      </x:c>
      <x:c r="C422" s="16" t="str">
        <x:v>Hyper Metal Chain Deck</x:v>
      </x:c>
      <x:c r="D422" s="16" t="str">
        <x:v>ハイパーメタルチェーンデッキ60「ディアルガEX+ギルガルドEX」</x:v>
      </x:c>
      <x:c r="E422" s="16" t="str">
        <x:v>XY</x:v>
      </x:c>
      <x:c r="F422" s="16" t="str">
        <x:v>Product / deck</x:v>
      </x:c>
      <x:c r="G422" s="16" t="str">
        <x:v>XYB</x:v>
      </x:c>
      <x:c r="H422" s="16" t="str">
        <x:v>Catalogue identifier (TCG Collector); may identify shared product family</x:v>
      </x:c>
      <x:c r="I422" s="16" t="str">
        <x:v>2014-09-13</x:v>
      </x:c>
      <x:c r="J422" s="16" t="str">
        <x:v>day</x:v>
      </x:c>
      <x:c r="K422" s="16" t="str">
        <x:v>Japan</x:v>
      </x:c>
      <x:c r="L422" s="16"/>
      <x:c r="M422" s="16"/>
      <x:c r="N422" s="16"/>
      <x:c r="O422" s="16" t="n">
        <x:v>20</x:v>
      </x:c>
      <x:c r="P422" s="16" t="n">
        <x:v>20</x:v>
      </x:c>
      <x:c r="Q422" s="16"/>
      <x:c r="R422" s="16" t="n">
        <x:v>60</x:v>
      </x:c>
      <x:c r="S422" s="16" t="str"/>
      <x:c r="T422" s="16" t="str">
        <x:v>https://www.pokemon-card.com/products/xy/metal60.html</x:v>
      </x:c>
      <x:c r="U422" s="16" t="str">
        <x:v>NO — review only</x:v>
      </x:c>
    </x:row>
    <x:row r="423" ht="54" customHeight="1">
      <x:c r="A423" s="16" t="str">
        <x:v>ja-1e32a0d9a484</x:v>
      </x:c>
      <x:c r="B423" s="16" t="str">
        <x:v>ja</x:v>
      </x:c>
      <x:c r="C423" s="16" t="str">
        <x:v>Keldeo Battle Strength Deck</x:v>
      </x:c>
      <x:c r="D423" s="16" t="str">
        <x:v>バトル強化デッキ30「ケルディオ」</x:v>
      </x:c>
      <x:c r="E423" s="16" t="str">
        <x:v>BW</x:v>
      </x:c>
      <x:c r="F423" s="16" t="str">
        <x:v>Product / deck</x:v>
      </x:c>
      <x:c r="G423" s="16" t="str">
        <x:v>KLD</x:v>
      </x:c>
      <x:c r="H423" s="16" t="str">
        <x:v>Catalogue identifier (TCG Collector); may identify shared product family</x:v>
      </x:c>
      <x:c r="I423" s="16" t="str">
        <x:v>2012-04-20</x:v>
      </x:c>
      <x:c r="J423" s="16" t="str">
        <x:v>day</x:v>
      </x:c>
      <x:c r="K423" s="16" t="str">
        <x:v>Japan</x:v>
      </x:c>
      <x:c r="L423" s="16"/>
      <x:c r="M423" s="16"/>
      <x:c r="N423" s="16"/>
      <x:c r="O423" s="16" t="n">
        <x:v>18</x:v>
      </x:c>
      <x:c r="P423" s="16" t="n">
        <x:v>18</x:v>
      </x:c>
      <x:c r="Q423" s="16"/>
      <x:c r="R423" s="16"/>
      <x:c r="S423" s="16" t="str"/>
      <x:c r="T423" s="16" t="str">
        <x:v>https://www.pokemon-card.com/ex/25th/chronicle/</x:v>
      </x:c>
      <x:c r="U423" s="16" t="str">
        <x:v>NO — review only</x:v>
      </x:c>
    </x:row>
    <x:row r="424" ht="54" customHeight="1">
      <x:c r="A424" s="16" t="str">
        <x:v>ja-4a0cce65985c</x:v>
      </x:c>
      <x:c r="B424" s="16" t="str">
        <x:v>ja</x:v>
      </x:c>
      <x:c r="C424" s="16" t="str">
        <x:v>M Charizard-EX Mega Battle Deck</x:v>
      </x:c>
      <x:c r="D424" s="16" t="str">
        <x:v>メガバトルデッキ60「メガリザードンEX」</x:v>
      </x:c>
      <x:c r="E424" s="16" t="str">
        <x:v>XY</x:v>
      </x:c>
      <x:c r="F424" s="16" t="str">
        <x:v>Product / deck</x:v>
      </x:c>
      <x:c r="G424" s="16" t="str">
        <x:v>XYA</x:v>
      </x:c>
      <x:c r="H424" s="16" t="str">
        <x:v>Catalogue identifier (TCG Collector); may identify shared product family</x:v>
      </x:c>
      <x:c r="I424" s="16" t="str">
        <x:v>2014-03-15</x:v>
      </x:c>
      <x:c r="J424" s="16" t="str">
        <x:v>day</x:v>
      </x:c>
      <x:c r="K424" s="16" t="str">
        <x:v>Japan</x:v>
      </x:c>
      <x:c r="L424" s="16"/>
      <x:c r="M424" s="16"/>
      <x:c r="N424" s="16"/>
      <x:c r="O424" s="16" t="n">
        <x:v>23</x:v>
      </x:c>
      <x:c r="P424" s="16" t="n">
        <x:v>23</x:v>
      </x:c>
      <x:c r="Q424" s="16"/>
      <x:c r="R424" s="16" t="n">
        <x:v>60</x:v>
      </x:c>
      <x:c r="S424" s="16" t="str"/>
      <x:c r="T424" s="16" t="str">
        <x:v>https://www.pokemon-card.com/products/xy/xy2.html</x:v>
      </x:c>
      <x:c r="U424" s="16" t="str">
        <x:v>NO — review only</x:v>
      </x:c>
    </x:row>
    <x:row r="425" ht="54" customHeight="1">
      <x:c r="A425" s="16" t="str">
        <x:v>ja-3305a29da758</x:v>
      </x:c>
      <x:c r="B425" s="16" t="str">
        <x:v>ja</x:v>
      </x:c>
      <x:c r="C425" s="16" t="str">
        <x:v>Mega Audino-EX Mega Battle Deck</x:v>
      </x:c>
      <x:c r="D425" s="16" t="str">
        <x:v>メガバトルデッキ60「メガタブンネEX」</x:v>
      </x:c>
      <x:c r="E425" s="16" t="str">
        <x:v>XY</x:v>
      </x:c>
      <x:c r="F425" s="16" t="str">
        <x:v>Product / deck</x:v>
      </x:c>
      <x:c r="G425" s="16" t="str">
        <x:v>XYH</x:v>
      </x:c>
      <x:c r="H425" s="16" t="str">
        <x:v>Catalogue identifier (TCG Collector); may identify shared product family</x:v>
      </x:c>
      <x:c r="I425" s="16" t="str">
        <x:v>2016-03-18</x:v>
      </x:c>
      <x:c r="J425" s="16" t="str">
        <x:v>day</x:v>
      </x:c>
      <x:c r="K425" s="16" t="str">
        <x:v>Japan</x:v>
      </x:c>
      <x:c r="L425" s="16"/>
      <x:c r="M425" s="16"/>
      <x:c r="N425" s="16"/>
      <x:c r="O425" s="16" t="n">
        <x:v>27</x:v>
      </x:c>
      <x:c r="P425" s="16" t="n">
        <x:v>27</x:v>
      </x:c>
      <x:c r="Q425" s="16"/>
      <x:c r="R425" s="16" t="n">
        <x:v>60</x:v>
      </x:c>
      <x:c r="S425" s="16" t="str"/>
      <x:c r="T425" s="16" t="str">
        <x:v>https://www.pokemon-card.com/products/xy/xygh.html</x:v>
      </x:c>
      <x:c r="U425" s="16" t="str">
        <x:v>NO — review only</x:v>
      </x:c>
    </x:row>
    <x:row r="426" ht="54" customHeight="1">
      <x:c r="A426" s="16" t="str">
        <x:v>ja-f552fe7fd0ba</x:v>
      </x:c>
      <x:c r="B426" s="16" t="str">
        <x:v>ja</x:v>
      </x:c>
      <x:c r="C426" s="16" t="str">
        <x:v>Mega Rayquaza-EX Battle Deck</x:v>
      </x:c>
      <x:c r="D426" s="16" t="str">
        <x:v>メガバトルデッキ60「メガレックウザEX」</x:v>
      </x:c>
      <x:c r="E426" s="16" t="str">
        <x:v>XY</x:v>
      </x:c>
      <x:c r="F426" s="16" t="str">
        <x:v>Product / deck</x:v>
      </x:c>
      <x:c r="G426" s="16" t="str">
        <x:v>XYD</x:v>
      </x:c>
      <x:c r="H426" s="16" t="str">
        <x:v>Catalogue identifier (TCG Collector); may identify shared product family</x:v>
      </x:c>
      <x:c r="I426" s="16" t="str">
        <x:v>2015-03-14</x:v>
      </x:c>
      <x:c r="J426" s="16" t="str">
        <x:v>day</x:v>
      </x:c>
      <x:c r="K426" s="16" t="str">
        <x:v>Japan</x:v>
      </x:c>
      <x:c r="L426" s="16"/>
      <x:c r="M426" s="16"/>
      <x:c r="N426" s="16"/>
      <x:c r="O426" s="16" t="n">
        <x:v>20</x:v>
      </x:c>
      <x:c r="P426" s="16" t="n">
        <x:v>20</x:v>
      </x:c>
      <x:c r="Q426" s="16"/>
      <x:c r="R426" s="16" t="n">
        <x:v>60</x:v>
      </x:c>
      <x:c r="S426" s="16" t="str"/>
      <x:c r="T426" s="16" t="str">
        <x:v>https://www.pokemon-card.com/products/xy/xyd.html</x:v>
      </x:c>
      <x:c r="U426" s="16" t="str">
        <x:v>NO — review only</x:v>
      </x:c>
    </x:row>
    <x:row r="427" ht="54" customHeight="1">
      <x:c r="A427" s="16" t="str">
        <x:v>ja-e9c6c3a99efd</x:v>
      </x:c>
      <x:c r="B427" s="16" t="str">
        <x:v>ja</x:v>
      </x:c>
      <x:c r="C427" s="16" t="str">
        <x:v>Mewtwo Half Deck (Mewtwo vs Genesect)</x:v>
      </x:c>
      <x:c r="D427" s="16" t="str">
        <x:v>ミュウツーハーフデッキ（30枚デッキ対戦set ミュウツーVSゲノセクト）</x:v>
      </x:c>
      <x:c r="E427" s="16" t="str">
        <x:v>BW</x:v>
      </x:c>
      <x:c r="F427" s="16" t="str">
        <x:v>Product / deck</x:v>
      </x:c>
      <x:c r="G427" s="16" t="str">
        <x:v>MG-M</x:v>
      </x:c>
      <x:c r="H427" s="16" t="str">
        <x:v>Stackr component alias for the Mewtwo half of the shared MG Mewtwo vs Genesect deck-kit family.</x:v>
      </x:c>
      <x:c r="I427" s="16" t="str">
        <x:v>2013-07-13</x:v>
      </x:c>
      <x:c r="J427" s="16" t="str">
        <x:v>day</x:v>
      </x:c>
      <x:c r="K427" s="16" t="str">
        <x:v>Japan</x:v>
      </x:c>
      <x:c r="L427" s="16"/>
      <x:c r="M427" s="16"/>
      <x:c r="N427" s="16"/>
      <x:c r="O427" s="16" t="n">
        <x:v>17</x:v>
      </x:c>
      <x:c r="P427" s="16" t="n">
        <x:v>17</x:v>
      </x:c>
      <x:c r="Q427" s="16"/>
      <x:c r="R427" s="16"/>
      <x:c r="S427" s="16" t="str"/>
      <x:c r="T427" s="16" t="str">
        <x:v>https://bulbapedia.bulbagarden.net/wiki/Mewtwo_Half_Deck_%28TCG%29</x:v>
      </x:c>
      <x:c r="U427" s="16" t="str">
        <x:v>NO — review only</x:v>
      </x:c>
    </x:row>
    <x:row r="428" ht="54" customHeight="1">
      <x:c r="A428" s="16" t="str">
        <x:v>ja-5f9ba7db5890</x:v>
      </x:c>
      <x:c r="B428" s="16" t="str">
        <x:v>ja</x:v>
      </x:c>
      <x:c r="C428" s="16" t="str">
        <x:v>Noivern BREAK Evolution Pack</x:v>
      </x:c>
      <x:c r="D428" s="16" t="str">
        <x:v>BREAK進化パック「オンバーンBREAK」</x:v>
      </x:c>
      <x:c r="E428" s="16" t="str">
        <x:v>XY</x:v>
      </x:c>
      <x:c r="F428" s="16" t="str">
        <x:v>Product / deck</x:v>
      </x:c>
      <x:c r="G428" s="16" t="str">
        <x:v>SNPo</x:v>
      </x:c>
      <x:c r="H428" s="16" t="str">
        <x:v>Catalogue identifier (TCG Collector); may identify shared product family</x:v>
      </x:c>
      <x:c r="I428" s="16" t="str">
        <x:v>2015-09-26</x:v>
      </x:c>
      <x:c r="J428" s="16" t="str">
        <x:v>day</x:v>
      </x:c>
      <x:c r="K428" s="16" t="str">
        <x:v>Japan</x:v>
      </x:c>
      <x:c r="L428" s="16"/>
      <x:c r="M428" s="16"/>
      <x:c r="N428" s="16"/>
      <x:c r="O428" s="16" t="n">
        <x:v>10</x:v>
      </x:c>
      <x:c r="P428" s="16" t="n">
        <x:v>10</x:v>
      </x:c>
      <x:c r="Q428" s="16"/>
      <x:c r="R428" s="16" t="n">
        <x:v>12</x:v>
      </x:c>
      <x:c r="S428" s="16" t="str"/>
      <x:c r="T428" s="16" t="str">
        <x:v>https://www.pokemon-card.com/products/xy/snp.html</x:v>
      </x:c>
      <x:c r="U428" s="16" t="str">
        <x:v>NO — review only</x:v>
      </x:c>
    </x:row>
    <x:row r="429" ht="54" customHeight="1">
      <x:c r="A429" s="16" t="str">
        <x:v>ja-b6fd25eade16</x:v>
      </x:c>
      <x:c r="B429" s="16" t="str">
        <x:v>ja</x:v>
      </x:c>
      <x:c r="C429" s="16" t="str">
        <x:v>Premium Trainer Box</x:v>
      </x:c>
      <x:c r="D429" s="16" t="str">
        <x:v>プレミアムトレーナーボックス</x:v>
      </x:c>
      <x:c r="E429" s="16" t="str">
        <x:v>Sun &amp; Moon</x:v>
      </x:c>
      <x:c r="F429" s="16" t="str">
        <x:v>Product / deck</x:v>
      </x:c>
      <x:c r="G429" s="16" t="str">
        <x:v>SMB</x:v>
      </x:c>
      <x:c r="H429" s="16" t="str">
        <x:v>Catalogue identifier (TCG Collector); may identify shared product family</x:v>
      </x:c>
      <x:c r="I429" s="16" t="str">
        <x:v>2016-12-09</x:v>
      </x:c>
      <x:c r="J429" s="16" t="str">
        <x:v>day</x:v>
      </x:c>
      <x:c r="K429" s="16" t="str">
        <x:v>Japan</x:v>
      </x:c>
      <x:c r="L429" s="16"/>
      <x:c r="M429" s="16"/>
      <x:c r="N429" s="16"/>
      <x:c r="O429" s="16" t="n">
        <x:v>18</x:v>
      </x:c>
      <x:c r="P429" s="16" t="n">
        <x:v>18</x:v>
      </x:c>
      <x:c r="Q429" s="16"/>
      <x:c r="R429" s="16"/>
      <x:c r="S429" s="16" t="str"/>
      <x:c r="T429" s="16" t="str">
        <x:v>https://www.pokemon-card.com/products/sm/pt-box.html</x:v>
      </x:c>
      <x:c r="U429" s="16" t="str">
        <x:v>NO — review only</x:v>
      </x:c>
    </x:row>
    <x:row r="430" ht="54" customHeight="1">
      <x:c r="A430" s="16" t="str">
        <x:v>ja-6ad21e162182</x:v>
      </x:c>
      <x:c r="B430" s="16" t="str">
        <x:v>ja</x:v>
      </x:c>
      <x:c r="C430" s="16" t="str">
        <x:v>Raichu BREAK Evolution Pack</x:v>
      </x:c>
      <x:c r="D430" s="16" t="str">
        <x:v>BREAK進化パック「ライチュウBREAK」</x:v>
      </x:c>
      <x:c r="E430" s="16" t="str">
        <x:v>XY</x:v>
      </x:c>
      <x:c r="F430" s="16" t="str">
        <x:v>Product / deck</x:v>
      </x:c>
      <x:c r="G430" s="16" t="str">
        <x:v>SNPr</x:v>
      </x:c>
      <x:c r="H430" s="16" t="str">
        <x:v>Catalogue identifier (TCG Collector); may identify shared product family</x:v>
      </x:c>
      <x:c r="I430" s="16" t="str">
        <x:v>2015-09-26</x:v>
      </x:c>
      <x:c r="J430" s="16" t="str">
        <x:v>day</x:v>
      </x:c>
      <x:c r="K430" s="16" t="str">
        <x:v>Japan</x:v>
      </x:c>
      <x:c r="L430" s="16"/>
      <x:c r="M430" s="16"/>
      <x:c r="N430" s="16"/>
      <x:c r="O430" s="16" t="n">
        <x:v>10</x:v>
      </x:c>
      <x:c r="P430" s="16" t="n">
        <x:v>10</x:v>
      </x:c>
      <x:c r="Q430" s="16"/>
      <x:c r="R430" s="16" t="n">
        <x:v>12</x:v>
      </x:c>
      <x:c r="S430" s="16" t="str"/>
      <x:c r="T430" s="16" t="str">
        <x:v>https://www.pokemon-card.com/products/xy/snp.html</x:v>
      </x:c>
      <x:c r="U430" s="16" t="str">
        <x:v>NO — review only</x:v>
      </x:c>
    </x:row>
    <x:row r="431" ht="54" customHeight="1">
      <x:c r="A431" s="16" t="str">
        <x:v>ja-0ee044c14656</x:v>
      </x:c>
      <x:c r="B431" s="16" t="str">
        <x:v>ja</x:v>
      </x:c>
      <x:c r="C431" s="16" t="str">
        <x:v>Rockruff Full Power Deck</x:v>
      </x:c>
      <x:c r="D431" s="16" t="str">
        <x:v>イワンコ全力デッキ</x:v>
      </x:c>
      <x:c r="E431" s="16" t="str">
        <x:v>Sun &amp; Moon</x:v>
      </x:c>
      <x:c r="F431" s="16" t="str">
        <x:v>Product / deck</x:v>
      </x:c>
      <x:c r="G431" s="16" t="str">
        <x:v>SMP1</x:v>
      </x:c>
      <x:c r="H431" s="16" t="str">
        <x:v>Catalogue identifier (TCG Collector); may identify shared product family</x:v>
      </x:c>
      <x:c r="I431" s="16" t="str">
        <x:v>2016-12-15</x:v>
      </x:c>
      <x:c r="J431" s="16" t="str">
        <x:v>day</x:v>
      </x:c>
      <x:c r="K431" s="16" t="str">
        <x:v>Japan</x:v>
      </x:c>
      <x:c r="L431" s="16"/>
      <x:c r="M431" s="16"/>
      <x:c r="N431" s="16"/>
      <x:c r="O431" s="16" t="n">
        <x:v>13</x:v>
      </x:c>
      <x:c r="P431" s="16" t="n">
        <x:v>13</x:v>
      </x:c>
      <x:c r="Q431" s="16"/>
      <x:c r="R431" s="16"/>
      <x:c r="S431" s="16" t="str"/>
      <x:c r="T431" s="16" t="str">
        <x:v>https://bulbapedia.bulbagarden.net/wiki/SMP1</x:v>
      </x:c>
      <x:c r="U431" s="16" t="str">
        <x:v>NO — review only</x:v>
      </x:c>
    </x:row>
    <x:row r="432" ht="54" customHeight="1">
      <x:c r="A432" s="16" t="str">
        <x:v>ja-6610d1bc091c</x:v>
      </x:c>
      <x:c r="B432" s="16" t="str">
        <x:v>ja</x:v>
      </x:c>
      <x:c r="C432" s="16" t="str">
        <x:v>Shaymin LV.X Collection Pack</x:v>
      </x:c>
      <x:c r="D432" s="16" t="str">
        <x:v>コレクションパック シェイミLV．X</x:v>
      </x:c>
      <x:c r="E432" s="16" t="str">
        <x:v>DPt</x:v>
      </x:c>
      <x:c r="F432" s="16" t="str">
        <x:v>Product / deck</x:v>
      </x:c>
      <x:c r="G432" s="16" t="str">
        <x:v>DPtS</x:v>
      </x:c>
      <x:c r="H432" s="16" t="str">
        <x:v>Catalogue identifier (TCG Collector); may identify shared product family</x:v>
      </x:c>
      <x:c r="I432" s="16" t="str">
        <x:v>2009-04-18</x:v>
      </x:c>
      <x:c r="J432" s="16" t="str">
        <x:v>day</x:v>
      </x:c>
      <x:c r="K432" s="16" t="str">
        <x:v>Japan</x:v>
      </x:c>
      <x:c r="L432" s="16"/>
      <x:c r="M432" s="16"/>
      <x:c r="N432" s="16"/>
      <x:c r="O432" s="16" t="n">
        <x:v>12</x:v>
      </x:c>
      <x:c r="P432" s="16" t="n">
        <x:v>12</x:v>
      </x:c>
      <x:c r="Q432" s="16"/>
      <x:c r="R432" s="16"/>
      <x:c r="S432" s="16" t="str"/>
      <x:c r="T432" s="16" t="str">
        <x:v>https://www.pokemon-card.com/ex/25th/chronicle/</x:v>
      </x:c>
      <x:c r="U432" s="16" t="str">
        <x:v>NO — review only</x:v>
      </x:c>
    </x:row>
    <x:row r="433" ht="54" customHeight="1">
      <x:c r="A433" s="16" t="str">
        <x:v>ja-5e3231638035</x:v>
      </x:c>
      <x:c r="B433" s="16" t="str">
        <x:v>ja</x:v>
      </x:c>
      <x:c r="C433" s="16" t="str">
        <x:v>Silver Lance &amp; Jet-Black Spirit Promo Set</x:v>
      </x:c>
      <x:c r="D433" s="16" t="str">
        <x:v>ジャンボパックセット 白銀のランス＆漆黒のガイスト</x:v>
      </x:c>
      <x:c r="E433" s="16" t="str">
        <x:v>Sword &amp; Shield</x:v>
      </x:c>
      <x:c r="F433" s="16" t="str">
        <x:v>Product / deck</x:v>
      </x:c>
      <x:c r="G433" s="16" t="str">
        <x:v>SP3</x:v>
      </x:c>
      <x:c r="H433" s="16" t="str">
        <x:v>Catalogue identifier (TCG Collector); may identify shared product family</x:v>
      </x:c>
      <x:c r="I433" s="16" t="str">
        <x:v>2021-04-23</x:v>
      </x:c>
      <x:c r="J433" s="16" t="str">
        <x:v>day</x:v>
      </x:c>
      <x:c r="K433" s="16" t="str">
        <x:v>Japan</x:v>
      </x:c>
      <x:c r="L433" s="16" t="n">
        <x:v>6</x:v>
      </x:c>
      <x:c r="M433" s="16" t="n">
        <x:v>0</x:v>
      </x:c>
      <x:c r="N433" s="16" t="n">
        <x:v>0</x:v>
      </x:c>
      <x:c r="O433" s="16" t="n">
        <x:v>6</x:v>
      </x:c>
      <x:c r="P433" s="16" t="n">
        <x:v>6</x:v>
      </x:c>
      <x:c r="Q433" s="16" t="str">
        <x:v>006/006</x:v>
      </x:c>
      <x:c r="R433" s="16"/>
      <x:c r="S433" s="16"/>
      <x:c r="T433" s="16" t="str">
        <x:v>https://www.pokemon-card.com/info/2021/20210312_002830.html | https://bulbapedia.bulbagarden.net/wiki/Silver_Lance_%26_Jet-Black_Spirit_Jumbo_Pack_Set_%28TCG%29</x:v>
      </x:c>
      <x:c r="U433" s="16" t="str">
        <x:v>NO — review only</x:v>
      </x:c>
    </x:row>
    <x:row r="434" ht="54" customHeight="1">
      <x:c r="A434" s="16" t="str">
        <x:v>ja-db1b40ed6128</x:v>
      </x:c>
      <x:c r="B434" s="16" t="str">
        <x:v>ja</x:v>
      </x:c>
      <x:c r="C434" s="16" t="str">
        <x:v>Start Deck 100</x:v>
      </x:c>
      <x:c r="D434" s="16" t="str">
        <x:v>スタートデッキ100</x:v>
      </x:c>
      <x:c r="E434" s="16" t="str">
        <x:v>Sword &amp; Shield</x:v>
      </x:c>
      <x:c r="F434" s="16" t="str">
        <x:v>Product / deck</x:v>
      </x:c>
      <x:c r="G434" s="16" t="str">
        <x:v>SI</x:v>
      </x:c>
      <x:c r="H434" s="16" t="str">
        <x:v>Established Japanese set/product code; official Pokémon card-search entries show SI collector numbering for Start Deck 100</x:v>
      </x:c>
      <x:c r="I434" s="16" t="str">
        <x:v>2021-12-17</x:v>
      </x:c>
      <x:c r="J434" s="16" t="str">
        <x:v>day</x:v>
      </x:c>
      <x:c r="K434" s="16" t="str">
        <x:v>Japan</x:v>
      </x:c>
      <x:c r="L434" s="16"/>
      <x:c r="M434" s="16"/>
      <x:c r="N434" s="16"/>
      <x:c r="O434" s="16" t="n">
        <x:v>422</x:v>
      </x:c>
      <x:c r="P434" s="16" t="n">
        <x:v>422</x:v>
      </x:c>
      <x:c r="Q434" s="16"/>
      <x:c r="R434" s="16"/>
      <x:c r="S434" s="16" t="str"/>
      <x:c r="T434" s="16" t="str">
        <x:v>https://www.pokemon-card.com/card-search/details.php/card/40767 ; https://bulbapedia.bulbagarden.net/wiki/Start_Deck_100_(TCG)</x:v>
      </x:c>
      <x:c r="U434" s="16" t="str">
        <x:v>NO — review only</x:v>
      </x:c>
    </x:row>
    <x:row r="435" ht="54" customHeight="1">
      <x:c r="A435" s="16" t="str">
        <x:v>ja-1d2fff8e3828</x:v>
      </x:c>
      <x:c r="B435" s="16" t="str">
        <x:v>ja</x:v>
      </x:c>
      <x:c r="C435" s="16" t="str">
        <x:v>Tapu Bulu-GX Enhanced Starter Set</x:v>
      </x:c>
      <x:c r="D435" s="16" t="str">
        <x:v>スターターセット改造「カプ・ブルルGX」</x:v>
      </x:c>
      <x:c r="E435" s="16" t="str">
        <x:v>Sun &amp; Moon</x:v>
      </x:c>
      <x:c r="F435" s="16" t="str">
        <x:v>Product / deck</x:v>
      </x:c>
      <x:c r="G435" s="16" t="str">
        <x:v>SMC</x:v>
      </x:c>
      <x:c r="H435" s="16" t="str">
        <x:v>Catalogue identifier (TCG Collector); may identify shared product family</x:v>
      </x:c>
      <x:c r="I435" s="16" t="str">
        <x:v>2017-03-17</x:v>
      </x:c>
      <x:c r="J435" s="16" t="str">
        <x:v>day</x:v>
      </x:c>
      <x:c r="K435" s="16" t="str">
        <x:v>Japan</x:v>
      </x:c>
      <x:c r="L435" s="16"/>
      <x:c r="M435" s="16"/>
      <x:c r="N435" s="16"/>
      <x:c r="O435" s="16" t="n">
        <x:v>21</x:v>
      </x:c>
      <x:c r="P435" s="16" t="n">
        <x:v>21</x:v>
      </x:c>
      <x:c r="Q435" s="16"/>
      <x:c r="R435" s="16" t="n">
        <x:v>60</x:v>
      </x:c>
      <x:c r="S435" s="16" t="str"/>
      <x:c r="T435" s="16" t="str">
        <x:v>https://www.pokemon-card.com/products/sm/smc.html</x:v>
      </x:c>
      <x:c r="U435" s="16" t="str">
        <x:v>NO — review only</x:v>
      </x:c>
    </x:row>
    <x:row r="436" ht="54" customHeight="1">
      <x:c r="A436" s="16" t="str">
        <x:v>ja-6b114003e2b1</x:v>
      </x:c>
      <x:c r="B436" s="16" t="str">
        <x:v>ja</x:v>
      </x:c>
      <x:c r="C436" s="16" t="str">
        <x:v>Team Plasma Battle Gift Set</x:v>
      </x:c>
      <x:c r="D436" s="16" t="str">
        <x:v>プラズマ団バトルギフトセット</x:v>
      </x:c>
      <x:c r="E436" s="16" t="str">
        <x:v>BW</x:v>
      </x:c>
      <x:c r="F436" s="16" t="str">
        <x:v>Product / deck</x:v>
      </x:c>
      <x:c r="G436" s="16" t="str">
        <x:v>PBG</x:v>
      </x:c>
      <x:c r="H436" s="16" t="str">
        <x:v>Catalogue identifier (TCG Collector); may identify shared product family</x:v>
      </x:c>
      <x:c r="I436" s="16" t="str">
        <x:v>2012-11-16</x:v>
      </x:c>
      <x:c r="J436" s="16" t="str">
        <x:v>day</x:v>
      </x:c>
      <x:c r="K436" s="16" t="str">
        <x:v>Japan</x:v>
      </x:c>
      <x:c r="L436" s="16"/>
      <x:c r="M436" s="16"/>
      <x:c r="N436" s="16"/>
      <x:c r="O436" s="16" t="n">
        <x:v>18</x:v>
      </x:c>
      <x:c r="P436" s="16" t="n">
        <x:v>18</x:v>
      </x:c>
      <x:c r="Q436" s="16"/>
      <x:c r="R436" s="16"/>
      <x:c r="S436" s="16" t="str"/>
      <x:c r="T436" s="16" t="str">
        <x:v>https://www.pokemon-card.com/ex/25th/chronicle/</x:v>
      </x:c>
      <x:c r="U436" s="16" t="str">
        <x:v>NO — review only</x:v>
      </x:c>
    </x:row>
    <x:row r="437" ht="54" customHeight="1">
      <x:c r="A437" s="16" t="str">
        <x:v>ja-dc7d8d809c94</x:v>
      </x:c>
      <x:c r="B437" s="16" t="str">
        <x:v>ja</x:v>
      </x:c>
      <x:c r="C437" s="16" t="str">
        <x:v>Unnumbered Promotional cards</x:v>
      </x:c>
      <x:c r="D437" s="16" t="str">
        <x:v>ナンバーなしプロモカード</x:v>
      </x:c>
      <x:c r="E437" s="16" t="str">
        <x:v>Multiple eras</x:v>
      </x:c>
      <x:c r="F437" s="16" t="str">
        <x:v>Promo catalogue</x:v>
      </x:c>
      <x:c r="G437" s="16" t="str">
        <x:v>JA-PROMO-UN</x:v>
      </x:c>
      <x:c r="H437" s="16" t="str">
        <x:v>Stackr umbrella identifier for Japan's explicitly unnumbered promotional-card collection; by definition no collection code/number exists for the group</x:v>
      </x:c>
      <x:c r="I437" s="16" t="str">
        <x:v>1996-10</x:v>
      </x:c>
      <x:c r="J437" s="16" t="str">
        <x:v>period_start_month</x:v>
      </x:c>
      <x:c r="K437" s="16" t="str">
        <x:v>Japan</x:v>
      </x:c>
      <x:c r="L437" s="16"/>
      <x:c r="M437" s="16"/>
      <x:c r="N437" s="16" t="n">
        <x:v>0</x:v>
      </x:c>
      <x:c r="O437" s="16" t="n">
        <x:v>150</x:v>
      </x:c>
      <x:c r="P437" s="16" t="n">
        <x:v>150</x:v>
      </x:c>
      <x:c r="Q437" s="16"/>
      <x:c r="R437" s="16"/>
      <x:c r="S437" s="16" t="str">
        <x:v>numbered_total_provisional_snapshot</x:v>
      </x:c>
      <x:c r="T437" s="16" t="str">
        <x:v>https://bulbapedia.bulbagarden.net/wiki/Unnumbered_Promotional_cards ; https://www.cardtrader.com/en/pokemon/expansions</x:v>
      </x:c>
      <x:c r="U437" s="16" t="str">
        <x:v>NO — review only</x:v>
      </x:c>
    </x:row>
    <x:row r="438" ht="54" customHeight="1">
      <x:c r="A438" s="16" t="str">
        <x:v>ja-dd7a387ccc7e</x:v>
      </x:c>
      <x:c r="B438" s="16" t="str">
        <x:v>ja</x:v>
      </x:c>
      <x:c r="C438" s="16" t="str">
        <x:v>VMAX Special Set</x:v>
      </x:c>
      <x:c r="D438" s="16" t="str">
        <x:v>VMAXスペシャルセット</x:v>
      </x:c>
      <x:c r="E438" s="16" t="str">
        <x:v>Sword &amp; Shield</x:v>
      </x:c>
      <x:c r="F438" s="16" t="str">
        <x:v>Product / deck</x:v>
      </x:c>
      <x:c r="G438" s="16" t="str">
        <x:v>SP2</x:v>
      </x:c>
      <x:c r="H438" s="16" t="str">
        <x:v>Catalogue identifier (TCG Collector); may identify shared product family</x:v>
      </x:c>
      <x:c r="I438" s="16" t="str">
        <x:v>2020-10-23</x:v>
      </x:c>
      <x:c r="J438" s="16" t="str">
        <x:v>day</x:v>
      </x:c>
      <x:c r="K438" s="16" t="str">
        <x:v>Japan</x:v>
      </x:c>
      <x:c r="L438" s="16"/>
      <x:c r="M438" s="16"/>
      <x:c r="N438" s="16"/>
      <x:c r="O438" s="16" t="n">
        <x:v>8</x:v>
      </x:c>
      <x:c r="P438" s="16" t="n">
        <x:v>8</x:v>
      </x:c>
      <x:c r="Q438" s="16"/>
      <x:c r="R438" s="16"/>
      <x:c r="S438" s="16" t="str"/>
      <x:c r="T438" s="16" t="str">
        <x:v>https://www.pokemon-card.com/products/s/sp2.html</x:v>
      </x:c>
      <x:c r="U438" s="16" t="str">
        <x:v>NO — review only</x:v>
      </x:c>
    </x:row>
    <x:row r="439" ht="54" customHeight="1">
      <x:c r="A439" s="16" t="str">
        <x:v>ja-f8a1666d0bc0</x:v>
      </x:c>
      <x:c r="B439" s="16" t="str">
        <x:v>ja</x:v>
      </x:c>
      <x:c r="C439" s="16" t="str">
        <x:v>XY Beginning Set</x:v>
      </x:c>
      <x:c r="D439" s="16" t="str">
        <x:v>はじめてセット</x:v>
      </x:c>
      <x:c r="E439" s="16" t="str">
        <x:v>XY</x:v>
      </x:c>
      <x:c r="F439" s="16" t="str">
        <x:v>Product / deck</x:v>
      </x:c>
      <x:c r="G439" s="16" t="str">
        <x:v>HXY</x:v>
      </x:c>
      <x:c r="H439" s="16" t="str">
        <x:v>Catalogue identifier (TCG Collector); may identify shared product family</x:v>
      </x:c>
      <x:c r="I439" s="16" t="str">
        <x:v>2013-11-08</x:v>
      </x:c>
      <x:c r="J439" s="16" t="str">
        <x:v>day</x:v>
      </x:c>
      <x:c r="K439" s="16" t="str">
        <x:v>Japan</x:v>
      </x:c>
      <x:c r="L439" s="16"/>
      <x:c r="M439" s="16"/>
      <x:c r="N439" s="16"/>
      <x:c r="O439" s="16" t="n">
        <x:v>45</x:v>
      </x:c>
      <x:c r="P439" s="16" t="n">
        <x:v>45</x:v>
      </x:c>
      <x:c r="Q439" s="16"/>
      <x:c r="R439" s="16" t="n">
        <x:v>90</x:v>
      </x:c>
      <x:c r="S439" s="16" t="str"/>
      <x:c r="T439" s="16" t="str">
        <x:v>https://www.pokemon-card.com/products/xy/hs.html</x:v>
      </x:c>
      <x:c r="U439" s="16" t="str">
        <x:v>NO — review only</x:v>
      </x:c>
    </x:row>
    <x:row r="440" ht="54" customHeight="1">
      <x:c r="A440" s="16" t="str">
        <x:v>ja-fed7090443ee</x:v>
      </x:c>
      <x:c r="B440" s="16" t="str">
        <x:v>ja</x:v>
      </x:c>
      <x:c r="C440" s="16" t="str">
        <x:v>Xerneas Half Deck</x:v>
      </x:c>
      <x:c r="D440" s="16" t="str">
        <x:v>ゼルネアスデッキ30</x:v>
      </x:c>
      <x:c r="E440" s="16" t="str">
        <x:v>XY</x:v>
      </x:c>
      <x:c r="F440" s="16" t="str">
        <x:v>Product / deck</x:v>
      </x:c>
      <x:c r="G440" s="16" t="str">
        <x:v>X30</x:v>
      </x:c>
      <x:c r="H440" s="16" t="str">
        <x:v>Catalogue identifier (TCG Collector); may identify shared product family</x:v>
      </x:c>
      <x:c r="I440" s="16" t="str">
        <x:v>2014-01-31</x:v>
      </x:c>
      <x:c r="J440" s="16" t="str">
        <x:v>day</x:v>
      </x:c>
      <x:c r="K440" s="16" t="str">
        <x:v>Japan</x:v>
      </x:c>
      <x:c r="L440" s="16"/>
      <x:c r="M440" s="16"/>
      <x:c r="N440" s="16"/>
      <x:c r="O440" s="16" t="n">
        <x:v>15</x:v>
      </x:c>
      <x:c r="P440" s="16" t="n">
        <x:v>15</x:v>
      </x:c>
      <x:c r="Q440" s="16"/>
      <x:c r="R440" s="16"/>
      <x:c r="S440" s="16" t="str"/>
      <x:c r="T440" s="16" t="str">
        <x:v>https://www.pokemon-card.com/products/xy/x30y30/x30y30_000282.html</x:v>
      </x:c>
      <x:c r="U440" s="16" t="str">
        <x:v>NO — review only</x:v>
      </x:c>
    </x:row>
    <x:row r="441" ht="54" customHeight="1">
      <x:c r="A441" s="16" t="str">
        <x:v>ja-647e29f1f683</x:v>
      </x:c>
      <x:c r="B441" s="16" t="str">
        <x:v>ja</x:v>
      </x:c>
      <x:c r="C441" s="16" t="str">
        <x:v>Yveltal Half Deck</x:v>
      </x:c>
      <x:c r="D441" s="16" t="str">
        <x:v>イベルタルデッキ30</x:v>
      </x:c>
      <x:c r="E441" s="16" t="str">
        <x:v>XY</x:v>
      </x:c>
      <x:c r="F441" s="16" t="str">
        <x:v>Product / deck</x:v>
      </x:c>
      <x:c r="G441" s="16" t="str">
        <x:v>Y30</x:v>
      </x:c>
      <x:c r="H441" s="16" t="str">
        <x:v>Catalogue identifier (TCG Collector); may identify shared product family</x:v>
      </x:c>
      <x:c r="I441" s="16" t="str">
        <x:v>2014-01-31</x:v>
      </x:c>
      <x:c r="J441" s="16" t="str">
        <x:v>day</x:v>
      </x:c>
      <x:c r="K441" s="16" t="str">
        <x:v>Japan</x:v>
      </x:c>
      <x:c r="L441" s="16"/>
      <x:c r="M441" s="16"/>
      <x:c r="N441" s="16"/>
      <x:c r="O441" s="16" t="n">
        <x:v>15</x:v>
      </x:c>
      <x:c r="P441" s="16" t="n">
        <x:v>15</x:v>
      </x:c>
      <x:c r="Q441" s="16"/>
      <x:c r="R441" s="16"/>
      <x:c r="S441" s="16" t="str"/>
      <x:c r="T441" s="16" t="str">
        <x:v>https://www.pokemon-card.com/products/xy/x30y30/x30y30_000282.html</x:v>
      </x:c>
      <x:c r="U441" s="16" t="str">
        <x:v>NO — review only</x:v>
      </x:c>
    </x:row>
    <x:row r="442" ht="54" customHeight="1">
      <x:c r="A442" s="16" t="str">
        <x:v>ja-5bd5bd4a3cbb</x:v>
      </x:c>
      <x:c r="B442" s="16" t="str">
        <x:v>ja</x:v>
      </x:c>
      <x:c r="C442" s="16" t="str">
        <x:v>Zygarde-EX Perfect Battle Deck</x:v>
      </x:c>
      <x:c r="D442" s="16" t="str">
        <x:v>パーフェクトバトルデッキ60「ジガルデEX」</x:v>
      </x:c>
      <x:c r="E442" s="16" t="str">
        <x:v>XY</x:v>
      </x:c>
      <x:c r="F442" s="16" t="str">
        <x:v>Product / deck</x:v>
      </x:c>
      <x:c r="G442" s="16" t="str">
        <x:v>XYG</x:v>
      </x:c>
      <x:c r="H442" s="16" t="str">
        <x:v>Catalogue identifier (TCG Collector); may identify shared product family</x:v>
      </x:c>
      <x:c r="I442" s="16" t="str">
        <x:v>2016-03-18</x:v>
      </x:c>
      <x:c r="J442" s="16" t="str">
        <x:v>day</x:v>
      </x:c>
      <x:c r="K442" s="16" t="str">
        <x:v>Japan</x:v>
      </x:c>
      <x:c r="L442" s="16"/>
      <x:c r="M442" s="16"/>
      <x:c r="N442" s="16"/>
      <x:c r="O442" s="16" t="n">
        <x:v>20</x:v>
      </x:c>
      <x:c r="P442" s="16" t="n">
        <x:v>20</x:v>
      </x:c>
      <x:c r="Q442" s="16"/>
      <x:c r="R442" s="16" t="n">
        <x:v>60</x:v>
      </x:c>
      <x:c r="S442" s="16" t="str"/>
      <x:c r="T442" s="16" t="str">
        <x:v>https://www.pokemon-card.com/products/xy/xygh.html</x:v>
      </x:c>
      <x:c r="U442" s="16" t="str">
        <x:v>NO — review only</x:v>
      </x:c>
    </x:row>
    <x:row r="443" ht="54" customHeight="1">
      <x:c r="A443" s="16" t="str">
        <x:v>zh-CN-cff2a96842bc</x:v>
      </x:c>
      <x:c r="B443" s="16" t="str">
        <x:v>zh-CN</x:v>
      </x:c>
      <x:c r="C443" s="16" t="str">
        <x:v>Storming Emergence: Abundant</x:v>
      </x:c>
      <x:c r="D443" s="16" t="str">
        <x:v>横空出世 泽</x:v>
      </x:c>
      <x:c r="E443" s="16" t="str">
        <x:v>Sun &amp; Moon</x:v>
      </x:c>
      <x:c r="F443" s="16" t="str">
        <x:v>Card set / collection</x:v>
      </x:c>
      <x:c r="G443" s="16" t="str">
        <x:v>CSM1c</x:v>
      </x:c>
      <x:c r="H443" s="16" t="str">
        <x:v>Catalogue set code; external code index</x:v>
      </x:c>
      <x:c r="I443" s="16" t="str">
        <x:v>2022-10-28</x:v>
      </x:c>
      <x:c r="J443" s="16" t="str">
        <x:v>day</x:v>
      </x:c>
      <x:c r="K443" s="16" t="str">
        <x:v>Mainland China</x:v>
      </x:c>
      <x:c r="L443" s="16" t="n">
        <x:v>151</x:v>
      </x:c>
      <x:c r="M443" s="16" t="n">
        <x:v>61</x:v>
      </x:c>
      <x:c r="N443" s="16" t="n">
        <x:v>0</x:v>
      </x:c>
      <x:c r="O443" s="16" t="n">
        <x:v>212</x:v>
      </x:c>
      <x:c r="P443" s="16" t="n">
        <x:v>212</x:v>
      </x:c>
      <x:c r="Q443" s="16" t="str">
        <x:v>212/151</x:v>
      </x:c>
      <x:c r="R443" s="16"/>
      <x:c r="S443" s="16"/>
      <x:c r="T443" s="16" t="str">
        <x:v>https://bulbapedia.bulbagarden.net/wiki/Storming_Emergence_(ATCG)</x:v>
      </x:c>
      <x:c r="U443" s="16" t="str">
        <x:v>NO — review only</x:v>
      </x:c>
    </x:row>
    <x:row r="444" ht="54" customHeight="1">
      <x:c r="A444" s="16" t="str">
        <x:v>zh-CN-67d0d50f4a30</x:v>
      </x:c>
      <x:c r="B444" s="16" t="str">
        <x:v>zh-CN</x:v>
      </x:c>
      <x:c r="C444" s="16" t="str">
        <x:v>Storming Emergence: Radiant</x:v>
      </x:c>
      <x:c r="D444" s="16" t="str">
        <x:v>横空出世 赫</x:v>
      </x:c>
      <x:c r="E444" s="16" t="str">
        <x:v>Sun &amp; Moon</x:v>
      </x:c>
      <x:c r="F444" s="16" t="str">
        <x:v>Card set / collection</x:v>
      </x:c>
      <x:c r="G444" s="16" t="str">
        <x:v>CSM1a</x:v>
      </x:c>
      <x:c r="H444" s="16" t="str">
        <x:v>Catalogue set code; external code index</x:v>
      </x:c>
      <x:c r="I444" s="16" t="str">
        <x:v>2022-10-28</x:v>
      </x:c>
      <x:c r="J444" s="16" t="str">
        <x:v>day</x:v>
      </x:c>
      <x:c r="K444" s="16" t="str">
        <x:v>Mainland China</x:v>
      </x:c>
      <x:c r="L444" s="16" t="n">
        <x:v>151</x:v>
      </x:c>
      <x:c r="M444" s="16" t="n">
        <x:v>60</x:v>
      </x:c>
      <x:c r="N444" s="16" t="n">
        <x:v>0</x:v>
      </x:c>
      <x:c r="O444" s="16" t="n">
        <x:v>211</x:v>
      </x:c>
      <x:c r="P444" s="16" t="n">
        <x:v>211</x:v>
      </x:c>
      <x:c r="Q444" s="16" t="str">
        <x:v>211/151</x:v>
      </x:c>
      <x:c r="R444" s="16"/>
      <x:c r="S444" s="16"/>
      <x:c r="T444" s="16" t="str">
        <x:v>https://bulbapedia.bulbagarden.net/wiki/Storming_Emergence_(ATCG)</x:v>
      </x:c>
      <x:c r="U444" s="16" t="str">
        <x:v>NO — review only</x:v>
      </x:c>
    </x:row>
    <x:row r="445" ht="54" customHeight="1">
      <x:c r="A445" s="16" t="str">
        <x:v>zh-CN-ddc368ed5a42</x:v>
      </x:c>
      <x:c r="B445" s="16" t="str">
        <x:v>zh-CN</x:v>
      </x:c>
      <x:c r="C445" s="16" t="str">
        <x:v>Storming Emergence: Verdant</x:v>
      </x:c>
      <x:c r="D445" s="16" t="str">
        <x:v>横空出世 苍</x:v>
      </x:c>
      <x:c r="E445" s="16" t="str">
        <x:v>Sun &amp; Moon</x:v>
      </x:c>
      <x:c r="F445" s="16" t="str">
        <x:v>Card set / collection</x:v>
      </x:c>
      <x:c r="G445" s="16" t="str">
        <x:v>CSM1b</x:v>
      </x:c>
      <x:c r="H445" s="16" t="str">
        <x:v>Catalogue set code; external code index</x:v>
      </x:c>
      <x:c r="I445" s="16" t="str">
        <x:v>2022-10-28</x:v>
      </x:c>
      <x:c r="J445" s="16" t="str">
        <x:v>day</x:v>
      </x:c>
      <x:c r="K445" s="16" t="str">
        <x:v>Mainland China</x:v>
      </x:c>
      <x:c r="L445" s="16" t="n">
        <x:v>151</x:v>
      </x:c>
      <x:c r="M445" s="16" t="n">
        <x:v>53</x:v>
      </x:c>
      <x:c r="N445" s="16" t="n">
        <x:v>0</x:v>
      </x:c>
      <x:c r="O445" s="16" t="n">
        <x:v>204</x:v>
      </x:c>
      <x:c r="P445" s="16" t="n">
        <x:v>204</x:v>
      </x:c>
      <x:c r="Q445" s="16" t="str">
        <x:v>204/151</x:v>
      </x:c>
      <x:c r="R445" s="16"/>
      <x:c r="S445" s="16"/>
      <x:c r="T445" s="16" t="str">
        <x:v>https://bulbapedia.bulbagarden.net/wiki/Storming_Emergence_(ATCG)</x:v>
      </x:c>
      <x:c r="U445" s="16" t="str">
        <x:v>NO — review only</x:v>
      </x:c>
    </x:row>
    <x:row r="446" ht="54" customHeight="1">
      <x:c r="A446" s="16" t="str">
        <x:v>zh-CN-7201f0f4adef</x:v>
      </x:c>
      <x:c r="B446" s="16" t="str">
        <x:v>zh-CN</x:v>
      </x:c>
      <x:c r="C446" s="16" t="str">
        <x:v>Battle Elite</x:v>
      </x:c>
      <x:c r="D446" s="16" t="str">
        <x:v>对战精英</x:v>
      </x:c>
      <x:c r="E446" s="16" t="str">
        <x:v>Sun &amp; Moon</x:v>
      </x:c>
      <x:c r="F446" s="16" t="str">
        <x:v>Card set / collection</x:v>
      </x:c>
      <x:c r="G446" s="16" t="str">
        <x:v>CSM1.5</x:v>
      </x:c>
      <x:c r="H446" s="16" t="str">
        <x:v>Retailer catalogue code; verify printed code</x:v>
      </x:c>
      <x:c r="I446" s="16" t="str">
        <x:v>2022-12-16</x:v>
      </x:c>
      <x:c r="J446" s="16" t="str">
        <x:v>day</x:v>
      </x:c>
      <x:c r="K446" s="16" t="str">
        <x:v>Mainland China</x:v>
      </x:c>
      <x:c r="L446" s="16" t="n">
        <x:v>60</x:v>
      </x:c>
      <x:c r="M446" s="16" t="n">
        <x:v>28</x:v>
      </x:c>
      <x:c r="N446" s="16" t="n">
        <x:v>0</x:v>
      </x:c>
      <x:c r="O446" s="16" t="n">
        <x:v>88</x:v>
      </x:c>
      <x:c r="P446" s="16" t="n">
        <x:v>88</x:v>
      </x:c>
      <x:c r="Q446" s="16"/>
      <x:c r="R446" s="16"/>
      <x:c r="S446" s="16" t="str"/>
      <x:c r="T446" s="16"/>
      <x:c r="U446" s="16" t="str">
        <x:v>NO — review only</x:v>
      </x:c>
    </x:row>
    <x:row r="447" ht="54" customHeight="1">
      <x:c r="A447" s="16" t="str">
        <x:v>zh-CN-985b569834f5</x:v>
      </x:c>
      <x:c r="B447" s="16" t="str">
        <x:v>zh-CN</x:v>
      </x:c>
      <x:c r="C447" s="16" t="str">
        <x:v>Shining Synergy: Shower</x:v>
      </x:c>
      <x:c r="D447" s="16" t="str">
        <x:v>交相辉映 沐</x:v>
      </x:c>
      <x:c r="E447" s="16" t="str">
        <x:v>Sun &amp; Moon</x:v>
      </x:c>
      <x:c r="F447" s="16" t="str">
        <x:v>Card set / collection</x:v>
      </x:c>
      <x:c r="G447" s="16" t="str">
        <x:v>CSM2a</x:v>
      </x:c>
      <x:c r="H447" s="16" t="str">
        <x:v>Catalogue set code; external code index</x:v>
      </x:c>
      <x:c r="I447" s="16" t="str">
        <x:v>2023-01-18</x:v>
      </x:c>
      <x:c r="J447" s="16" t="str">
        <x:v>day</x:v>
      </x:c>
      <x:c r="K447" s="16" t="str">
        <x:v>Mainland China</x:v>
      </x:c>
      <x:c r="L447" s="16" t="n">
        <x:v>150</x:v>
      </x:c>
      <x:c r="M447" s="16" t="n">
        <x:v>44</x:v>
      </x:c>
      <x:c r="N447" s="16" t="n">
        <x:v>0</x:v>
      </x:c>
      <x:c r="O447" s="16" t="n">
        <x:v>194</x:v>
      </x:c>
      <x:c r="P447" s="16" t="n">
        <x:v>194</x:v>
      </x:c>
      <x:c r="Q447" s="16" t="str">
        <x:v>194/150</x:v>
      </x:c>
      <x:c r="R447" s="16"/>
      <x:c r="S447" s="16"/>
      <x:c r="T447" s="16" t="str">
        <x:v>https://bulbapedia.bulbagarden.net/wiki/Shining_Synergy_(ATCG)</x:v>
      </x:c>
      <x:c r="U447" s="16" t="str">
        <x:v>NO — review only</x:v>
      </x:c>
    </x:row>
    <x:row r="448" ht="54" customHeight="1">
      <x:c r="A448" s="16" t="str">
        <x:v>zh-CN-e431181de676</x:v>
      </x:c>
      <x:c r="B448" s="16" t="str">
        <x:v>zh-CN</x:v>
      </x:c>
      <x:c r="C448" s="16" t="str">
        <x:v>Shining Synergy: Summon</x:v>
      </x:c>
      <x:c r="D448" s="16" t="str">
        <x:v>交相辉映 唤</x:v>
      </x:c>
      <x:c r="E448" s="16" t="str">
        <x:v>Sun &amp; Moon</x:v>
      </x:c>
      <x:c r="F448" s="16" t="str">
        <x:v>Card set / collection</x:v>
      </x:c>
      <x:c r="G448" s="16" t="str">
        <x:v>CSM2c</x:v>
      </x:c>
      <x:c r="H448" s="16" t="str">
        <x:v>Catalogue set code; external code index</x:v>
      </x:c>
      <x:c r="I448" s="16" t="str">
        <x:v>2023-01-18</x:v>
      </x:c>
      <x:c r="J448" s="16" t="str">
        <x:v>day</x:v>
      </x:c>
      <x:c r="K448" s="16" t="str">
        <x:v>Mainland China</x:v>
      </x:c>
      <x:c r="L448" s="16" t="n">
        <x:v>150</x:v>
      </x:c>
      <x:c r="M448" s="16" t="n">
        <x:v>42</x:v>
      </x:c>
      <x:c r="N448" s="16" t="n">
        <x:v>0</x:v>
      </x:c>
      <x:c r="O448" s="16" t="n">
        <x:v>192</x:v>
      </x:c>
      <x:c r="P448" s="16" t="n">
        <x:v>192</x:v>
      </x:c>
      <x:c r="Q448" s="16" t="str">
        <x:v>192/150</x:v>
      </x:c>
      <x:c r="R448" s="16"/>
      <x:c r="S448" s="16"/>
      <x:c r="T448" s="16" t="str">
        <x:v>https://bulbapedia.bulbagarden.net/wiki/Shining_Synergy_(ATCG)</x:v>
      </x:c>
      <x:c r="U448" s="16" t="str">
        <x:v>NO — review only</x:v>
      </x:c>
    </x:row>
    <x:row r="449" ht="54" customHeight="1">
      <x:c r="A449" s="16" t="str">
        <x:v>zh-CN-d9a73eee6c51</x:v>
      </x:c>
      <x:c r="B449" s="16" t="str">
        <x:v>zh-CN</x:v>
      </x:c>
      <x:c r="C449" s="16" t="str">
        <x:v>Shining Synergy: Supreme</x:v>
      </x:c>
      <x:c r="D449" s="16" t="str">
        <x:v>交相辉映 魁</x:v>
      </x:c>
      <x:c r="E449" s="16" t="str">
        <x:v>Sun &amp; Moon</x:v>
      </x:c>
      <x:c r="F449" s="16" t="str">
        <x:v>Card set / collection</x:v>
      </x:c>
      <x:c r="G449" s="16" t="str">
        <x:v>CSM2b</x:v>
      </x:c>
      <x:c r="H449" s="16" t="str">
        <x:v>Catalogue set code; external code index</x:v>
      </x:c>
      <x:c r="I449" s="16" t="str">
        <x:v>2023-01-18</x:v>
      </x:c>
      <x:c r="J449" s="16" t="str">
        <x:v>day</x:v>
      </x:c>
      <x:c r="K449" s="16" t="str">
        <x:v>Mainland China</x:v>
      </x:c>
      <x:c r="L449" s="16" t="n">
        <x:v>150</x:v>
      </x:c>
      <x:c r="M449" s="16" t="n">
        <x:v>43</x:v>
      </x:c>
      <x:c r="N449" s="16" t="n">
        <x:v>0</x:v>
      </x:c>
      <x:c r="O449" s="16" t="n">
        <x:v>193</x:v>
      </x:c>
      <x:c r="P449" s="16" t="n">
        <x:v>193</x:v>
      </x:c>
      <x:c r="Q449" s="16" t="str">
        <x:v>193/150</x:v>
      </x:c>
      <x:c r="R449" s="16"/>
      <x:c r="S449" s="16"/>
      <x:c r="T449" s="16" t="str">
        <x:v>https://bulbapedia.bulbagarden.net/wiki/Shining_Synergy_(ATCG)</x:v>
      </x:c>
      <x:c r="U449" s="16" t="str">
        <x:v>NO — review only</x:v>
      </x:c>
    </x:row>
    <x:row r="450" ht="54" customHeight="1">
      <x:c r="A450" s="16" t="str">
        <x:v>zh-CN-9a65c0b3e375</x:v>
      </x:c>
      <x:c r="B450" s="16" t="str">
        <x:v>zh-CN</x:v>
      </x:c>
      <x:c r="C450" s="16" t="str">
        <x:v>Striking Competition</x:v>
      </x:c>
      <x:c r="D450" s="16" t="str">
        <x:v>炫奇争胜</x:v>
      </x:c>
      <x:c r="E450" s="16" t="str">
        <x:v>Sun &amp; Moon</x:v>
      </x:c>
      <x:c r="F450" s="16" t="str">
        <x:v>Card set / collection</x:v>
      </x:c>
      <x:c r="G450" s="16" t="str">
        <x:v>CSM2.5C</x:v>
      </x:c>
      <x:c r="H450" s="16" t="str">
        <x:v>Retailer catalogue code; verify printed code</x:v>
      </x:c>
      <x:c r="I450" s="16" t="str">
        <x:v>2023-03-17</x:v>
      </x:c>
      <x:c r="J450" s="16" t="str">
        <x:v>day</x:v>
      </x:c>
      <x:c r="K450" s="16" t="str">
        <x:v>Mainland China</x:v>
      </x:c>
      <x:c r="L450" s="16" t="n">
        <x:v>61</x:v>
      </x:c>
      <x:c r="M450" s="16" t="n">
        <x:v>38</x:v>
      </x:c>
      <x:c r="N450" s="16" t="n">
        <x:v>0</x:v>
      </x:c>
      <x:c r="O450" s="16" t="n">
        <x:v>99</x:v>
      </x:c>
      <x:c r="P450" s="16" t="n">
        <x:v>99</x:v>
      </x:c>
      <x:c r="Q450" s="16"/>
      <x:c r="R450" s="16"/>
      <x:c r="S450" s="16" t="str"/>
      <x:c r="T450" s="16"/>
      <x:c r="U450" s="16" t="str">
        <x:v>NO — review only</x:v>
      </x:c>
    </x:row>
    <x:row r="451" ht="54" customHeight="1">
      <x:c r="A451" s="16" t="str">
        <x:v>zh-CN-278793c85063</x:v>
      </x:c>
      <x:c r="B451" s="16" t="str">
        <x:v>zh-CN</x:v>
      </x:c>
      <x:c r="C451" s="16" t="str">
        <x:v>Dynamax Clash: Flame</x:v>
      </x:c>
      <x:c r="D451" s="16" t="str">
        <x:v>极巨争锋 焰</x:v>
      </x:c>
      <x:c r="E451" s="16" t="str">
        <x:v>Sword &amp; Shield</x:v>
      </x:c>
      <x:c r="F451" s="16" t="str">
        <x:v>Card set / collection</x:v>
      </x:c>
      <x:c r="G451" s="16" t="str">
        <x:v>CS1b</x:v>
      </x:c>
      <x:c r="H451" s="16" t="str">
        <x:v>Catalogue set code; external code index</x:v>
      </x:c>
      <x:c r="I451" s="16" t="str">
        <x:v>2023-05-19</x:v>
      </x:c>
      <x:c r="J451" s="16" t="str">
        <x:v>day</x:v>
      </x:c>
      <x:c r="K451" s="16" t="str">
        <x:v>Mainland China</x:v>
      </x:c>
      <x:c r="L451" s="16" t="n">
        <x:v>136</x:v>
      </x:c>
      <x:c r="M451" s="16" t="n">
        <x:v>63</x:v>
      </x:c>
      <x:c r="N451" s="16" t="n">
        <x:v>0</x:v>
      </x:c>
      <x:c r="O451" s="16" t="n">
        <x:v>199</x:v>
      </x:c>
      <x:c r="P451" s="16" t="n">
        <x:v>199</x:v>
      </x:c>
      <x:c r="Q451" s="16" t="str">
        <x:v>199/136</x:v>
      </x:c>
      <x:c r="R451" s="16"/>
      <x:c r="S451" s="16"/>
      <x:c r="T451" s="16" t="str">
        <x:v>https://bulbapedia.bulbagarden.net/wiki/Dynamax_Clash_(ATCG)</x:v>
      </x:c>
      <x:c r="U451" s="16" t="str">
        <x:v>NO — review only</x:v>
      </x:c>
    </x:row>
    <x:row r="452" ht="54" customHeight="1">
      <x:c r="A452" s="16" t="str">
        <x:v>zh-CN-3e2d274b4ab5</x:v>
      </x:c>
      <x:c r="B452" s="16" t="str">
        <x:v>zh-CN</x:v>
      </x:c>
      <x:c r="C452" s="16" t="str">
        <x:v>Dynamax Clash: Thunder</x:v>
      </x:c>
      <x:c r="D452" s="16" t="str">
        <x:v>极巨争锋 雷</x:v>
      </x:c>
      <x:c r="E452" s="16" t="str">
        <x:v>Sword &amp; Shield</x:v>
      </x:c>
      <x:c r="F452" s="16" t="str">
        <x:v>Card set / collection</x:v>
      </x:c>
      <x:c r="G452" s="16" t="str">
        <x:v>CS1a</x:v>
      </x:c>
      <x:c r="H452" s="16" t="str">
        <x:v>Catalogue set code; external code index</x:v>
      </x:c>
      <x:c r="I452" s="16" t="str">
        <x:v>2023-05-19</x:v>
      </x:c>
      <x:c r="J452" s="16" t="str">
        <x:v>day</x:v>
      </x:c>
      <x:c r="K452" s="16" t="str">
        <x:v>Mainland China</x:v>
      </x:c>
      <x:c r="L452" s="16" t="n">
        <x:v>135</x:v>
      </x:c>
      <x:c r="M452" s="16" t="n">
        <x:v>82</x:v>
      </x:c>
      <x:c r="N452" s="16" t="n">
        <x:v>0</x:v>
      </x:c>
      <x:c r="O452" s="16" t="n">
        <x:v>217</x:v>
      </x:c>
      <x:c r="P452" s="16" t="n">
        <x:v>217</x:v>
      </x:c>
      <x:c r="Q452" s="16" t="str">
        <x:v>217/135</x:v>
      </x:c>
      <x:c r="R452" s="16"/>
      <x:c r="S452" s="16"/>
      <x:c r="T452" s="16" t="str">
        <x:v>https://bulbapedia.bulbagarden.net/wiki/Dynamax_Clash_(ATCG)</x:v>
      </x:c>
      <x:c r="U452" s="16" t="str">
        <x:v>NO — review only</x:v>
      </x:c>
    </x:row>
    <x:row r="453" ht="54" customHeight="1">
      <x:c r="A453" s="16" t="str">
        <x:v>zh-CN-07dcd02896a4</x:v>
      </x:c>
      <x:c r="B453" s="16" t="str">
        <x:v>zh-CN</x:v>
      </x:c>
      <x:c r="C453" s="16" t="str">
        <x:v>Dynamax Tactics</x:v>
      </x:c>
      <x:c r="D453" s="16" t="str">
        <x:v>极巨攻防</x:v>
      </x:c>
      <x:c r="E453" s="16" t="str">
        <x:v>Sword &amp; Shield</x:v>
      </x:c>
      <x:c r="F453" s="16" t="str">
        <x:v>Card set / collection</x:v>
      </x:c>
      <x:c r="G453" s="16" t="str">
        <x:v>CS1.5</x:v>
      </x:c>
      <x:c r="H453" s="16" t="str">
        <x:v>Retailer catalogue code; verify printed code</x:v>
      </x:c>
      <x:c r="I453" s="16" t="str">
        <x:v>2023-06-28</x:v>
      </x:c>
      <x:c r="J453" s="16" t="str">
        <x:v>day</x:v>
      </x:c>
      <x:c r="K453" s="16" t="str">
        <x:v>Mainland China</x:v>
      </x:c>
      <x:c r="L453" s="16" t="n">
        <x:v>55</x:v>
      </x:c>
      <x:c r="M453" s="16" t="n">
        <x:v>41</x:v>
      </x:c>
      <x:c r="N453" s="16" t="n">
        <x:v>0</x:v>
      </x:c>
      <x:c r="O453" s="16" t="n">
        <x:v>96</x:v>
      </x:c>
      <x:c r="P453" s="16" t="n">
        <x:v>96</x:v>
      </x:c>
      <x:c r="Q453" s="16"/>
      <x:c r="R453" s="16"/>
      <x:c r="S453" s="16" t="str"/>
      <x:c r="T453" s="16"/>
      <x:c r="U453" s="16" t="str">
        <x:v>NO — review only</x:v>
      </x:c>
    </x:row>
    <x:row r="454" ht="54" customHeight="1">
      <x:c r="A454" s="16" t="str">
        <x:v>zh-CN-000aba863495</x:v>
      </x:c>
      <x:c r="B454" s="16" t="str">
        <x:v>zh-CN</x:v>
      </x:c>
      <x:c r="C454" s="16" t="str">
        <x:v>Vivid Portrayals: Indigo</x:v>
      </x:c>
      <x:c r="D454" s="16" t="str">
        <x:v>浓墨重彩 靛</x:v>
      </x:c>
      <x:c r="E454" s="16" t="str">
        <x:v>Sword &amp; Shield</x:v>
      </x:c>
      <x:c r="F454" s="16" t="str">
        <x:v>Card set / collection</x:v>
      </x:c>
      <x:c r="G454" s="16" t="str">
        <x:v>CS2b</x:v>
      </x:c>
      <x:c r="H454" s="16" t="str">
        <x:v>Catalogue set code; external code index</x:v>
      </x:c>
      <x:c r="I454" s="16" t="str">
        <x:v>2023-08-18</x:v>
      </x:c>
      <x:c r="J454" s="16" t="str">
        <x:v>day</x:v>
      </x:c>
      <x:c r="K454" s="16" t="str">
        <x:v>Mainland China</x:v>
      </x:c>
      <x:c r="L454" s="16" t="n">
        <x:v>115</x:v>
      </x:c>
      <x:c r="M454" s="16" t="n">
        <x:v>28</x:v>
      </x:c>
      <x:c r="N454" s="16" t="n">
        <x:v>0</x:v>
      </x:c>
      <x:c r="O454" s="16" t="n">
        <x:v>143</x:v>
      </x:c>
      <x:c r="P454" s="16" t="n">
        <x:v>143</x:v>
      </x:c>
      <x:c r="Q454" s="16" t="str">
        <x:v>143/115</x:v>
      </x:c>
      <x:c r="R454" s="16"/>
      <x:c r="S454" s="16"/>
      <x:c r="T454" s="16" t="str">
        <x:v>https://bulbapedia.bulbagarden.net/wiki/Vivid_Portrayals_(ATCG)</x:v>
      </x:c>
      <x:c r="U454" s="16" t="str">
        <x:v>NO — review only</x:v>
      </x:c>
    </x:row>
    <x:row r="455" ht="54" customHeight="1">
      <x:c r="A455" s="16" t="str">
        <x:v>zh-CN-e3ed5d35db24</x:v>
      </x:c>
      <x:c r="B455" s="16" t="str">
        <x:v>zh-CN</x:v>
      </x:c>
      <x:c r="C455" s="16" t="str">
        <x:v>Vivid Portrayals: Obsidian</x:v>
      </x:c>
      <x:c r="D455" s="16" t="str">
        <x:v>浓墨重彩 黎</x:v>
      </x:c>
      <x:c r="E455" s="16" t="str">
        <x:v>Sword &amp; Shield</x:v>
      </x:c>
      <x:c r="F455" s="16" t="str">
        <x:v>Card set / collection</x:v>
      </x:c>
      <x:c r="G455" s="16" t="str">
        <x:v>CS2a</x:v>
      </x:c>
      <x:c r="H455" s="16" t="str">
        <x:v>Catalogue set code; external code index</x:v>
      </x:c>
      <x:c r="I455" s="16" t="str">
        <x:v>2023-08-18</x:v>
      </x:c>
      <x:c r="J455" s="16" t="str">
        <x:v>day</x:v>
      </x:c>
      <x:c r="K455" s="16" t="str">
        <x:v>Mainland China</x:v>
      </x:c>
      <x:c r="L455" s="16" t="n">
        <x:v>115</x:v>
      </x:c>
      <x:c r="M455" s="16" t="n">
        <x:v>28</x:v>
      </x:c>
      <x:c r="N455" s="16" t="n">
        <x:v>0</x:v>
      </x:c>
      <x:c r="O455" s="16" t="n">
        <x:v>143</x:v>
      </x:c>
      <x:c r="P455" s="16" t="n">
        <x:v>143</x:v>
      </x:c>
      <x:c r="Q455" s="16" t="str">
        <x:v>143/115</x:v>
      </x:c>
      <x:c r="R455" s="16"/>
      <x:c r="S455" s="16"/>
      <x:c r="T455" s="16" t="str">
        <x:v>https://bulbapedia.bulbagarden.net/wiki/Vivid_Portrayals_(ATCG)</x:v>
      </x:c>
      <x:c r="U455" s="16" t="str">
        <x:v>NO — review only</x:v>
      </x:c>
    </x:row>
    <x:row r="456" ht="54" customHeight="1">
      <x:c r="A456" s="16" t="str">
        <x:v>zh-CN-dda220ef310e</x:v>
      </x:c>
      <x:c r="B456" s="16" t="str">
        <x:v>zh-CN</x:v>
      </x:c>
      <x:c r="C456" s="16" t="str">
        <x:v>Brilliant Counterattack</x:v>
      </x:c>
      <x:c r="D456" s="16" t="str">
        <x:v>璀璨反击</x:v>
      </x:c>
      <x:c r="E456" s="16" t="str">
        <x:v>Sword &amp; Shield</x:v>
      </x:c>
      <x:c r="F456" s="16" t="str">
        <x:v>Card set / collection</x:v>
      </x:c>
      <x:c r="G456" s="16" t="str">
        <x:v>CS2.5</x:v>
      </x:c>
      <x:c r="H456" s="16" t="str">
        <x:v>Retailer catalogue code; verify printed code</x:v>
      </x:c>
      <x:c r="I456" s="16" t="str">
        <x:v>2023-09-29</x:v>
      </x:c>
      <x:c r="J456" s="16" t="str">
        <x:v>day</x:v>
      </x:c>
      <x:c r="K456" s="16" t="str">
        <x:v>Mainland China</x:v>
      </x:c>
      <x:c r="L456" s="16" t="n">
        <x:v>59</x:v>
      </x:c>
      <x:c r="M456" s="16" t="n">
        <x:v>20</x:v>
      </x:c>
      <x:c r="N456" s="16" t="n">
        <x:v>0</x:v>
      </x:c>
      <x:c r="O456" s="16" t="n">
        <x:v>79</x:v>
      </x:c>
      <x:c r="P456" s="16" t="n">
        <x:v>79</x:v>
      </x:c>
      <x:c r="Q456" s="16"/>
      <x:c r="R456" s="16"/>
      <x:c r="S456" s="16" t="str"/>
      <x:c r="T456" s="16"/>
      <x:c r="U456" s="16" t="str">
        <x:v>NO — review only</x:v>
      </x:c>
    </x:row>
    <x:row r="457" ht="54" customHeight="1">
      <x:c r="A457" s="16" t="str">
        <x:v>zh-CN-03b5c4fdbb4b</x:v>
      </x:c>
      <x:c r="B457" s="16" t="str">
        <x:v>zh-CN</x:v>
      </x:c>
      <x:c r="C457" s="16" t="str">
        <x:v>Primordial Arts: Overgrow</x:v>
      </x:c>
      <x:c r="D457" s="16" t="str">
        <x:v>洪荒演武 茂</x:v>
      </x:c>
      <x:c r="E457" s="16" t="str">
        <x:v>Sword &amp; Shield</x:v>
      </x:c>
      <x:c r="F457" s="16" t="str">
        <x:v>Card set / collection</x:v>
      </x:c>
      <x:c r="G457" s="16" t="str">
        <x:v>CS3a</x:v>
      </x:c>
      <x:c r="H457" s="16" t="str">
        <x:v>Catalogue set code; external code index</x:v>
      </x:c>
      <x:c r="I457" s="16" t="str">
        <x:v>2023-11-17</x:v>
      </x:c>
      <x:c r="J457" s="16" t="str">
        <x:v>day</x:v>
      </x:c>
      <x:c r="K457" s="16" t="str">
        <x:v>Mainland China</x:v>
      </x:c>
      <x:c r="L457" s="16"/>
      <x:c r="M457" s="16"/>
      <x:c r="N457" s="16" t="n">
        <x:v>0</x:v>
      </x:c>
      <x:c r="O457" s="16" t="n">
        <x:v>184</x:v>
      </x:c>
      <x:c r="P457" s="16" t="n">
        <x:v>184</x:v>
      </x:c>
      <x:c r="Q457" s="16"/>
      <x:c r="R457" s="16"/>
      <x:c r="S457" s="16" t="str"/>
      <x:c r="T457" s="16"/>
      <x:c r="U457" s="16" t="str">
        <x:v>NO — review only</x:v>
      </x:c>
    </x:row>
    <x:row r="458" ht="54" customHeight="1">
      <x:c r="A458" s="16" t="str">
        <x:v>zh-CN-5d92ddb62f3d</x:v>
      </x:c>
      <x:c r="B458" s="16" t="str">
        <x:v>zh-CN</x:v>
      </x:c>
      <x:c r="C458" s="16" t="str">
        <x:v>Primordial Arts: Torrent</x:v>
      </x:c>
      <x:c r="D458" s="16" t="str">
        <x:v>洪荒演武 激</x:v>
      </x:c>
      <x:c r="E458" s="16" t="str">
        <x:v>Sword &amp; Shield</x:v>
      </x:c>
      <x:c r="F458" s="16" t="str">
        <x:v>Card set / collection</x:v>
      </x:c>
      <x:c r="G458" s="16" t="str">
        <x:v>CS3b</x:v>
      </x:c>
      <x:c r="H458" s="16" t="str">
        <x:v>Catalogue set code; external code index</x:v>
      </x:c>
      <x:c r="I458" s="16" t="str">
        <x:v>2023-11-17</x:v>
      </x:c>
      <x:c r="J458" s="16" t="str">
        <x:v>day</x:v>
      </x:c>
      <x:c r="K458" s="16" t="str">
        <x:v>Mainland China</x:v>
      </x:c>
      <x:c r="L458" s="16"/>
      <x:c r="M458" s="16"/>
      <x:c r="N458" s="16" t="n">
        <x:v>0</x:v>
      </x:c>
      <x:c r="O458" s="16" t="n">
        <x:v>179</x:v>
      </x:c>
      <x:c r="P458" s="16" t="n">
        <x:v>179</x:v>
      </x:c>
      <x:c r="Q458" s="16"/>
      <x:c r="R458" s="16"/>
      <x:c r="S458" s="16" t="str"/>
      <x:c r="T458" s="16"/>
      <x:c r="U458" s="16" t="str">
        <x:v>NO — review only</x:v>
      </x:c>
    </x:row>
    <x:row r="459" ht="54" customHeight="1">
      <x:c r="A459" s="16" t="str">
        <x:v>zh-CN-9e170a241e41</x:v>
      </x:c>
      <x:c r="B459" s="16" t="str">
        <x:v>zh-CN</x:v>
      </x:c>
      <x:c r="C459" s="16" t="str">
        <x:v>Scorching Skies</x:v>
      </x:c>
      <x:c r="D459" s="16" t="str">
        <x:v>怒炎灼天</x:v>
      </x:c>
      <x:c r="E459" s="16" t="str">
        <x:v>Sword &amp; Shield</x:v>
      </x:c>
      <x:c r="F459" s="16" t="str">
        <x:v>Card set / collection</x:v>
      </x:c>
      <x:c r="G459" s="16" t="str">
        <x:v>CS3.5</x:v>
      </x:c>
      <x:c r="H459" s="16" t="str">
        <x:v>Retailer catalogue code; verify printed code</x:v>
      </x:c>
      <x:c r="I459" s="16" t="str">
        <x:v>2024-01-05</x:v>
      </x:c>
      <x:c r="J459" s="16" t="str">
        <x:v>day</x:v>
      </x:c>
      <x:c r="K459" s="16" t="str">
        <x:v>Mainland China</x:v>
      </x:c>
      <x:c r="L459" s="16" t="n">
        <x:v>66</x:v>
      </x:c>
      <x:c r="M459" s="16" t="n">
        <x:v>24</x:v>
      </x:c>
      <x:c r="N459" s="16" t="n">
        <x:v>0</x:v>
      </x:c>
      <x:c r="O459" s="16" t="n">
        <x:v>90</x:v>
      </x:c>
      <x:c r="P459" s="16" t="n">
        <x:v>90</x:v>
      </x:c>
      <x:c r="Q459" s="16"/>
      <x:c r="R459" s="16"/>
      <x:c r="S459" s="16" t="str"/>
      <x:c r="T459" s="16"/>
      <x:c r="U459" s="16" t="str">
        <x:v>NO — review only</x:v>
      </x:c>
    </x:row>
    <x:row r="460" ht="54" customHeight="1">
      <x:c r="A460" s="16" t="str">
        <x:v>zh-CN-f0b761b734c3</x:v>
      </x:c>
      <x:c r="B460" s="16" t="str">
        <x:v>zh-CN</x:v>
      </x:c>
      <x:c r="C460" s="16" t="str">
        <x:v>Polychromatic Gathering: Friends</x:v>
      </x:c>
      <x:c r="D460" s="16" t="str">
        <x:v>九彩汇聚 朋</x:v>
      </x:c>
      <x:c r="E460" s="16" t="str">
        <x:v>Sword &amp; Shield</x:v>
      </x:c>
      <x:c r="F460" s="16" t="str">
        <x:v>Card set / collection</x:v>
      </x:c>
      <x:c r="G460" s="16" t="str">
        <x:v>CS4a</x:v>
      </x:c>
      <x:c r="H460" s="16" t="str">
        <x:v>Catalogue set code; external code index</x:v>
      </x:c>
      <x:c r="I460" s="16" t="str">
        <x:v>2024-03-01</x:v>
      </x:c>
      <x:c r="J460" s="16" t="str">
        <x:v>day</x:v>
      </x:c>
      <x:c r="K460" s="16" t="str">
        <x:v>Mainland China</x:v>
      </x:c>
      <x:c r="L460" s="16" t="n">
        <x:v>132</x:v>
      </x:c>
      <x:c r="M460" s="16" t="n">
        <x:v>52</x:v>
      </x:c>
      <x:c r="N460" s="16" t="n">
        <x:v>0</x:v>
      </x:c>
      <x:c r="O460" s="16" t="n">
        <x:v>184</x:v>
      </x:c>
      <x:c r="P460" s="16" t="n">
        <x:v>184</x:v>
      </x:c>
      <x:c r="Q460" s="16"/>
      <x:c r="R460" s="16"/>
      <x:c r="S460" s="16"/>
      <x:c r="T460" s="16"/>
      <x:c r="U460" s="16" t="str">
        <x:v>NO — review only</x:v>
      </x:c>
    </x:row>
    <x:row r="461" ht="54" customHeight="1">
      <x:c r="A461" s="16" t="str">
        <x:v>zh-CN-717687c74d70</x:v>
      </x:c>
      <x:c r="B461" s="16" t="str">
        <x:v>zh-CN</x:v>
      </x:c>
      <x:c r="C461" s="16" t="str">
        <x:v>Polychromatic Gathering: Origin</x:v>
      </x:c>
      <x:c r="D461" s="16" t="str">
        <x:v>九彩汇聚 源</x:v>
      </x:c>
      <x:c r="E461" s="16" t="str">
        <x:v>Sword &amp; Shield</x:v>
      </x:c>
      <x:c r="F461" s="16" t="str">
        <x:v>Card set / collection</x:v>
      </x:c>
      <x:c r="G461" s="16" t="str">
        <x:v>CS4b</x:v>
      </x:c>
      <x:c r="H461" s="16" t="str">
        <x:v>Catalogue set code; external code index</x:v>
      </x:c>
      <x:c r="I461" s="16" t="str">
        <x:v>2024-03-01</x:v>
      </x:c>
      <x:c r="J461" s="16" t="str">
        <x:v>day</x:v>
      </x:c>
      <x:c r="K461" s="16" t="str">
        <x:v>Mainland China</x:v>
      </x:c>
      <x:c r="L461" s="16" t="n">
        <x:v>132</x:v>
      </x:c>
      <x:c r="M461" s="16" t="n">
        <x:v>45</x:v>
      </x:c>
      <x:c r="N461" s="16" t="n">
        <x:v>0</x:v>
      </x:c>
      <x:c r="O461" s="16" t="n">
        <x:v>177</x:v>
      </x:c>
      <x:c r="P461" s="16" t="n">
        <x:v>177</x:v>
      </x:c>
      <x:c r="Q461" s="16"/>
      <x:c r="R461" s="16"/>
      <x:c r="S461" s="16"/>
      <x:c r="T461" s="16"/>
      <x:c r="U461" s="16" t="str">
        <x:v>NO — review only</x:v>
      </x:c>
    </x:row>
    <x:row r="462" ht="54" customHeight="1">
      <x:c r="A462" s="16" t="str">
        <x:v>zh-CN-06b75de401d9</x:v>
      </x:c>
      <x:c r="B462" s="16" t="str">
        <x:v>zh-CN</x:v>
      </x:c>
      <x:c r="C462" s="16" t="str">
        <x:v>Flame Dance of the End</x:v>
      </x:c>
      <x:c r="D462" s="16" t="str">
        <x:v>终末炎舞</x:v>
      </x:c>
      <x:c r="E462" s="16" t="str">
        <x:v>Sword &amp; Shield</x:v>
      </x:c>
      <x:c r="F462" s="16" t="str">
        <x:v>Card set / collection</x:v>
      </x:c>
      <x:c r="G462" s="16" t="str">
        <x:v>CS4.5</x:v>
      </x:c>
      <x:c r="H462" s="16" t="str">
        <x:v>Retailer catalogue code; verify printed code</x:v>
      </x:c>
      <x:c r="I462" s="16" t="str">
        <x:v>2024-04-26</x:v>
      </x:c>
      <x:c r="J462" s="16" t="str">
        <x:v>day</x:v>
      </x:c>
      <x:c r="K462" s="16" t="str">
        <x:v>Mainland China</x:v>
      </x:c>
      <x:c r="L462" s="16" t="n">
        <x:v>63</x:v>
      </x:c>
      <x:c r="M462" s="16" t="n">
        <x:v>20</x:v>
      </x:c>
      <x:c r="N462" s="16" t="n">
        <x:v>0</x:v>
      </x:c>
      <x:c r="O462" s="16" t="n">
        <x:v>83</x:v>
      </x:c>
      <x:c r="P462" s="16" t="n">
        <x:v>83</x:v>
      </x:c>
      <x:c r="Q462" s="16"/>
      <x:c r="R462" s="16"/>
      <x:c r="S462" s="16" t="str"/>
      <x:c r="T462" s="16"/>
      <x:c r="U462" s="16" t="str">
        <x:v>NO — review only</x:v>
      </x:c>
    </x:row>
    <x:row r="463" ht="54" customHeight="1">
      <x:c r="A463" s="16" t="str">
        <x:v>zh-CN-26d69c463f17</x:v>
      </x:c>
      <x:c r="B463" s="16" t="str">
        <x:v>zh-CN</x:v>
      </x:c>
      <x:c r="C463" s="16" t="str">
        <x:v>Gallant Galaxy: Brave</x:v>
      </x:c>
      <x:c r="D463" s="16" t="str">
        <x:v>勇魅群星 勇</x:v>
      </x:c>
      <x:c r="E463" s="16" t="str">
        <x:v>Sword &amp; Shield</x:v>
      </x:c>
      <x:c r="F463" s="16" t="str">
        <x:v>Card set / collection</x:v>
      </x:c>
      <x:c r="G463" s="16" t="str">
        <x:v>CS5b</x:v>
      </x:c>
      <x:c r="H463" s="16" t="str">
        <x:v>Catalogue set code; external code index</x:v>
      </x:c>
      <x:c r="I463" s="16" t="str">
        <x:v>2024-06-18</x:v>
      </x:c>
      <x:c r="J463" s="16" t="str">
        <x:v>day</x:v>
      </x:c>
      <x:c r="K463" s="16" t="str">
        <x:v>Mainland China</x:v>
      </x:c>
      <x:c r="L463" s="16" t="n">
        <x:v>128</x:v>
      </x:c>
      <x:c r="M463" s="16" t="n">
        <x:v>50</x:v>
      </x:c>
      <x:c r="N463" s="16" t="n">
        <x:v>0</x:v>
      </x:c>
      <x:c r="O463" s="16" t="n">
        <x:v>178</x:v>
      </x:c>
      <x:c r="P463" s="16" t="n">
        <x:v>178</x:v>
      </x:c>
      <x:c r="Q463" s="16"/>
      <x:c r="R463" s="16"/>
      <x:c r="S463" s="16"/>
      <x:c r="T463" s="16"/>
      <x:c r="U463" s="16" t="str">
        <x:v>NO — review only</x:v>
      </x:c>
    </x:row>
    <x:row r="464" ht="54" customHeight="1">
      <x:c r="A464" s="16" t="str">
        <x:v>zh-CN-ef32f1cf698e</x:v>
      </x:c>
      <x:c r="B464" s="16" t="str">
        <x:v>zh-CN</x:v>
      </x:c>
      <x:c r="C464" s="16" t="str">
        <x:v>Gallant Galaxy: Charm</x:v>
      </x:c>
      <x:c r="D464" s="16" t="str">
        <x:v>勇魅群星 魅</x:v>
      </x:c>
      <x:c r="E464" s="16" t="str">
        <x:v>Sword &amp; Shield</x:v>
      </x:c>
      <x:c r="F464" s="16" t="str">
        <x:v>Card set / collection</x:v>
      </x:c>
      <x:c r="G464" s="16" t="str">
        <x:v>CS5a</x:v>
      </x:c>
      <x:c r="H464" s="16" t="str">
        <x:v>Catalogue set code; external code index</x:v>
      </x:c>
      <x:c r="I464" s="16" t="str">
        <x:v>2024-06-18</x:v>
      </x:c>
      <x:c r="J464" s="16" t="str">
        <x:v>day</x:v>
      </x:c>
      <x:c r="K464" s="16" t="str">
        <x:v>Mainland China</x:v>
      </x:c>
      <x:c r="L464" s="16" t="n">
        <x:v>127</x:v>
      </x:c>
      <x:c r="M464" s="16" t="n">
        <x:v>49</x:v>
      </x:c>
      <x:c r="N464" s="16" t="n">
        <x:v>0</x:v>
      </x:c>
      <x:c r="O464" s="16" t="n">
        <x:v>176</x:v>
      </x:c>
      <x:c r="P464" s="16" t="n">
        <x:v>176</x:v>
      </x:c>
      <x:c r="Q464" s="16"/>
      <x:c r="R464" s="16"/>
      <x:c r="S464" s="16"/>
      <x:c r="T464" s="16"/>
      <x:c r="U464" s="16" t="str">
        <x:v>NO — review only</x:v>
      </x:c>
    </x:row>
    <x:row r="465" ht="54" customHeight="1">
      <x:c r="A465" s="16" t="str">
        <x:v>zh-CN-805005bd58b7</x:v>
      </x:c>
      <x:c r="B465" s="16" t="str">
        <x:v>zh-CN</x:v>
      </x:c>
      <x:c r="C465" s="16" t="str">
        <x:v>Overshadowed Radiance</x:v>
      </x:c>
      <x:c r="D465" s="16" t="str">
        <x:v>暗影夺辉</x:v>
      </x:c>
      <x:c r="E465" s="16" t="str">
        <x:v>Sword &amp; Shield</x:v>
      </x:c>
      <x:c r="F465" s="16" t="str">
        <x:v>Card set / collection</x:v>
      </x:c>
      <x:c r="G465" s="16" t="str">
        <x:v>CS5.5</x:v>
      </x:c>
      <x:c r="H465" s="16" t="str">
        <x:v>Retailer catalogue code; verify printed code</x:v>
      </x:c>
      <x:c r="I465" s="16" t="str">
        <x:v>2024-08-02</x:v>
      </x:c>
      <x:c r="J465" s="16" t="str">
        <x:v>day</x:v>
      </x:c>
      <x:c r="K465" s="16" t="str">
        <x:v>Mainland China</x:v>
      </x:c>
      <x:c r="L465" s="16" t="n">
        <x:v>66</x:v>
      </x:c>
      <x:c r="M465" s="16" t="n">
        <x:v>23</x:v>
      </x:c>
      <x:c r="N465" s="16" t="n">
        <x:v>0</x:v>
      </x:c>
      <x:c r="O465" s="16" t="n">
        <x:v>89</x:v>
      </x:c>
      <x:c r="P465" s="16" t="n">
        <x:v>89</x:v>
      </x:c>
      <x:c r="Q465" s="16"/>
      <x:c r="R465" s="16"/>
      <x:c r="S465" s="16" t="str"/>
      <x:c r="T465" s="16"/>
      <x:c r="U465" s="16" t="str">
        <x:v>NO — review only</x:v>
      </x:c>
    </x:row>
    <x:row r="466" ht="54" customHeight="1">
      <x:c r="A466" s="16" t="str">
        <x:v>zh-CN-7830668b1cfa</x:v>
      </x:c>
      <x:c r="B466" s="16" t="str">
        <x:v>zh-CN</x:v>
      </x:c>
      <x:c r="C466" s="16" t="str">
        <x:v>Marine Shadow: Banish</x:v>
      </x:c>
      <x:c r="D466" s="16" t="str">
        <x:v>碧海暗影 逐</x:v>
      </x:c>
      <x:c r="E466" s="16" t="str">
        <x:v>Sword &amp; Shield</x:v>
      </x:c>
      <x:c r="F466" s="16" t="str">
        <x:v>Card set / collection</x:v>
      </x:c>
      <x:c r="G466" s="16" t="str">
        <x:v>CS6b</x:v>
      </x:c>
      <x:c r="H466" s="16" t="str">
        <x:v>Catalogue set code; external code index</x:v>
      </x:c>
      <x:c r="I466" s="16" t="str">
        <x:v>2024-09-20</x:v>
      </x:c>
      <x:c r="J466" s="16" t="str">
        <x:v>day</x:v>
      </x:c>
      <x:c r="K466" s="16" t="str">
        <x:v>Mainland China</x:v>
      </x:c>
      <x:c r="L466" s="16"/>
      <x:c r="M466" s="16"/>
      <x:c r="N466" s="16" t="n">
        <x:v>0</x:v>
      </x:c>
      <x:c r="O466" s="16" t="n">
        <x:v>173</x:v>
      </x:c>
      <x:c r="P466" s="16" t="n">
        <x:v>173</x:v>
      </x:c>
      <x:c r="Q466" s="16"/>
      <x:c r="R466" s="16"/>
      <x:c r="S466" s="16" t="str"/>
      <x:c r="T466" s="16" t="str">
        <x:v>https://bulbapedia.bulbagarden.net/wiki/Template:Simplified_Chinese_Releases</x:v>
      </x:c>
      <x:c r="U466" s="16" t="str">
        <x:v>NO — review only</x:v>
      </x:c>
    </x:row>
    <x:row r="467" ht="54" customHeight="1">
      <x:c r="A467" s="16" t="str">
        <x:v>zh-CN-4e11f8df413a</x:v>
      </x:c>
      <x:c r="B467" s="16" t="str">
        <x:v>zh-CN</x:v>
      </x:c>
      <x:c r="C467" s="16" t="str">
        <x:v>Marine Shadow: Roar</x:v>
      </x:c>
      <x:c r="D467" s="16" t="str">
        <x:v>碧海暗影 啸</x:v>
      </x:c>
      <x:c r="E467" s="16" t="str">
        <x:v>Sword &amp; Shield</x:v>
      </x:c>
      <x:c r="F467" s="16" t="str">
        <x:v>Card set / collection</x:v>
      </x:c>
      <x:c r="G467" s="16" t="str">
        <x:v>CS6a</x:v>
      </x:c>
      <x:c r="H467" s="16" t="str">
        <x:v>Catalogue set code; external code index</x:v>
      </x:c>
      <x:c r="I467" s="16" t="str">
        <x:v>2024-09-20</x:v>
      </x:c>
      <x:c r="J467" s="16" t="str">
        <x:v>day</x:v>
      </x:c>
      <x:c r="K467" s="16" t="str">
        <x:v>Mainland China</x:v>
      </x:c>
      <x:c r="L467" s="16"/>
      <x:c r="M467" s="16"/>
      <x:c r="N467" s="16" t="n">
        <x:v>0</x:v>
      </x:c>
      <x:c r="O467" s="16" t="n">
        <x:v>170</x:v>
      </x:c>
      <x:c r="P467" s="16" t="n">
        <x:v>170</x:v>
      </x:c>
      <x:c r="Q467" s="16"/>
      <x:c r="R467" s="16"/>
      <x:c r="S467" s="16" t="str"/>
      <x:c r="T467" s="16" t="str">
        <x:v>https://bulbapedia.bulbagarden.net/wiki/Template:Simplified_Chinese_Releases</x:v>
      </x:c>
      <x:c r="U467" s="16" t="str">
        <x:v>NO — review only</x:v>
      </x:c>
    </x:row>
    <x:row r="468" ht="54" customHeight="1">
      <x:c r="A468" s="16" t="str">
        <x:v>zh-CN-2097f2637c37</x:v>
      </x:c>
      <x:c r="B468" s="16" t="str">
        <x:v>zh-CN</x:v>
      </x:c>
      <x:c r="C468" s="16" t="str">
        <x:v>Victory Lodestar</x:v>
      </x:c>
      <x:c r="D468" s="16" t="str">
        <x:v>胜象星引</x:v>
      </x:c>
      <x:c r="E468" s="16" t="str">
        <x:v>Sword &amp; Shield</x:v>
      </x:c>
      <x:c r="F468" s="16" t="str">
        <x:v>Card set / collection</x:v>
      </x:c>
      <x:c r="G468" s="16" t="str">
        <x:v>CS6.5</x:v>
      </x:c>
      <x:c r="H468" s="16" t="str">
        <x:v>Retailer catalogue code; verify printed code</x:v>
      </x:c>
      <x:c r="I468" s="16" t="str">
        <x:v>2024-11-15</x:v>
      </x:c>
      <x:c r="J468" s="16" t="str">
        <x:v>day</x:v>
      </x:c>
      <x:c r="K468" s="16" t="str">
        <x:v>Mainland China</x:v>
      </x:c>
      <x:c r="L468" s="16" t="n">
        <x:v>72</x:v>
      </x:c>
      <x:c r="M468" s="16"/>
      <x:c r="N468" s="16" t="n">
        <x:v>0</x:v>
      </x:c>
      <x:c r="O468" s="16" t="n">
        <x:v>72</x:v>
      </x:c>
      <x:c r="P468" s="16" t="n">
        <x:v>72</x:v>
      </x:c>
      <x:c r="Q468" s="16"/>
      <x:c r="R468" s="16"/>
      <x:c r="S468" s="16" t="str"/>
      <x:c r="T468" s="16" t="str">
        <x:v>https://bulbapedia.bulbagarden.net/wiki/Template:Simplified_Chinese_Releases</x:v>
      </x:c>
      <x:c r="U468" s="16" t="str">
        <x:v>NO — review only</x:v>
      </x:c>
    </x:row>
    <x:row r="469" ht="54" customHeight="1">
      <x:c r="A469" s="16" t="str">
        <x:v>zh-CN-95c5eec4132c</x:v>
      </x:c>
      <x:c r="B469" s="16" t="str">
        <x:v>zh-CN</x:v>
      </x:c>
      <x:c r="C469" s="16" t="str">
        <x:v>Ancient Times, Future Progress</x:v>
      </x:c>
      <x:c r="D469" s="16" t="str">
        <x:v>亘古开来</x:v>
      </x:c>
      <x:c r="E469" s="16" t="str">
        <x:v>Scarlet &amp; Violet</x:v>
      </x:c>
      <x:c r="F469" s="16" t="str">
        <x:v>Card set / collection</x:v>
      </x:c>
      <x:c r="G469" s="16" t="str">
        <x:v>CSV1</x:v>
      </x:c>
      <x:c r="H469" s="16" t="str">
        <x:v>Catalogue set code; external code index</x:v>
      </x:c>
      <x:c r="I469" s="16" t="str">
        <x:v>2025-01-17</x:v>
      </x:c>
      <x:c r="J469" s="16" t="str">
        <x:v>day</x:v>
      </x:c>
      <x:c r="K469" s="16" t="str">
        <x:v>Mainland China</x:v>
      </x:c>
      <x:c r="L469" s="16" t="n">
        <x:v>127</x:v>
      </x:c>
      <x:c r="M469" s="16" t="n">
        <x:v>40</x:v>
      </x:c>
      <x:c r="N469" s="16" t="n">
        <x:v>0</x:v>
      </x:c>
      <x:c r="O469" s="16" t="n">
        <x:v>167</x:v>
      </x:c>
      <x:c r="P469" s="16" t="n">
        <x:v>167</x:v>
      </x:c>
      <x:c r="Q469" s="16"/>
      <x:c r="R469" s="16"/>
      <x:c r="S469" s="16" t="str"/>
      <x:c r="T469" s="16"/>
      <x:c r="U469" s="16" t="str">
        <x:v>NO — review only</x:v>
      </x:c>
    </x:row>
    <x:row r="470" ht="54" customHeight="1">
      <x:c r="A470" s="16" t="str">
        <x:v>zh-CN-a61ae6f4afab</x:v>
      </x:c>
      <x:c r="B470" s="16" t="str">
        <x:v>zh-CN</x:v>
      </x:c>
      <x:c r="C470" s="16" t="str">
        <x:v>Collection 151 — shared numbered catalogue</x:v>
      </x:c>
      <x:c r="D470" s="16" t="str">
        <x:v>收集啦151</x:v>
      </x:c>
      <x:c r="E470" s="16" t="str">
        <x:v>Scarlet &amp; Violet</x:v>
      </x:c>
      <x:c r="F470" s="16" t="str">
        <x:v>Card set / collection</x:v>
      </x:c>
      <x:c r="G470" s="16" t="str">
        <x:v>151C</x:v>
      </x:c>
      <x:c r="H470" s="16" t="str">
        <x:v>External database family shorthand for the shared Collection 151 catalogue; official China product family verified; not asserted as a printed set mark</x:v>
      </x:c>
      <x:c r="I470" s="16" t="str">
        <x:v>2025-01-17</x:v>
      </x:c>
      <x:c r="J470" s="16" t="str">
        <x:v>day</x:v>
      </x:c>
      <x:c r="K470" s="16" t="str">
        <x:v>Mainland China</x:v>
      </x:c>
      <x:c r="L470" s="16" t="n">
        <x:v>151</x:v>
      </x:c>
      <x:c r="M470" s="16" t="n">
        <x:v>41</x:v>
      </x:c>
      <x:c r="N470" s="16" t="n">
        <x:v>0</x:v>
      </x:c>
      <x:c r="O470" s="16" t="n">
        <x:v>192</x:v>
      </x:c>
      <x:c r="P470" s="16" t="n">
        <x:v>192</x:v>
      </x:c>
      <x:c r="Q470" s="16"/>
      <x:c r="R470" s="16"/>
      <x:c r="S470" s="16" t="str"/>
      <x:c r="T470" s="16" t="str">
        <x:v>https://excaliburtcg.co.uk/products ; https://www.pokemon.cn/tcg/product/15486.html</x:v>
      </x:c>
      <x:c r="U470" s="16" t="str">
        <x:v>NO — review only</x:v>
      </x:c>
    </x:row>
    <x:row r="471" ht="54" customHeight="1">
      <x:c r="A471" s="16" t="str">
        <x:v>zh-CN-d1ae3e65a60e</x:v>
      </x:c>
      <x:c r="B471" s="16" t="str">
        <x:v>zh-CN</x:v>
      </x:c>
      <x:c r="C471" s="16" t="str">
        <x:v>Collection 151: Journey</x:v>
      </x:c>
      <x:c r="D471" s="16" t="str">
        <x:v>收集啦151 旅</x:v>
      </x:c>
      <x:c r="E471" s="16" t="str">
        <x:v>Scarlet &amp; Violet</x:v>
      </x:c>
      <x:c r="F471" s="16" t="str">
        <x:v>Pack edition</x:v>
      </x:c>
      <x:c r="G471" s="16" t="str">
        <x:v>151C1</x:v>
      </x:c>
      <x:c r="H471" s="16" t="str">
        <x:v>Established external database shorthand for Collection 151: Journey; official China product verified; not asserted as a printed set mark</x:v>
      </x:c>
      <x:c r="I471" s="16" t="str">
        <x:v>2025-01-17</x:v>
      </x:c>
      <x:c r="J471" s="16" t="str">
        <x:v>day</x:v>
      </x:c>
      <x:c r="K471" s="16" t="str">
        <x:v>Mainland China</x:v>
      </x:c>
      <x:c r="L471" s="16"/>
      <x:c r="M471" s="16"/>
      <x:c r="N471" s="16"/>
      <x:c r="O471" s="16" t="n">
        <x:v>192</x:v>
      </x:c>
      <x:c r="P471" s="16" t="n">
        <x:v>192</x:v>
      </x:c>
      <x:c r="Q471" s="16"/>
      <x:c r="R471" s="16"/>
      <x:c r="S471" s="16" t="str"/>
      <x:c r="T471" s="16" t="str">
        <x:v>https://excaliburtcg.co.uk/products ; https://www.pokemon.cn/tcg/product/15688.html ; https://bulbapedia.bulbagarden.net/wiki/Template:Simplified_Chinese_Releases</x:v>
      </x:c>
      <x:c r="U471" s="16" t="str">
        <x:v>NO — review only</x:v>
      </x:c>
    </x:row>
    <x:row r="472" ht="54" customHeight="1">
      <x:c r="A472" s="16" t="str">
        <x:v>zh-CN-d9d612b88239</x:v>
      </x:c>
      <x:c r="B472" s="16" t="str">
        <x:v>zh-CN</x:v>
      </x:c>
      <x:c r="C472" s="16" t="str">
        <x:v>Gem Pack Vol. 1</x:v>
      </x:c>
      <x:c r="D472" s="16" t="str">
        <x:v>宝石包VOL.1</x:v>
      </x:c>
      <x:c r="E472" s="16" t="str">
        <x:v>Scarlet &amp; Violet</x:v>
      </x:c>
      <x:c r="F472" s="16" t="str">
        <x:v>Card set / collection</x:v>
      </x:c>
      <x:c r="G472" s="16" t="str">
        <x:v>CBB1</x:v>
      </x:c>
      <x:c r="H472" s="16" t="str">
        <x:v>Source catalogue / logo-file code</x:v>
      </x:c>
      <x:c r="I472" s="16" t="str">
        <x:v>2025-01-17</x:v>
      </x:c>
      <x:c r="J472" s="16" t="str">
        <x:v>day</x:v>
      </x:c>
      <x:c r="K472" s="16" t="str">
        <x:v>Mainland China</x:v>
      </x:c>
      <x:c r="L472" s="16"/>
      <x:c r="M472" s="16"/>
      <x:c r="N472" s="16" t="n">
        <x:v>0</x:v>
      </x:c>
      <x:c r="O472" s="16" t="n">
        <x:v>114</x:v>
      </x:c>
      <x:c r="P472" s="16" t="n">
        <x:v>114</x:v>
      </x:c>
      <x:c r="Q472" s="16"/>
      <x:c r="R472" s="16"/>
      <x:c r="S472" s="16" t="str"/>
      <x:c r="T472" s="16"/>
      <x:c r="U472" s="16" t="str">
        <x:v>NO — review only</x:v>
      </x:c>
    </x:row>
    <x:row r="473" ht="54" customHeight="1">
      <x:c r="A473" s="16" t="str">
        <x:v>zh-CN-e26d5aa6bcba</x:v>
      </x:c>
      <x:c r="B473" s="16" t="str">
        <x:v>zh-CN</x:v>
      </x:c>
      <x:c r="C473" s="16" t="str">
        <x:v>Miracle Journey</x:v>
      </x:c>
      <x:c r="D473" s="16" t="str">
        <x:v>奇迹启程</x:v>
      </x:c>
      <x:c r="E473" s="16" t="str">
        <x:v>Scarlet &amp; Violet</x:v>
      </x:c>
      <x:c r="F473" s="16" t="str">
        <x:v>Card set / collection</x:v>
      </x:c>
      <x:c r="G473" s="16" t="str">
        <x:v>CSV2</x:v>
      </x:c>
      <x:c r="H473" s="16" t="str">
        <x:v>Catalogue set code; external code index</x:v>
      </x:c>
      <x:c r="I473" s="16" t="str">
        <x:v>2025-03-21</x:v>
      </x:c>
      <x:c r="J473" s="16" t="str">
        <x:v>day</x:v>
      </x:c>
      <x:c r="K473" s="16" t="str">
        <x:v>Mainland China</x:v>
      </x:c>
      <x:c r="L473" s="16" t="n">
        <x:v>128</x:v>
      </x:c>
      <x:c r="M473" s="16" t="n">
        <x:v>35</x:v>
      </x:c>
      <x:c r="N473" s="16" t="n">
        <x:v>0</x:v>
      </x:c>
      <x:c r="O473" s="16" t="n">
        <x:v>163</x:v>
      </x:c>
      <x:c r="P473" s="16" t="n">
        <x:v>163</x:v>
      </x:c>
      <x:c r="Q473" s="16"/>
      <x:c r="R473" s="16"/>
      <x:c r="S473" s="16" t="str"/>
      <x:c r="T473" s="16"/>
      <x:c r="U473" s="16" t="str">
        <x:v>NO — review only</x:v>
      </x:c>
    </x:row>
    <x:row r="474" ht="54" customHeight="1">
      <x:c r="A474" s="16" t="str">
        <x:v>zh-CN-8e72634373e1</x:v>
      </x:c>
      <x:c r="B474" s="16" t="str">
        <x:v>zh-CN</x:v>
      </x:c>
      <x:c r="C474" s="16" t="str">
        <x:v>Collection 151: Hope</x:v>
      </x:c>
      <x:c r="D474" s="16" t="str">
        <x:v>收集啦151 望</x:v>
      </x:c>
      <x:c r="E474" s="16" t="str">
        <x:v>Scarlet &amp; Violet</x:v>
      </x:c>
      <x:c r="F474" s="16" t="str">
        <x:v>Pack edition</x:v>
      </x:c>
      <x:c r="G474" s="16" t="str">
        <x:v>151C2</x:v>
      </x:c>
      <x:c r="H474" s="16" t="str">
        <x:v>Established external database shorthand for Collection 151: Hope; official China product verified; not asserted as a printed set mark</x:v>
      </x:c>
      <x:c r="I474" s="16" t="str">
        <x:v>2025-04-18</x:v>
      </x:c>
      <x:c r="J474" s="16" t="str">
        <x:v>day</x:v>
      </x:c>
      <x:c r="K474" s="16" t="str">
        <x:v>Mainland China</x:v>
      </x:c>
      <x:c r="L474" s="16"/>
      <x:c r="M474" s="16"/>
      <x:c r="N474" s="16"/>
      <x:c r="O474" s="16" t="n">
        <x:v>192</x:v>
      </x:c>
      <x:c r="P474" s="16" t="n">
        <x:v>192</x:v>
      </x:c>
      <x:c r="Q474" s="16"/>
      <x:c r="R474" s="16"/>
      <x:c r="S474" s="16" t="str"/>
      <x:c r="T474" s="16" t="str">
        <x:v>https://excaliburtcg.co.uk/products ; https://www.pokemon.cn/tcg/product/15541.html ; https://bulbapedia.bulbagarden.net/wiki/Template:Simplified_Chinese_Releases</x:v>
      </x:c>
      <x:c r="U474" s="16" t="str">
        <x:v>NO — review only</x:v>
      </x:c>
    </x:row>
    <x:row r="475" ht="54" customHeight="1">
      <x:c r="A475" s="16" t="str">
        <x:v>zh-CN-5073a61bee4f</x:v>
      </x:c>
      <x:c r="B475" s="16" t="str">
        <x:v>zh-CN</x:v>
      </x:c>
      <x:c r="C475" s="16" t="str">
        <x:v>Fearless Terastal</x:v>
      </x:c>
      <x:c r="D475" s="16" t="str">
        <x:v>无畏太晶</x:v>
      </x:c>
      <x:c r="E475" s="16" t="str">
        <x:v>Scarlet &amp; Violet</x:v>
      </x:c>
      <x:c r="F475" s="16" t="str">
        <x:v>Card set / collection</x:v>
      </x:c>
      <x:c r="G475" s="16" t="str">
        <x:v>CSV3</x:v>
      </x:c>
      <x:c r="H475" s="16" t="str">
        <x:v>Catalogue set code; external code index</x:v>
      </x:c>
      <x:c r="I475" s="16" t="str">
        <x:v>2025-05-16</x:v>
      </x:c>
      <x:c r="J475" s="16" t="str">
        <x:v>day</x:v>
      </x:c>
      <x:c r="K475" s="16" t="str">
        <x:v>Mainland China</x:v>
      </x:c>
      <x:c r="L475" s="16" t="n">
        <x:v>130</x:v>
      </x:c>
      <x:c r="M475" s="16" t="n">
        <x:v>35</x:v>
      </x:c>
      <x:c r="N475" s="16" t="n">
        <x:v>0</x:v>
      </x:c>
      <x:c r="O475" s="16" t="n">
        <x:v>165</x:v>
      </x:c>
      <x:c r="P475" s="16" t="n">
        <x:v>165</x:v>
      </x:c>
      <x:c r="Q475" s="16"/>
      <x:c r="R475" s="16"/>
      <x:c r="S475" s="16" t="str"/>
      <x:c r="T475" s="16"/>
      <x:c r="U475" s="16" t="str">
        <x:v>NO — review only</x:v>
      </x:c>
    </x:row>
    <x:row r="476" ht="54" customHeight="1">
      <x:c r="A476" s="16" t="str">
        <x:v>zh-CN-1adc23205ba3</x:v>
      </x:c>
      <x:c r="B476" s="16" t="str">
        <x:v>zh-CN</x:v>
      </x:c>
      <x:c r="C476" s="16" t="str">
        <x:v>Gem Pack Vol. 2</x:v>
      </x:c>
      <x:c r="D476" s="16" t="str">
        <x:v>宝石包VOL.2</x:v>
      </x:c>
      <x:c r="E476" s="16" t="str">
        <x:v>Scarlet &amp; Violet</x:v>
      </x:c>
      <x:c r="F476" s="16" t="str">
        <x:v>Card set / collection</x:v>
      </x:c>
      <x:c r="G476" s="16" t="str">
        <x:v>CBB2</x:v>
      </x:c>
      <x:c r="H476" s="16" t="str">
        <x:v>Source catalogue / logo-file code</x:v>
      </x:c>
      <x:c r="I476" s="16" t="str">
        <x:v>2025-05-16</x:v>
      </x:c>
      <x:c r="J476" s="16" t="str">
        <x:v>day</x:v>
      </x:c>
      <x:c r="K476" s="16" t="str">
        <x:v>Mainland China</x:v>
      </x:c>
      <x:c r="L476" s="16"/>
      <x:c r="M476" s="16"/>
      <x:c r="N476" s="16" t="n">
        <x:v>0</x:v>
      </x:c>
      <x:c r="O476" s="16" t="n">
        <x:v>140</x:v>
      </x:c>
      <x:c r="P476" s="16" t="n">
        <x:v>140</x:v>
      </x:c>
      <x:c r="Q476" s="16"/>
      <x:c r="R476" s="16"/>
      <x:c r="S476" s="16" t="str"/>
      <x:c r="T476" s="16"/>
      <x:c r="U476" s="16" t="str">
        <x:v>NO — review only</x:v>
      </x:c>
    </x:row>
    <x:row r="477" ht="54" customHeight="1">
      <x:c r="A477" s="16" t="str">
        <x:v>zh-CN-5d61b9b8011b</x:v>
      </x:c>
      <x:c r="B477" s="16" t="str">
        <x:v>zh-CN</x:v>
      </x:c>
      <x:c r="C477" s="16" t="str">
        <x:v>Journey Theme Pack</x:v>
      </x:c>
      <x:c r="D477" s="16" t="str">
        <x:v>启程专题包</x:v>
      </x:c>
      <x:c r="E477" s="16" t="str">
        <x:v>Scarlet &amp; Violet</x:v>
      </x:c>
      <x:c r="F477" s="16" t="str">
        <x:v>Card set / collection</x:v>
      </x:c>
      <x:c r="G477" s="16" t="str">
        <x:v>CSVL1</x:v>
      </x:c>
      <x:c r="H477" s="16" t="str">
        <x:v>Source catalogue / logo-file code</x:v>
      </x:c>
      <x:c r="I477" s="16" t="str">
        <x:v>2025-06-13</x:v>
      </x:c>
      <x:c r="J477" s="16" t="str">
        <x:v>day</x:v>
      </x:c>
      <x:c r="K477" s="16" t="str">
        <x:v>Mainland China</x:v>
      </x:c>
      <x:c r="L477" s="16" t="n">
        <x:v>49</x:v>
      </x:c>
      <x:c r="M477" s="16" t="n">
        <x:v>92</x:v>
      </x:c>
      <x:c r="N477" s="16"/>
      <x:c r="O477" s="16" t="n">
        <x:v>141</x:v>
      </x:c>
      <x:c r="P477" s="16" t="n">
        <x:v>141</x:v>
      </x:c>
      <x:c r="Q477" s="16"/>
      <x:c r="R477" s="16"/>
      <x:c r="S477" s="16" t="str"/>
      <x:c r="T477" s="16" t="str">
        <x:v>https://wiki.52poke.com/wiki/%E5%90%AF%E7%A8%8B%E4%B8%93%E9%A2%98%E5%8C%85%EF%BC%88TCG%EF%BC%89</x:v>
      </x:c>
      <x:c r="U477" s="16" t="str">
        <x:v>NO — review only</x:v>
      </x:c>
    </x:row>
    <x:row r="478" ht="54" customHeight="1">
      <x:c r="A478" s="16" t="str">
        <x:v>zh-CN-399849ceb89b</x:v>
      </x:c>
      <x:c r="B478" s="16" t="str">
        <x:v>zh-CN</x:v>
      </x:c>
      <x:c r="C478" s="16" t="str">
        <x:v>Bonus Round</x:v>
      </x:c>
      <x:c r="D478" s="16" t="str">
        <x:v>嘉奖回合</x:v>
      </x:c>
      <x:c r="E478" s="16" t="str">
        <x:v>Scarlet &amp; Violet</x:v>
      </x:c>
      <x:c r="F478" s="16" t="str">
        <x:v>Card set / collection</x:v>
      </x:c>
      <x:c r="G478" s="16" t="str">
        <x:v>CSV4</x:v>
      </x:c>
      <x:c r="H478" s="16" t="str">
        <x:v>Catalogue set code; external code index</x:v>
      </x:c>
      <x:c r="I478" s="16" t="str">
        <x:v>2025-07-18</x:v>
      </x:c>
      <x:c r="J478" s="16" t="str">
        <x:v>day</x:v>
      </x:c>
      <x:c r="K478" s="16" t="str">
        <x:v>Mainland China</x:v>
      </x:c>
      <x:c r="L478" s="16" t="n">
        <x:v>129</x:v>
      </x:c>
      <x:c r="M478" s="16" t="n">
        <x:v>36</x:v>
      </x:c>
      <x:c r="N478" s="16" t="n">
        <x:v>0</x:v>
      </x:c>
      <x:c r="O478" s="16" t="n">
        <x:v>165</x:v>
      </x:c>
      <x:c r="P478" s="16" t="n">
        <x:v>165</x:v>
      </x:c>
      <x:c r="Q478" s="16"/>
      <x:c r="R478" s="16"/>
      <x:c r="S478" s="16" t="str"/>
      <x:c r="T478" s="16"/>
      <x:c r="U478" s="16" t="str">
        <x:v>NO — review only</x:v>
      </x:c>
    </x:row>
    <x:row r="479" ht="54" customHeight="1">
      <x:c r="A479" s="16" t="str">
        <x:v>zh-CN-06deae5bed81</x:v>
      </x:c>
      <x:c r="B479" s="16" t="str">
        <x:v>zh-CN</x:v>
      </x:c>
      <x:c r="C479" s="16" t="str">
        <x:v>Collection 151: Scare</x:v>
      </x:c>
      <x:c r="D479" s="16" t="str">
        <x:v>收集啦151 惊</x:v>
      </x:c>
      <x:c r="E479" s="16" t="str">
        <x:v>Scarlet &amp; Violet</x:v>
      </x:c>
      <x:c r="F479" s="16" t="str">
        <x:v>Pack edition</x:v>
      </x:c>
      <x:c r="G479" s="16" t="str">
        <x:v>151C3</x:v>
      </x:c>
      <x:c r="H479" s="16" t="str">
        <x:v>Established external database shorthand for Collection 151: Scare; official China product verified; not asserted as a printed set mark</x:v>
      </x:c>
      <x:c r="I479" s="16" t="str">
        <x:v>2025-07-18</x:v>
      </x:c>
      <x:c r="J479" s="16" t="str">
        <x:v>day</x:v>
      </x:c>
      <x:c r="K479" s="16" t="str">
        <x:v>Mainland China</x:v>
      </x:c>
      <x:c r="L479" s="16"/>
      <x:c r="M479" s="16"/>
      <x:c r="N479" s="16"/>
      <x:c r="O479" s="16" t="n">
        <x:v>192</x:v>
      </x:c>
      <x:c r="P479" s="16" t="n">
        <x:v>192</x:v>
      </x:c>
      <x:c r="Q479" s="16"/>
      <x:c r="R479" s="16"/>
      <x:c r="S479" s="16" t="str"/>
      <x:c r="T479" s="16" t="str">
        <x:v>https://excaliburtcg.co.uk/products ; https://www.pokemon.cn/tcg/product/15486.html ; https://bulbapedia.bulbagarden.net/wiki/Template:Simplified_Chinese_Releases</x:v>
      </x:c>
      <x:c r="U479" s="16" t="str">
        <x:v>NO — review only</x:v>
      </x:c>
    </x:row>
    <x:row r="480" ht="54" customHeight="1">
      <x:c r="A480" s="16" t="str">
        <x:v>zh-CN-7788e508be5a</x:v>
      </x:c>
      <x:c r="B480" s="16" t="str">
        <x:v>zh-CN</x:v>
      </x:c>
      <x:c r="C480" s="16" t="str">
        <x:v>Ardent Obsidian</x:v>
      </x:c>
      <x:c r="D480" s="16" t="str">
        <x:v>黑晶炽诚</x:v>
      </x:c>
      <x:c r="E480" s="16" t="str">
        <x:v>Scarlet &amp; Violet</x:v>
      </x:c>
      <x:c r="F480" s="16" t="str">
        <x:v>Card set / collection</x:v>
      </x:c>
      <x:c r="G480" s="16" t="str">
        <x:v>CSV5</x:v>
      </x:c>
      <x:c r="H480" s="16" t="str">
        <x:v>Catalogue set code; external code index</x:v>
      </x:c>
      <x:c r="I480" s="16" t="str">
        <x:v>2025-09-12</x:v>
      </x:c>
      <x:c r="J480" s="16" t="str">
        <x:v>day</x:v>
      </x:c>
      <x:c r="K480" s="16" t="str">
        <x:v>Mainland China</x:v>
      </x:c>
      <x:c r="L480" s="16" t="n">
        <x:v>129</x:v>
      </x:c>
      <x:c r="M480" s="16" t="n">
        <x:v>35</x:v>
      </x:c>
      <x:c r="N480" s="16" t="n">
        <x:v>0</x:v>
      </x:c>
      <x:c r="O480" s="16" t="n">
        <x:v>164</x:v>
      </x:c>
      <x:c r="P480" s="16" t="n">
        <x:v>164</x:v>
      </x:c>
      <x:c r="Q480" s="16"/>
      <x:c r="R480" s="16"/>
      <x:c r="S480" s="16" t="str"/>
      <x:c r="T480" s="16"/>
      <x:c r="U480" s="16" t="str">
        <x:v>NO — review only</x:v>
      </x:c>
    </x:row>
    <x:row r="481" ht="54" customHeight="1">
      <x:c r="A481" s="16" t="str">
        <x:v>zh-CN-28f3f6b85300</x:v>
      </x:c>
      <x:c r="B481" s="16" t="str">
        <x:v>zh-CN</x:v>
      </x:c>
      <x:c r="C481" s="16" t="str">
        <x:v>Gem Pack Vol. 3</x:v>
      </x:c>
      <x:c r="D481" s="16" t="str">
        <x:v>宝石包VOL.3</x:v>
      </x:c>
      <x:c r="E481" s="16" t="str">
        <x:v>Scarlet &amp; Violet</x:v>
      </x:c>
      <x:c r="F481" s="16" t="str">
        <x:v>Card set / collection</x:v>
      </x:c>
      <x:c r="G481" s="16" t="str">
        <x:v>CBB3</x:v>
      </x:c>
      <x:c r="H481" s="16" t="str">
        <x:v>Source catalogue / logo-file code</x:v>
      </x:c>
      <x:c r="I481" s="16" t="str">
        <x:v>2025-09-26</x:v>
      </x:c>
      <x:c r="J481" s="16" t="str">
        <x:v>day</x:v>
      </x:c>
      <x:c r="K481" s="16" t="str">
        <x:v>Mainland China</x:v>
      </x:c>
      <x:c r="L481" s="16"/>
      <x:c r="M481" s="16"/>
      <x:c r="N481" s="16" t="n">
        <x:v>0</x:v>
      </x:c>
      <x:c r="O481" s="16" t="n">
        <x:v>136</x:v>
      </x:c>
      <x:c r="P481" s="16" t="n">
        <x:v>136</x:v>
      </x:c>
      <x:c r="Q481" s="16"/>
      <x:c r="R481" s="16"/>
      <x:c r="S481" s="16" t="str"/>
      <x:c r="T481" s="16"/>
      <x:c r="U481" s="16" t="str">
        <x:v>NO — review only</x:v>
      </x:c>
    </x:row>
    <x:row r="482" ht="54" customHeight="1">
      <x:c r="A482" s="16" t="str">
        <x:v>zh-CN-18809c23b06f</x:v>
      </x:c>
      <x:c r="B482" s="16" t="str">
        <x:v>zh-CN</x:v>
      </x:c>
      <x:c r="C482" s="16" t="str">
        <x:v>Collection 151: Gather</x:v>
      </x:c>
      <x:c r="D482" s="16" t="str">
        <x:v>收集啦151 聚</x:v>
      </x:c>
      <x:c r="E482" s="16" t="str">
        <x:v>Scarlet &amp; Violet</x:v>
      </x:c>
      <x:c r="F482" s="16" t="str">
        <x:v>Pack edition</x:v>
      </x:c>
      <x:c r="G482" s="16" t="str">
        <x:v>151C4</x:v>
      </x:c>
      <x:c r="H482" s="16" t="str">
        <x:v>Established external database shorthand for Collection 151: Gather; official China product verified; not asserted as a printed set mark</x:v>
      </x:c>
      <x:c r="I482" s="16" t="str">
        <x:v>2025-10-17</x:v>
      </x:c>
      <x:c r="J482" s="16" t="str">
        <x:v>day</x:v>
      </x:c>
      <x:c r="K482" s="16" t="str">
        <x:v>Mainland China</x:v>
      </x:c>
      <x:c r="L482" s="16"/>
      <x:c r="M482" s="16"/>
      <x:c r="N482" s="16"/>
      <x:c r="O482" s="16" t="n">
        <x:v>192</x:v>
      </x:c>
      <x:c r="P482" s="16" t="n">
        <x:v>192</x:v>
      </x:c>
      <x:c r="Q482" s="16"/>
      <x:c r="R482" s="16"/>
      <x:c r="S482" s="16" t="str"/>
      <x:c r="T482" s="16" t="str">
        <x:v>https://excaliburtcg.co.uk/products ; https://www.pokemon.cn/tcg/product/15486.html ; https://bulbapedia.bulbagarden.net/wiki/Template:Simplified_Chinese_Releases</x:v>
      </x:c>
      <x:c r="U482" s="16" t="str">
        <x:v>NO — review only</x:v>
      </x:c>
    </x:row>
    <x:row r="483" ht="54" customHeight="1">
      <x:c r="A483" s="16" t="str">
        <x:v>zh-CN-109ac9dca3ab</x:v>
      </x:c>
      <x:c r="B483" s="16" t="str">
        <x:v>zh-CN</x:v>
      </x:c>
      <x:c r="C483" s="16" t="str">
        <x:v>Arcane Truth</x:v>
      </x:c>
      <x:c r="D483" s="16" t="str">
        <x:v>真实玄虚</x:v>
      </x:c>
      <x:c r="E483" s="16" t="str">
        <x:v>Scarlet &amp; Violet</x:v>
      </x:c>
      <x:c r="F483" s="16" t="str">
        <x:v>Card set / collection</x:v>
      </x:c>
      <x:c r="G483" s="16" t="str">
        <x:v>CSV6</x:v>
      </x:c>
      <x:c r="H483" s="16" t="str">
        <x:v>Catalogue set code; external code index</x:v>
      </x:c>
      <x:c r="I483" s="16" t="str">
        <x:v>2025-11-07</x:v>
      </x:c>
      <x:c r="J483" s="16" t="str">
        <x:v>day</x:v>
      </x:c>
      <x:c r="K483" s="16" t="str">
        <x:v>Mainland China</x:v>
      </x:c>
      <x:c r="L483" s="16" t="n">
        <x:v>128</x:v>
      </x:c>
      <x:c r="M483" s="16" t="n">
        <x:v>35</x:v>
      </x:c>
      <x:c r="N483" s="16" t="n">
        <x:v>0</x:v>
      </x:c>
      <x:c r="O483" s="16" t="n">
        <x:v>163</x:v>
      </x:c>
      <x:c r="P483" s="16" t="n">
        <x:v>163</x:v>
      </x:c>
      <x:c r="Q483" s="16"/>
      <x:c r="R483" s="16"/>
      <x:c r="S483" s="16" t="str"/>
      <x:c r="T483" s="16"/>
      <x:c r="U483" s="16" t="str">
        <x:v>NO — review only</x:v>
      </x:c>
    </x:row>
    <x:row r="484" ht="54" customHeight="1">
      <x:c r="A484" s="16" t="str">
        <x:v>zh-CN-48747304f749</x:v>
      </x:c>
      <x:c r="B484" s="16" t="str">
        <x:v>zh-CN</x:v>
      </x:c>
      <x:c r="C484" s="16" t="str">
        <x:v>Travel Theme Pack</x:v>
      </x:c>
      <x:c r="D484" s="16" t="str">
        <x:v>游历专题包</x:v>
      </x:c>
      <x:c r="E484" s="16" t="str">
        <x:v>Scarlet &amp; Violet</x:v>
      </x:c>
      <x:c r="F484" s="16" t="str">
        <x:v>Card set / collection</x:v>
      </x:c>
      <x:c r="G484" s="16" t="str">
        <x:v>CSVL2</x:v>
      </x:c>
      <x:c r="H484" s="16" t="str">
        <x:v>Source catalogue / logo-file code</x:v>
      </x:c>
      <x:c r="I484" s="16" t="str">
        <x:v>2025-11-17</x:v>
      </x:c>
      <x:c r="J484" s="16" t="str">
        <x:v>day</x:v>
      </x:c>
      <x:c r="K484" s="16" t="str">
        <x:v>Mainland China</x:v>
      </x:c>
      <x:c r="L484" s="16" t="n">
        <x:v>52</x:v>
      </x:c>
      <x:c r="M484" s="16" t="n">
        <x:v>95</x:v>
      </x:c>
      <x:c r="N484" s="16"/>
      <x:c r="O484" s="16" t="n">
        <x:v>147</x:v>
      </x:c>
      <x:c r="P484" s="16" t="n">
        <x:v>147</x:v>
      </x:c>
      <x:c r="Q484" s="16"/>
      <x:c r="R484" s="16"/>
      <x:c r="S484" s="16" t="str"/>
      <x:c r="T484" s="16" t="str">
        <x:v>https://bulbapedia.bulbagarden.net/wiki/Travel_Theme_Pack_%28ATCG%29</x:v>
      </x:c>
      <x:c r="U484" s="16" t="str">
        <x:v>NO — review only</x:v>
      </x:c>
    </x:row>
    <x:row r="485" ht="54" customHeight="1">
      <x:c r="A485" s="16" t="str">
        <x:v>zh-CN-10c8789df3d3</x:v>
      </x:c>
      <x:c r="B485" s="16" t="str">
        <x:v>zh-CN</x:v>
      </x:c>
      <x:c r="C485" s="16" t="str">
        <x:v>Blade Awakening</x:v>
      </x:c>
      <x:c r="D485" s="16" t="str">
        <x:v>利刃猛醒</x:v>
      </x:c>
      <x:c r="E485" s="16" t="str">
        <x:v>Scarlet &amp; Violet</x:v>
      </x:c>
      <x:c r="F485" s="16" t="str">
        <x:v>Card set / collection</x:v>
      </x:c>
      <x:c r="G485" s="16" t="str">
        <x:v>CSV7</x:v>
      </x:c>
      <x:c r="H485" s="16" t="str">
        <x:v>Catalogue set code; external code index</x:v>
      </x:c>
      <x:c r="I485" s="16" t="str">
        <x:v>2026-01-16</x:v>
      </x:c>
      <x:c r="J485" s="16" t="str">
        <x:v>day</x:v>
      </x:c>
      <x:c r="K485" s="16" t="str">
        <x:v>Mainland China</x:v>
      </x:c>
      <x:c r="L485" s="16" t="n">
        <x:v>204</x:v>
      </x:c>
      <x:c r="M485" s="16" t="n">
        <x:v>55</x:v>
      </x:c>
      <x:c r="N485" s="16" t="n">
        <x:v>0</x:v>
      </x:c>
      <x:c r="O485" s="16" t="n">
        <x:v>259</x:v>
      </x:c>
      <x:c r="P485" s="16" t="n">
        <x:v>259</x:v>
      </x:c>
      <x:c r="Q485" s="16"/>
      <x:c r="R485" s="16"/>
      <x:c r="S485" s="16" t="str"/>
      <x:c r="T485" s="16"/>
      <x:c r="U485" s="16" t="str">
        <x:v>NO — review only</x:v>
      </x:c>
    </x:row>
    <x:row r="486" ht="54" customHeight="1">
      <x:c r="A486" s="16" t="str">
        <x:v>zh-CN-af2bb9712d74</x:v>
      </x:c>
      <x:c r="B486" s="16" t="str">
        <x:v>zh-CN</x:v>
      </x:c>
      <x:c r="C486" s="16" t="str">
        <x:v>Gem Pack Vol. 4</x:v>
      </x:c>
      <x:c r="D486" s="16" t="str">
        <x:v>宝石包VOL.4</x:v>
      </x:c>
      <x:c r="E486" s="16" t="str">
        <x:v>Scarlet &amp; Violet</x:v>
      </x:c>
      <x:c r="F486" s="16" t="str">
        <x:v>Card set / collection</x:v>
      </x:c>
      <x:c r="G486" s="16" t="str">
        <x:v>CBB4</x:v>
      </x:c>
      <x:c r="H486" s="16" t="str">
        <x:v>Source catalogue / logo-file code</x:v>
      </x:c>
      <x:c r="I486" s="16" t="str">
        <x:v>2026-02-06</x:v>
      </x:c>
      <x:c r="J486" s="16" t="str">
        <x:v>day</x:v>
      </x:c>
      <x:c r="K486" s="16" t="str">
        <x:v>Mainland China</x:v>
      </x:c>
      <x:c r="L486" s="16"/>
      <x:c r="M486" s="16"/>
      <x:c r="N486" s="16" t="n">
        <x:v>0</x:v>
      </x:c>
      <x:c r="O486" s="16" t="n">
        <x:v>196</x:v>
      </x:c>
      <x:c r="P486" s="16" t="n">
        <x:v>196</x:v>
      </x:c>
      <x:c r="Q486" s="16"/>
      <x:c r="R486" s="16"/>
      <x:c r="S486" s="16" t="str"/>
      <x:c r="T486" s="16"/>
      <x:c r="U486" s="16" t="str">
        <x:v>NO — review only</x:v>
      </x:c>
    </x:row>
    <x:row r="487" ht="54" customHeight="1">
      <x:c r="A487" s="16" t="str">
        <x:v>zh-CN-b8243f986930</x:v>
      </x:c>
      <x:c r="B487" s="16" t="str">
        <x:v>zh-CN</x:v>
      </x:c>
      <x:c r="C487" s="16" t="str">
        <x:v>Sparkling Fable</x:v>
      </x:c>
      <x:c r="D487" s="16" t="str">
        <x:v>璀璨诡幻</x:v>
      </x:c>
      <x:c r="E487" s="16" t="str">
        <x:v>Scarlet &amp; Violet</x:v>
      </x:c>
      <x:c r="F487" s="16" t="str">
        <x:v>Card set / collection</x:v>
      </x:c>
      <x:c r="G487" s="16" t="str">
        <x:v>CSV8</x:v>
      </x:c>
      <x:c r="H487" s="16" t="str">
        <x:v>Catalogue set code; external code index</x:v>
      </x:c>
      <x:c r="I487" s="16" t="str">
        <x:v>2026-03-13</x:v>
      </x:c>
      <x:c r="J487" s="16" t="str">
        <x:v>day</x:v>
      </x:c>
      <x:c r="K487" s="16" t="str">
        <x:v>Mainland China</x:v>
      </x:c>
      <x:c r="L487" s="16" t="n">
        <x:v>207</x:v>
      </x:c>
      <x:c r="M487" s="16" t="n">
        <x:v>57</x:v>
      </x:c>
      <x:c r="N487" s="16" t="n">
        <x:v>0</x:v>
      </x:c>
      <x:c r="O487" s="16" t="n">
        <x:v>264</x:v>
      </x:c>
      <x:c r="P487" s="16" t="n">
        <x:v>264</x:v>
      </x:c>
      <x:c r="Q487" s="16"/>
      <x:c r="R487" s="16"/>
      <x:c r="S487" s="16" t="str"/>
      <x:c r="T487" s="16"/>
      <x:c r="U487" s="16" t="str">
        <x:v>NO — review only</x:v>
      </x:c>
    </x:row>
    <x:row r="488" ht="54" customHeight="1">
      <x:c r="A488" s="16" t="str">
        <x:v>zh-CN-f8b98fe843c8</x:v>
      </x:c>
      <x:c r="B488" s="16" t="str">
        <x:v>zh-CN</x:v>
      </x:c>
      <x:c r="C488" s="16" t="str">
        <x:v>Gem Pack Vol. 5</x:v>
      </x:c>
      <x:c r="D488" s="16" t="str">
        <x:v>宝石包VOL.5</x:v>
      </x:c>
      <x:c r="E488" s="16" t="str">
        <x:v>Scarlet &amp; Violet</x:v>
      </x:c>
      <x:c r="F488" s="16" t="str">
        <x:v>Card set / collection</x:v>
      </x:c>
      <x:c r="G488" s="16" t="str">
        <x:v>CBB5</x:v>
      </x:c>
      <x:c r="H488" s="16" t="str">
        <x:v>Source catalogue / logo-file code</x:v>
      </x:c>
      <x:c r="I488" s="16" t="str">
        <x:v>2026-04-24</x:v>
      </x:c>
      <x:c r="J488" s="16" t="str">
        <x:v>day</x:v>
      </x:c>
      <x:c r="K488" s="16" t="str">
        <x:v>Mainland China</x:v>
      </x:c>
      <x:c r="L488" s="16"/>
      <x:c r="M488" s="16"/>
      <x:c r="N488" s="16" t="n">
        <x:v>0</x:v>
      </x:c>
      <x:c r="O488" s="16" t="n">
        <x:v>196</x:v>
      </x:c>
      <x:c r="P488" s="16" t="n">
        <x:v>196</x:v>
      </x:c>
      <x:c r="Q488" s="16"/>
      <x:c r="R488" s="16"/>
      <x:c r="S488" s="16" t="str"/>
      <x:c r="T488" s="16"/>
      <x:c r="U488" s="16" t="str">
        <x:v>NO — review only</x:v>
      </x:c>
    </x:row>
    <x:row r="489" ht="54" customHeight="1">
      <x:c r="A489" s="16" t="str">
        <x:v>zh-CN-cad997c1ded1</x:v>
      </x:c>
      <x:c r="B489" s="16" t="str">
        <x:v>zh-CN</x:v>
      </x:c>
      <x:c r="C489" s="16" t="str">
        <x:v>Kitakami Theme Pack</x:v>
      </x:c>
      <x:c r="D489" s="16" t="str">
        <x:v>北上乡专题包</x:v>
      </x:c>
      <x:c r="E489" s="16" t="str">
        <x:v>Scarlet &amp; Violet</x:v>
      </x:c>
      <x:c r="F489" s="16" t="str">
        <x:v>Card set / collection</x:v>
      </x:c>
      <x:c r="G489" s="16" t="str">
        <x:v>CSVN</x:v>
      </x:c>
      <x:c r="H489" s="16" t="str">
        <x:v>Source catalogue / logo-file code</x:v>
      </x:c>
      <x:c r="I489" s="16" t="str">
        <x:v>2026-05-15</x:v>
      </x:c>
      <x:c r="J489" s="16" t="str">
        <x:v>day</x:v>
      </x:c>
      <x:c r="K489" s="16" t="str">
        <x:v>Mainland China</x:v>
      </x:c>
      <x:c r="L489" s="16" t="n">
        <x:v>52</x:v>
      </x:c>
      <x:c r="M489" s="16" t="n">
        <x:v>89</x:v>
      </x:c>
      <x:c r="N489" s="16"/>
      <x:c r="O489" s="16" t="n">
        <x:v>141</x:v>
      </x:c>
      <x:c r="P489" s="16" t="n">
        <x:v>141</x:v>
      </x:c>
      <x:c r="Q489" s="16"/>
      <x:c r="R489" s="16"/>
      <x:c r="S489" s="16" t="str"/>
      <x:c r="T489" s="16" t="str">
        <x:v>https://bulbapedia.bulbagarden.net/wiki/Kitakami_Theme_Pack_%28ATCG%29</x:v>
      </x:c>
      <x:c r="U489" s="16" t="str">
        <x:v>NO — review only</x:v>
      </x:c>
    </x:row>
    <x:row r="490" ht="54" customHeight="1">
      <x:c r="A490" s="16" t="str">
        <x:v>zh-CN-46cf9342eacb</x:v>
      </x:c>
      <x:c r="B490" s="16" t="str">
        <x:v>zh-CN</x:v>
      </x:c>
      <x:c r="C490" s="16" t="str">
        <x:v>Stellar Crystal</x:v>
      </x:c>
      <x:c r="D490" s="16" t="str">
        <x:v>星彩晶璃</x:v>
      </x:c>
      <x:c r="E490" s="16" t="str">
        <x:v>Scarlet &amp; Violet</x:v>
      </x:c>
      <x:c r="F490" s="16" t="str">
        <x:v>Card set / collection</x:v>
      </x:c>
      <x:c r="G490" s="16" t="str">
        <x:v>CSV9</x:v>
      </x:c>
      <x:c r="H490" s="16" t="str">
        <x:v>Catalogue set code; external code index</x:v>
      </x:c>
      <x:c r="I490" s="16" t="str">
        <x:v>2026-05-15</x:v>
      </x:c>
      <x:c r="J490" s="16" t="str">
        <x:v>day</x:v>
      </x:c>
      <x:c r="K490" s="16" t="str">
        <x:v>Mainland China</x:v>
      </x:c>
      <x:c r="L490" s="16" t="n">
        <x:v>208</x:v>
      </x:c>
      <x:c r="M490" s="16" t="n">
        <x:v>58</x:v>
      </x:c>
      <x:c r="N490" s="16" t="n">
        <x:v>0</x:v>
      </x:c>
      <x:c r="O490" s="16" t="n">
        <x:v>266</x:v>
      </x:c>
      <x:c r="P490" s="16" t="n">
        <x:v>266</x:v>
      </x:c>
      <x:c r="Q490" s="16"/>
      <x:c r="R490" s="16"/>
      <x:c r="S490" s="16" t="str"/>
      <x:c r="T490" s="16"/>
      <x:c r="U490" s="16" t="str">
        <x:v>NO — review only</x:v>
      </x:c>
    </x:row>
    <x:row r="491" ht="54" customHeight="1">
      <x:c r="A491" s="16" t="str">
        <x:v>zh-CN-4adaa70c78eb</x:v>
      </x:c>
      <x:c r="B491" s="16" t="str">
        <x:v>zh-CN</x:v>
      </x:c>
      <x:c r="C491" s="16" t="str">
        <x:v>Terastal Gathering</x:v>
      </x:c>
      <x:c r="D491" s="16" t="str">
        <x:v>太晶盛聚</x:v>
      </x:c>
      <x:c r="E491" s="16" t="str">
        <x:v>Scarlet &amp; Violet</x:v>
      </x:c>
      <x:c r="F491" s="16" t="str">
        <x:v>Card set / collection</x:v>
      </x:c>
      <x:c r="G491" s="16" t="str">
        <x:v>CSV9.5</x:v>
      </x:c>
      <x:c r="H491" s="16" t="str">
        <x:v>Catalogue set code; external code index</x:v>
      </x:c>
      <x:c r="I491" s="16" t="str">
        <x:v>2026-06-12</x:v>
      </x:c>
      <x:c r="J491" s="16" t="str">
        <x:v>day</x:v>
      </x:c>
      <x:c r="K491" s="16" t="str">
        <x:v>Mainland China</x:v>
      </x:c>
      <x:c r="L491" s="16" t="n">
        <x:v>208</x:v>
      </x:c>
      <x:c r="M491" s="16" t="n">
        <x:v>51</x:v>
      </x:c>
      <x:c r="N491" s="16" t="n">
        <x:v>0</x:v>
      </x:c>
      <x:c r="O491" s="16" t="n">
        <x:v>259</x:v>
      </x:c>
      <x:c r="P491" s="16" t="n">
        <x:v>259</x:v>
      </x:c>
      <x:c r="Q491" s="16"/>
      <x:c r="R491" s="16"/>
      <x:c r="S491" s="16" t="str"/>
      <x:c r="T491" s="16"/>
      <x:c r="U491" s="16" t="str">
        <x:v>NO — review only</x:v>
      </x:c>
    </x:row>
    <x:row r="492" ht="54" customHeight="1">
      <x:c r="A492" s="16" t="str">
        <x:v>zh-CN-952e1d8d027f</x:v>
      </x:c>
      <x:c r="B492" s="16" t="str">
        <x:v>zh-CN</x:v>
      </x:c>
      <x:c r="C492" s="16" t="str">
        <x:v>Together in Pursuit of Glory</x:v>
      </x:c>
      <x:c r="D492" s="16" t="str">
        <x:v>共逐荣光</x:v>
      </x:c>
      <x:c r="E492" s="16" t="str">
        <x:v>Scarlet &amp; Violet</x:v>
      </x:c>
      <x:c r="F492" s="16" t="str">
        <x:v>Card set / collection</x:v>
      </x:c>
      <x:c r="G492" s="16" t="str">
        <x:v>CSV10</x:v>
      </x:c>
      <x:c r="H492" s="16" t="str">
        <x:v>Catalogue set code; external code index</x:v>
      </x:c>
      <x:c r="I492" s="16" t="str">
        <x:v>2026-07-16</x:v>
      </x:c>
      <x:c r="J492" s="16" t="str">
        <x:v>day</x:v>
      </x:c>
      <x:c r="K492" s="16" t="str">
        <x:v>Mainland China</x:v>
      </x:c>
      <x:c r="L492" s="16" t="n">
        <x:v>222</x:v>
      </x:c>
      <x:c r="M492" s="16" t="n">
        <x:v>65</x:v>
      </x:c>
      <x:c r="N492" s="16" t="n">
        <x:v>0</x:v>
      </x:c>
      <x:c r="O492" s="16" t="n">
        <x:v>287</x:v>
      </x:c>
      <x:c r="P492" s="16" t="n">
        <x:v>287</x:v>
      </x:c>
      <x:c r="Q492" s="16"/>
      <x:c r="R492" s="16"/>
      <x:c r="S492" s="16" t="str"/>
      <x:c r="T492" s="16"/>
      <x:c r="U492" s="16" t="str">
        <x:v>NO — review only</x:v>
      </x:c>
    </x:row>
    <x:row r="493" ht="54" customHeight="1">
      <x:c r="A493" s="16" t="str">
        <x:v>zh-CN-7f5295a2c6c4</x:v>
      </x:c>
      <x:c r="B493" s="16" t="str">
        <x:v>zh-CN</x:v>
      </x:c>
      <x:c r="C493" s="16" t="str">
        <x:v>Gem Pack Vol. 6</x:v>
      </x:c>
      <x:c r="D493" s="16" t="str">
        <x:v>宝石包VOL.6</x:v>
      </x:c>
      <x:c r="E493" s="16" t="str">
        <x:v>Scarlet &amp; Violet</x:v>
      </x:c>
      <x:c r="F493" s="16" t="str">
        <x:v>Card set / collection</x:v>
      </x:c>
      <x:c r="G493" s="16" t="str">
        <x:v>CBB6</x:v>
      </x:c>
      <x:c r="H493" s="16" t="str">
        <x:v>Source catalogue / logo-file code</x:v>
      </x:c>
      <x:c r="I493" s="16" t="str">
        <x:v>2026-08-07</x:v>
      </x:c>
      <x:c r="J493" s="16" t="str">
        <x:v>day</x:v>
      </x:c>
      <x:c r="K493" s="16" t="str">
        <x:v>Mainland China</x:v>
      </x:c>
      <x:c r="L493" s="16"/>
      <x:c r="M493" s="16"/>
      <x:c r="N493" s="16" t="n">
        <x:v>0</x:v>
      </x:c>
      <x:c r="O493" s="16" t="n">
        <x:v>196</x:v>
      </x:c>
      <x:c r="P493" s="16" t="n">
        <x:v>196</x:v>
      </x:c>
      <x:c r="Q493" s="16"/>
      <x:c r="R493" s="16"/>
      <x:c r="S493" s="16" t="str"/>
      <x:c r="T493" s="16" t="str">
        <x:v>https://bulbapedia.bulbagarden.net/wiki/Template:Simplified_Chinese_Releases</x:v>
      </x:c>
      <x:c r="U493" s="16" t="str">
        <x:v>NO — review only</x:v>
      </x:c>
    </x:row>
    <x:row r="494" ht="54" customHeight="1">
      <x:c r="A494" s="16" t="str">
        <x:v>zh-CN-02c213890e59</x:v>
      </x:c>
      <x:c r="B494" s="16" t="str">
        <x:v>zh-CN</x:v>
      </x:c>
      <x:c r="C494" s="16" t="str">
        <x:v>30th Celebration</x:v>
      </x:c>
      <x:c r="D494" s="16" t="str">
        <x:v>30周年庆典</x:v>
      </x:c>
      <x:c r="E494" s="16" t="str">
        <x:v>MEGA</x:v>
      </x:c>
      <x:c r="F494" s="16" t="str">
        <x:v>Card set / collection</x:v>
      </x:c>
      <x:c r="G494" s="16" t="str">
        <x:v>30thC</x:v>
      </x:c>
      <x:c r="H494" s="16" t="str">
        <x:v>Retailer catalogue code; verify printed code</x:v>
      </x:c>
      <x:c r="I494" s="16" t="str">
        <x:v>2026-09-16</x:v>
      </x:c>
      <x:c r="J494" s="16" t="str">
        <x:v>day</x:v>
      </x:c>
      <x:c r="K494" s="16" t="str">
        <x:v>Mainland China</x:v>
      </x:c>
      <x:c r="L494" s="16"/>
      <x:c r="M494" s="16"/>
      <x:c r="N494" s="16"/>
      <x:c r="O494" s="16" t="n">
        <x:v>169</x:v>
      </x:c>
      <x:c r="P494" s="16" t="n">
        <x:v>169</x:v>
      </x:c>
      <x:c r="Q494" s="16"/>
      <x:c r="R494" s="16"/>
      <x:c r="S494" s="16" t="str"/>
      <x:c r="T494" s="16" t="str">
        <x:v>https://campaign-30th.pokemon.cn/ ; https://bulbapedia.bulbagarden.net/wiki/Template:Simplified_Chinese_Releases ; https://grokachu.fr/en/collections/30thc</x:v>
      </x:c>
      <x:c r="U494" s="16" t="str">
        <x:v>NO — review only</x:v>
      </x:c>
    </x:row>
    <x:row r="495" ht="54" customHeight="1">
      <x:c r="A495" s="16" t="str">
        <x:v>zh-CN-6262f13e0152</x:v>
      </x:c>
      <x:c r="B495" s="16" t="str">
        <x:v>zh-CN</x:v>
      </x:c>
      <x:c r="C495" s="16" t="str">
        <x:v>30th-P Promotional cards</x:v>
      </x:c>
      <x:c r="D495" s="16" t="str">
        <x:v>30th-P特典卡</x:v>
      </x:c>
      <x:c r="E495" s="16" t="str">
        <x:v>MEGA</x:v>
      </x:c>
      <x:c r="F495" s="16" t="str">
        <x:v>Promo catalogue</x:v>
      </x:c>
      <x:c r="G495" s="16" t="str">
        <x:v>30th-P</x:v>
      </x:c>
      <x:c r="H495" s="16" t="str">
        <x:v>Promotional numbering prefix</x:v>
      </x:c>
      <x:c r="I495" s="16" t="str">
        <x:v>2026-03-20</x:v>
      </x:c>
      <x:c r="J495" s="16" t="str">
        <x:v>day</x:v>
      </x:c>
      <x:c r="K495" s="16" t="str">
        <x:v>Mainland China</x:v>
      </x:c>
      <x:c r="L495" s="16"/>
      <x:c r="M495" s="16"/>
      <x:c r="N495" s="16"/>
      <x:c r="O495" s="16" t="n">
        <x:v>31</x:v>
      </x:c>
      <x:c r="P495" s="16" t="n">
        <x:v>31</x:v>
      </x:c>
      <x:c r="Q495" s="16"/>
      <x:c r="R495" s="16"/>
      <x:c r="S495" s="16" t="str"/>
      <x:c r="T495" s="16" t="str">
        <x:v>https://bulbapedia.bulbagarden.net/wiki/30th-P_Promotional_cards_%28SCTCG%29 ; https://bulbapedia.bulbagarden.net/wiki/Template:Simplified_Chinese_Releases</x:v>
      </x:c>
      <x:c r="U495" s="16" t="str">
        <x:v>NO — review only</x:v>
      </x:c>
    </x:row>
    <x:row r="496" ht="54" customHeight="1">
      <x:c r="A496" s="16" t="str">
        <x:v>zh-CN-b9059c7402f0</x:v>
      </x:c>
      <x:c r="B496" s="16" t="str">
        <x:v>zh-CN</x:v>
      </x:c>
      <x:c r="C496" s="16" t="str">
        <x:v>Dynamax Clash V Starter Decks</x:v>
      </x:c>
      <x:c r="D496" s="16" t="str">
        <x:v>极巨争锋 V起始卡组</x:v>
      </x:c>
      <x:c r="E496" s="16" t="str">
        <x:v>Sword &amp; Shield</x:v>
      </x:c>
      <x:c r="F496" s="16" t="str">
        <x:v>Product / deck</x:v>
      </x:c>
      <x:c r="G496" s="16" t="str">
        <x:v>CS1D</x:v>
      </x:c>
      <x:c r="H496" s="16" t="str">
        <x:v>Established Simplified Chinese Sword &amp; Shield starter-deck set mark</x:v>
      </x:c>
      <x:c r="I496" s="16" t="str">
        <x:v>2023-05-19</x:v>
      </x:c>
      <x:c r="J496" s="16" t="str">
        <x:v>day</x:v>
      </x:c>
      <x:c r="K496" s="16" t="str">
        <x:v>Mainland China</x:v>
      </x:c>
      <x:c r="L496" s="16"/>
      <x:c r="M496" s="16"/>
      <x:c r="N496" s="16"/>
      <x:c r="O496" s="16" t="n">
        <x:v>222</x:v>
      </x:c>
      <x:c r="P496" s="16" t="n">
        <x:v>222</x:v>
      </x:c>
      <x:c r="Q496" s="16"/>
      <x:c r="R496" s="16"/>
      <x:c r="S496" s="16" t="str"/>
      <x:c r="T496" s="16" t="str">
        <x:v>https://bulbapedia.bulbagarden.net/wiki/Pok%C3%A9mon_in_mainland_China ; https://www.pokemon.cn/tcg/product/16268.html ; https://bulbapedia.bulbagarden.net/wiki/Template:Simplified_Chinese_Releases</x:v>
      </x:c>
      <x:c r="U496" s="16" t="str">
        <x:v>NO — review only</x:v>
      </x:c>
    </x:row>
    <x:row r="497" ht="54" customHeight="1">
      <x:c r="A497" s="16" t="str">
        <x:v>zh-CN-754715d30142</x:v>
      </x:c>
      <x:c r="B497" s="16" t="str">
        <x:v>zh-CN</x:v>
      </x:c>
      <x:c r="C497" s="16" t="str">
        <x:v>Gallant Galaxy V Starter Decks</x:v>
      </x:c>
      <x:c r="D497" s="16" t="str">
        <x:v>勇魅群星 V起始卡组</x:v>
      </x:c>
      <x:c r="E497" s="16" t="str">
        <x:v>Sword &amp; Shield</x:v>
      </x:c>
      <x:c r="F497" s="16" t="str">
        <x:v>Product / deck</x:v>
      </x:c>
      <x:c r="G497" s="16" t="str">
        <x:v>CS5D</x:v>
      </x:c>
      <x:c r="H497" s="16" t="str">
        <x:v>Established Simplified Chinese Sword &amp; Shield starter-deck set mark</x:v>
      </x:c>
      <x:c r="I497" s="16" t="str">
        <x:v>2024-06-18</x:v>
      </x:c>
      <x:c r="J497" s="16" t="str">
        <x:v>day</x:v>
      </x:c>
      <x:c r="K497" s="16" t="str">
        <x:v>Mainland China</x:v>
      </x:c>
      <x:c r="L497" s="16"/>
      <x:c r="M497" s="16"/>
      <x:c r="N497" s="16"/>
      <x:c r="O497" s="16" t="n">
        <x:v>163</x:v>
      </x:c>
      <x:c r="P497" s="16" t="n">
        <x:v>163</x:v>
      </x:c>
      <x:c r="Q497" s="16"/>
      <x:c r="R497" s="16"/>
      <x:c r="S497" s="16" t="str"/>
      <x:c r="T497" s="16" t="str">
        <x:v>https://bulbapedia.bulbagarden.net/wiki/Pok%C3%A9mon_in_mainland_China ; https://bulbapedia.bulbagarden.net/wiki/Bilibili ; https://bulbapedia.bulbagarden.net/wiki/Template:Simplified_Chinese_Releases</x:v>
      </x:c>
      <x:c r="U497" s="16" t="str">
        <x:v>NO — review only</x:v>
      </x:c>
    </x:row>
    <x:row r="498" ht="54" customHeight="1">
      <x:c r="A498" s="16" t="str">
        <x:v>zh-CN-0b8024065063</x:v>
      </x:c>
      <x:c r="B498" s="16" t="str">
        <x:v>zh-CN</x:v>
      </x:c>
      <x:c r="C498" s="16" t="str">
        <x:v>M-P Promotional cards</x:v>
      </x:c>
      <x:c r="D498" s="16" t="str">
        <x:v>M-P特典卡</x:v>
      </x:c>
      <x:c r="E498" s="16" t="str">
        <x:v>MEGA</x:v>
      </x:c>
      <x:c r="F498" s="16" t="str">
        <x:v>Promo catalogue</x:v>
      </x:c>
      <x:c r="G498" s="16" t="str">
        <x:v>M-P</x:v>
      </x:c>
      <x:c r="H498" s="16" t="str">
        <x:v>Promotional numbering prefix</x:v>
      </x:c>
      <x:c r="I498" s="16" t="str">
        <x:v>2026-08-07</x:v>
      </x:c>
      <x:c r="J498" s="16" t="str">
        <x:v>day</x:v>
      </x:c>
      <x:c r="K498" s="16" t="str">
        <x:v>Mainland China</x:v>
      </x:c>
      <x:c r="L498" s="16"/>
      <x:c r="M498" s="16"/>
      <x:c r="N498" s="16"/>
      <x:c r="O498" s="16" t="n">
        <x:v>1</x:v>
      </x:c>
      <x:c r="P498" s="16" t="n">
        <x:v>1</x:v>
      </x:c>
      <x:c r="Q498" s="16"/>
      <x:c r="R498" s="16"/>
      <x:c r="S498" s="16" t="str"/>
      <x:c r="T498" s="16" t="str">
        <x:v>https://bulbapedia.bulbagarden.net/wiki/M-P_Promotional_cards_%28SCTCG%29 ; https://bulbapedia.bulbagarden.net/wiki/Template:Simplified_Chinese_Releases</x:v>
      </x:c>
      <x:c r="U498" s="16" t="str">
        <x:v>NO — review only</x:v>
      </x:c>
    </x:row>
    <x:row r="499" ht="54" customHeight="1">
      <x:c r="A499" s="16" t="str">
        <x:v>zh-CN-17407eca3331</x:v>
      </x:c>
      <x:c r="B499" s="16" t="str">
        <x:v>zh-CN</x:v>
      </x:c>
      <x:c r="C499" s="16" t="str">
        <x:v>Pokémon Card Game Battle Academy</x:v>
      </x:c>
      <x:c r="D499" s="16" t="str">
        <x:v>对战学院</x:v>
      </x:c>
      <x:c r="E499" s="16" t="str">
        <x:v>Scarlet &amp; Violet</x:v>
      </x:c>
      <x:c r="F499" s="16" t="str">
        <x:v>Product / deck</x:v>
      </x:c>
      <x:c r="G499" s="16" t="str">
        <x:v>CSVS</x:v>
      </x:c>
      <x:c r="H499" s="16" t="str">
        <x:v>Established Simplified Chinese Battle Academy set code; official mainland-China product verified</x:v>
      </x:c>
      <x:c r="I499" s="16" t="str">
        <x:v>2026-01-16</x:v>
      </x:c>
      <x:c r="J499" s="16" t="str">
        <x:v>day</x:v>
      </x:c>
      <x:c r="K499" s="16" t="str">
        <x:v>Mainland China</x:v>
      </x:c>
      <x:c r="L499" s="16"/>
      <x:c r="M499" s="16"/>
      <x:c r="N499" s="16"/>
      <x:c r="O499" s="16" t="n">
        <x:v>98</x:v>
      </x:c>
      <x:c r="P499" s="16" t="n">
        <x:v>98</x:v>
      </x:c>
      <x:c r="Q499" s="16"/>
      <x:c r="R499" s="16" t="n">
        <x:v>240</x:v>
      </x:c>
      <x:c r="S499" s="16" t="str"/>
      <x:c r="T499" s="16" t="str">
        <x:v>https://wiki.52poke.com/wiki/CSVS ; https://www.pokemon.cn/tcg/product/15476.html ; https://bulbapedia.bulbagarden.net/wiki/Template:Simplified_Chinese_Releases ; https://www.pokemon.cn/tcg/</x:v>
      </x:c>
      <x:c r="U499" s="16" t="str">
        <x:v>NO — review only</x:v>
      </x:c>
    </x:row>
    <x:row r="500" ht="54" customHeight="1">
      <x:c r="A500" s="16" t="str">
        <x:v>zh-CN-0f55490115e0</x:v>
      </x:c>
      <x:c r="B500" s="16" t="str">
        <x:v>zh-CN</x:v>
      </x:c>
      <x:c r="C500" s="16" t="str">
        <x:v>Primordial Arts V Starter Decks</x:v>
      </x:c>
      <x:c r="D500" s="16" t="str">
        <x:v>洪荒演武 V起始卡组</x:v>
      </x:c>
      <x:c r="E500" s="16" t="str">
        <x:v>Sword &amp; Shield</x:v>
      </x:c>
      <x:c r="F500" s="16" t="str">
        <x:v>Product / deck</x:v>
      </x:c>
      <x:c r="G500" s="16" t="str">
        <x:v>CS3D</x:v>
      </x:c>
      <x:c r="H500" s="16" t="str">
        <x:v>Established Simplified Chinese Sword &amp; Shield starter-deck set mark</x:v>
      </x:c>
      <x:c r="I500" s="16" t="str">
        <x:v>2023-11-17</x:v>
      </x:c>
      <x:c r="J500" s="16" t="str">
        <x:v>day</x:v>
      </x:c>
      <x:c r="K500" s="16" t="str">
        <x:v>Mainland China</x:v>
      </x:c>
      <x:c r="L500" s="16"/>
      <x:c r="M500" s="16"/>
      <x:c r="N500" s="16"/>
      <x:c r="O500" s="16" t="n">
        <x:v>183</x:v>
      </x:c>
      <x:c r="P500" s="16" t="n">
        <x:v>183</x:v>
      </x:c>
      <x:c r="Q500" s="16"/>
      <x:c r="R500" s="16"/>
      <x:c r="S500" s="16" t="str"/>
      <x:c r="T500" s="16" t="str">
        <x:v>https://bulbapedia.bulbagarden.net/wiki/Pok%C3%A9mon_in_mainland_China ; https://bulbapedia.bulbagarden.net/wiki/Bilibili ; https://bulbapedia.bulbagarden.net/wiki/Template:Simplified_Chinese_Releases</x:v>
      </x:c>
      <x:c r="U500" s="16" t="str">
        <x:v>NO — review only</x:v>
      </x:c>
    </x:row>
    <x:row r="501" ht="54" customHeight="1">
      <x:c r="A501" s="16" t="str">
        <x:v>zh-CN-a4ed9d742e92</x:v>
      </x:c>
      <x:c r="B501" s="16" t="str">
        <x:v>zh-CN</x:v>
      </x:c>
      <x:c r="C501" s="16" t="str">
        <x:v>S-P Promotional cards</x:v>
      </x:c>
      <x:c r="D501" s="16" t="str">
        <x:v>S-P特典卡</x:v>
      </x:c>
      <x:c r="E501" s="16" t="str">
        <x:v>Sword &amp; Shield</x:v>
      </x:c>
      <x:c r="F501" s="16" t="str">
        <x:v>Promo catalogue</x:v>
      </x:c>
      <x:c r="G501" s="16" t="str">
        <x:v>S-P</x:v>
      </x:c>
      <x:c r="H501" s="16" t="str">
        <x:v>Promotional numbering prefix</x:v>
      </x:c>
      <x:c r="I501" s="16" t="str">
        <x:v>2023-05-28</x:v>
      </x:c>
      <x:c r="J501" s="16" t="str">
        <x:v>day</x:v>
      </x:c>
      <x:c r="K501" s="16" t="str">
        <x:v>Mainland China</x:v>
      </x:c>
      <x:c r="L501" s="16"/>
      <x:c r="M501" s="16"/>
      <x:c r="N501" s="16"/>
      <x:c r="O501" s="16" t="n">
        <x:v>180</x:v>
      </x:c>
      <x:c r="P501" s="16" t="n">
        <x:v>180</x:v>
      </x:c>
      <x:c r="Q501" s="16"/>
      <x:c r="R501" s="16"/>
      <x:c r="S501" s="16" t="str"/>
      <x:c r="T501" s="16" t="str">
        <x:v>https://bulbapedia.bulbagarden.net/wiki/S-P_Promotional_cards_%28SCTCG%29 ; https://bulbapedia.bulbagarden.net/wiki/Template:Simplified_Chinese_Releases</x:v>
      </x:c>
      <x:c r="U501" s="16" t="str">
        <x:v>NO — review only</x:v>
      </x:c>
    </x:row>
    <x:row r="502" ht="54" customHeight="1">
      <x:c r="A502" s="16" t="str">
        <x:v>zh-CN-b0139dcd5a32</x:v>
      </x:c>
      <x:c r="B502" s="16" t="str">
        <x:v>zh-CN</x:v>
      </x:c>
      <x:c r="C502" s="16" t="str">
        <x:v>SM-P Promotional cards</x:v>
      </x:c>
      <x:c r="D502" s="16" t="str">
        <x:v>SM-P特典卡</x:v>
      </x:c>
      <x:c r="E502" s="16" t="str">
        <x:v>Sun &amp; Moon</x:v>
      </x:c>
      <x:c r="F502" s="16" t="str">
        <x:v>Promo catalogue</x:v>
      </x:c>
      <x:c r="G502" s="16" t="str">
        <x:v>SM-P</x:v>
      </x:c>
      <x:c r="H502" s="16" t="str">
        <x:v>Promotional numbering prefix</x:v>
      </x:c>
      <x:c r="I502" s="16" t="str">
        <x:v>2022-10-28</x:v>
      </x:c>
      <x:c r="J502" s="16" t="str">
        <x:v>day</x:v>
      </x:c>
      <x:c r="K502" s="16" t="str">
        <x:v>Mainland China</x:v>
      </x:c>
      <x:c r="L502" s="16"/>
      <x:c r="M502" s="16"/>
      <x:c r="N502" s="16"/>
      <x:c r="O502" s="16" t="n">
        <x:v>74</x:v>
      </x:c>
      <x:c r="P502" s="16" t="n">
        <x:v>74</x:v>
      </x:c>
      <x:c r="Q502" s="16"/>
      <x:c r="R502" s="16"/>
      <x:c r="S502" s="16" t="str"/>
      <x:c r="T502" s="16" t="str">
        <x:v>https://bulbapedia.bulbagarden.net/wiki/SM-P_Promotional_cards_%28SCTCG%29 ; https://bulbapedia.bulbagarden.net/wiki/Template:Simplified_Chinese_Releases</x:v>
      </x:c>
      <x:c r="U502" s="16" t="str">
        <x:v>NO — review only</x:v>
      </x:c>
    </x:row>
    <x:row r="503" ht="54" customHeight="1">
      <x:c r="A503" s="16" t="str">
        <x:v>zh-CN-b14492ebba16</x:v>
      </x:c>
      <x:c r="B503" s="16" t="str">
        <x:v>zh-CN</x:v>
      </x:c>
      <x:c r="C503" s="16" t="str">
        <x:v>SV-P Promotional cards</x:v>
      </x:c>
      <x:c r="D503" s="16" t="str">
        <x:v>SV-P特典卡</x:v>
      </x:c>
      <x:c r="E503" s="16" t="str">
        <x:v>Scarlet &amp; Violet</x:v>
      </x:c>
      <x:c r="F503" s="16" t="str">
        <x:v>Promo catalogue</x:v>
      </x:c>
      <x:c r="G503" s="16" t="str">
        <x:v>SV-P</x:v>
      </x:c>
      <x:c r="H503" s="16" t="str">
        <x:v>Promotional numbering prefix</x:v>
      </x:c>
      <x:c r="I503" s="16" t="str">
        <x:v>2024-08-03</x:v>
      </x:c>
      <x:c r="J503" s="16" t="str">
        <x:v>day</x:v>
      </x:c>
      <x:c r="K503" s="16" t="str">
        <x:v>Mainland China</x:v>
      </x:c>
      <x:c r="L503" s="16"/>
      <x:c r="M503" s="16"/>
      <x:c r="N503" s="16"/>
      <x:c r="O503" s="16" t="n">
        <x:v>434</x:v>
      </x:c>
      <x:c r="P503" s="16" t="n">
        <x:v>434</x:v>
      </x:c>
      <x:c r="Q503" s="16"/>
      <x:c r="R503" s="16"/>
      <x:c r="S503" s="16" t="str"/>
      <x:c r="T503" s="16" t="str">
        <x:v>https://bulbapedia.bulbagarden.net/wiki/SV-P_Promotional_cards_%28SCTCG%29 ; https://bulbapedia.bulbagarden.net/wiki/Template:Simplified_Chinese_Releases</x:v>
      </x:c>
      <x:c r="U503" s="16" t="str">
        <x:v>NO — review only</x:v>
      </x:c>
    </x:row>
    <x:row r="504" ht="54" customHeight="1">
      <x:c r="A504" s="16" t="str">
        <x:v>zh-CN-bbdfaf4b06d8</x:v>
      </x:c>
      <x:c r="B504" s="16" t="str">
        <x:v>zh-CN</x:v>
      </x:c>
      <x:c r="C504" s="16" t="str">
        <x:v>Shining Synergy GX Starter Decks</x:v>
      </x:c>
      <x:c r="D504" s="16" t="str">
        <x:v>起始卡组 交相辉映GX</x:v>
      </x:c>
      <x:c r="E504" s="16" t="str">
        <x:v>Sun &amp; Moon</x:v>
      </x:c>
      <x:c r="F504" s="16" t="str">
        <x:v>Product / deck</x:v>
      </x:c>
      <x:c r="G504" s="16" t="str">
        <x:v>CSM2D</x:v>
      </x:c>
      <x:c r="H504" s="16" t="str">
        <x:v>Official erratum explicitly prints CSM2D alongside collector number 339/342</x:v>
      </x:c>
      <x:c r="I504" s="16" t="str">
        <x:v>2023-01-18</x:v>
      </x:c>
      <x:c r="J504" s="16" t="str">
        <x:v>day</x:v>
      </x:c>
      <x:c r="K504" s="16" t="str">
        <x:v>Mainland China</x:v>
      </x:c>
      <x:c r="L504" s="16"/>
      <x:c r="M504" s="16"/>
      <x:c r="N504" s="16"/>
      <x:c r="O504" s="16" t="n">
        <x:v>357</x:v>
      </x:c>
      <x:c r="P504" s="16" t="n">
        <x:v>357</x:v>
      </x:c>
      <x:c r="Q504" s="16"/>
      <x:c r="R504" s="16"/>
      <x:c r="S504" s="16" t="str"/>
      <x:c r="T504" s="16" t="str">
        <x:v>https://www.pokemon.cn/tcg/other/17172.html ; https://bulbapedia.bulbagarden.net/wiki/Template:Simplified_Chinese_Releases</x:v>
      </x:c>
      <x:c r="U504" s="16" t="str">
        <x:v>NO — review only</x:v>
      </x:c>
    </x:row>
    <x:row r="505" ht="54" customHeight="1">
      <x:c r="A505" s="16" t="str">
        <x:v>zh-CN-f17188026f82</x:v>
      </x:c>
      <x:c r="B505" s="16" t="str">
        <x:v>zh-CN</x:v>
      </x:c>
      <x:c r="C505" s="16" t="str">
        <x:v>Start Deck 100</x:v>
      </x:c>
      <x:c r="D505" s="16" t="str">
        <x:v>起始卡组100</x:v>
      </x:c>
      <x:c r="E505" s="16" t="str">
        <x:v>Sword &amp; Shield</x:v>
      </x:c>
      <x:c r="F505" s="16" t="str">
        <x:v>Product / deck</x:v>
      </x:c>
      <x:c r="G505" s="16" t="str">
        <x:v>CS4Da</x:v>
      </x:c>
      <x:c r="H505" s="16" t="str">
        <x:v>Established Simplified Chinese Start Deck 100 database shorthand; official mainland-China product verified</x:v>
      </x:c>
      <x:c r="I505" s="16" t="str">
        <x:v>2024-05-17</x:v>
      </x:c>
      <x:c r="J505" s="16" t="str">
        <x:v>day</x:v>
      </x:c>
      <x:c r="K505" s="16" t="str">
        <x:v>Mainland China</x:v>
      </x:c>
      <x:c r="L505" s="16"/>
      <x:c r="M505" s="16"/>
      <x:c r="N505" s="16"/>
      <x:c r="O505" s="16" t="n">
        <x:v>433</x:v>
      </x:c>
      <x:c r="P505" s="16" t="n">
        <x:v>433</x:v>
      </x:c>
      <x:c r="Q505" s="16"/>
      <x:c r="R505" s="16" t="n">
        <x:v>60</x:v>
      </x:c>
      <x:c r="S505" s="16" t="str"/>
      <x:c r="T505" s="16" t="str">
        <x:v>https://wiki.52poke.com/wiki/CS4Da ; https://www.pokemon.cn/tcg/product/15882.html ; https://bulbapedia.bulbagarden.net/wiki/Template:Simplified_Chinese_Releases ; https://www.pokemon.cn/tcg/</x:v>
      </x:c>
      <x:c r="U505" s="16" t="str">
        <x:v>NO — review only</x:v>
      </x:c>
    </x:row>
    <x:row r="506" ht="54" customHeight="1">
      <x:c r="A506" s="16" t="str">
        <x:v>zh-CN-0fba1dd957df</x:v>
      </x:c>
      <x:c r="B506" s="16" t="str">
        <x:v>zh-CN</x:v>
      </x:c>
      <x:c r="C506" s="16" t="str">
        <x:v>Storming Emergence GX Starter Decks</x:v>
      </x:c>
      <x:c r="D506" s="16" t="str">
        <x:v>横空出世GX起始卡组</x:v>
      </x:c>
      <x:c r="E506" s="16" t="str">
        <x:v>Sun &amp; Moon</x:v>
      </x:c>
      <x:c r="F506" s="16" t="str">
        <x:v>Product / deck</x:v>
      </x:c>
      <x:c r="G506" s="16" t="str">
        <x:v>CSM1D</x:v>
      </x:c>
      <x:c r="H506" s="16" t="str">
        <x:v>Established Simplified Chinese Sun &amp; Moon GX starter-deck set mark</x:v>
      </x:c>
      <x:c r="I506" s="16" t="str">
        <x:v>2022-10-28</x:v>
      </x:c>
      <x:c r="J506" s="16" t="str">
        <x:v>day</x:v>
      </x:c>
      <x:c r="K506" s="16" t="str">
        <x:v>Mainland China</x:v>
      </x:c>
      <x:c r="L506" s="16"/>
      <x:c r="M506" s="16"/>
      <x:c r="N506" s="16"/>
      <x:c r="O506" s="16" t="n">
        <x:v>336</x:v>
      </x:c>
      <x:c r="P506" s="16" t="n">
        <x:v>336</x:v>
      </x:c>
      <x:c r="Q506" s="16"/>
      <x:c r="R506" s="16"/>
      <x:c r="S506" s="16" t="str"/>
      <x:c r="T506" s="16" t="str">
        <x:v>https://bulbapedia.bulbagarden.net/wiki/CSM1D ; https://www.pokemon.cn/tcg/product/16368.html ; https://bulbapedia.bulbagarden.net/wiki/Template:Simplified_Chinese_Releases ; https://www.pokemon.cn/tcg/</x:v>
      </x:c>
      <x:c r="U506" s="16" t="str">
        <x:v>NO — review only</x:v>
      </x:c>
    </x:row>
    <x:row r="507" ht="54" customHeight="1">
      <x:c r="A507" s="16" t="str">
        <x:v>zh-TW-de875ceeabe3</x:v>
      </x:c>
      <x:c r="B507" s="16" t="str">
        <x:v>zh-TW</x:v>
      </x:c>
      <x:c r="C507" s="16" t="str">
        <x:v>Base Set</x:v>
      </x:c>
      <x:c r="D507" s="16" t="str">
        <x:v>基本系列</x:v>
      </x:c>
      <x:c r="E507" s="16" t="str">
        <x:v>Original</x:v>
      </x:c>
      <x:c r="F507" s="16" t="str">
        <x:v>Card set / collection</x:v>
      </x:c>
      <x:c r="G507" s="16" t="str">
        <x:v>TW-BASE</x:v>
      </x:c>
      <x:c r="H507" s="16" t="str">
        <x:v>Stackr internal language-qualified identifier for the historical Traditional Chinese Base Set; not asserted as an official printed code</x:v>
      </x:c>
      <x:c r="I507" s="16" t="str">
        <x:v>2000</x:v>
      </x:c>
      <x:c r="J507" s="16" t="str">
        <x:v>year</x:v>
      </x:c>
      <x:c r="K507" s="16" t="str">
        <x:v>Taiwan date; other regional dates may differ</x:v>
      </x:c>
      <x:c r="L507" s="16"/>
      <x:c r="M507" s="16"/>
      <x:c r="N507" s="16"/>
      <x:c r="O507" s="16" t="n">
        <x:v>102</x:v>
      </x:c>
      <x:c r="P507" s="16" t="n">
        <x:v>102</x:v>
      </x:c>
      <x:c r="Q507" s="16"/>
      <x:c r="R507" s="16"/>
      <x:c r="S507" s="16" t="str"/>
      <x:c r="T507" s="16" t="str">
        <x:v>https://asia.pokemon-card.com/tw/card-search/ ; https://bulbapedia.bulbagarden.net/wiki/Pok%C3%A9mon_in_Taiwan</x:v>
      </x:c>
      <x:c r="U507" s="16" t="str">
        <x:v>NO — review only</x:v>
      </x:c>
    </x:row>
    <x:row r="508" ht="54" customHeight="1">
      <x:c r="A508" s="16" t="str">
        <x:v>zh-TW-e8c0625ae4df</x:v>
      </x:c>
      <x:c r="B508" s="16" t="str">
        <x:v>zh-TW</x:v>
      </x:c>
      <x:c r="C508" s="16" t="str">
        <x:v>Pikachu World Collection — Traditional Chinese card</x:v>
      </x:c>
      <x:c r="D508" s="16" t="str">
        <x:v>皮卡丘世界收藏（繁體中文卡）</x:v>
      </x:c>
      <x:c r="E508" s="16" t="str">
        <x:v>Original</x:v>
      </x:c>
      <x:c r="F508" s="16" t="str">
        <x:v>Promo catalogue</x:v>
      </x:c>
      <x:c r="G508" s="16" t="str">
        <x:v>TW-PWC</x:v>
      </x:c>
      <x:c r="H508" s="16" t="str">
        <x:v>Stackr internal identifier for the Traditional Chinese Pikachu World Collection card</x:v>
      </x:c>
      <x:c r="I508" s="16" t="str">
        <x:v>2000</x:v>
      </x:c>
      <x:c r="J508" s="16" t="str">
        <x:v>year</x:v>
      </x:c>
      <x:c r="K508" s="16" t="str">
        <x:v>Taiwan date; other regional dates may differ</x:v>
      </x:c>
      <x:c r="L508" s="16"/>
      <x:c r="M508" s="16"/>
      <x:c r="N508" s="16"/>
      <x:c r="O508" s="16" t="n">
        <x:v>1</x:v>
      </x:c>
      <x:c r="P508" s="16" t="n">
        <x:v>1</x:v>
      </x:c>
      <x:c r="Q508" s="16"/>
      <x:c r="R508" s="16"/>
      <x:c r="S508" s="16" t="str"/>
      <x:c r="T508" s="16" t="str">
        <x:v>https://bulbapedia.bulbagarden.net/wiki/Pikachu_World_Collection_%28TCG%29 ; https://asia.pokemon-card.com/tw/card-search/ ; https://bulbapedia.bulbagarden.net/wiki/Pok%C3%A9mon_in_Taiwan</x:v>
      </x:c>
      <x:c r="U508" s="16" t="str">
        <x:v>NO — review only</x:v>
      </x:c>
    </x:row>
    <x:row r="509" ht="54" customHeight="1">
      <x:c r="A509" s="16" t="str">
        <x:v>zh-TW-174859e51cd4</x:v>
      </x:c>
      <x:c r="B509" s="16" t="str">
        <x:v>zh-TW</x:v>
      </x:c>
      <x:c r="C509" s="16" t="str">
        <x:v>EX Legend Maker</x:v>
      </x:c>
      <x:c r="D509" s="16" t="str">
        <x:v>傳說的締造者</x:v>
      </x:c>
      <x:c r="E509" s="16" t="str">
        <x:v>EX</x:v>
      </x:c>
      <x:c r="F509" s="16" t="str">
        <x:v>Card set / collection</x:v>
      </x:c>
      <x:c r="G509" s="16" t="str">
        <x:v>TW-EXLM</x:v>
      </x:c>
      <x:c r="H509" s="16" t="str">
        <x:v>Stackr internal identifier for Traditional Chinese EX Legend Maker; not asserted as an official printed code</x:v>
      </x:c>
      <x:c r="I509" s="16" t="str">
        <x:v>2006</x:v>
      </x:c>
      <x:c r="J509" s="16" t="str">
        <x:v>year</x:v>
      </x:c>
      <x:c r="K509" s="16" t="str">
        <x:v>Taiwan date; other regional dates may differ</x:v>
      </x:c>
      <x:c r="L509" s="16"/>
      <x:c r="M509" s="16"/>
      <x:c r="N509" s="16"/>
      <x:c r="O509" s="16" t="n">
        <x:v>93</x:v>
      </x:c>
      <x:c r="P509" s="16" t="n">
        <x:v>93</x:v>
      </x:c>
      <x:c r="Q509" s="16"/>
      <x:c r="R509" s="16"/>
      <x:c r="S509" s="16" t="str"/>
      <x:c r="T509" s="16" t="str">
        <x:v>https://asia.pokemon-card.com/tw/card-search/ ; https://bulbapedia.bulbagarden.net/wiki/Pok%C3%A9mon_in_Taiwan</x:v>
      </x:c>
      <x:c r="U509" s="16" t="str">
        <x:v>NO — review only</x:v>
      </x:c>
    </x:row>
    <x:row r="510" ht="54" customHeight="1">
      <x:c r="A510" s="16" t="str">
        <x:v>zh-TW-1d61985413dc</x:v>
      </x:c>
      <x:c r="B510" s="16" t="str">
        <x:v>zh-TW</x:v>
      </x:c>
      <x:c r="C510" s="16" t="str">
        <x:v>EX Trainer Kit 2</x:v>
      </x:c>
      <x:c r="D510" s="16" t="str">
        <x:v>訓練家裝備組</x:v>
      </x:c>
      <x:c r="E510" s="16" t="str">
        <x:v>EX</x:v>
      </x:c>
      <x:c r="F510" s="16" t="str">
        <x:v>Product / deck</x:v>
      </x:c>
      <x:c r="G510" s="16" t="str">
        <x:v>TW-EXTK2</x:v>
      </x:c>
      <x:c r="H510" s="16" t="str">
        <x:v>Stackr internal identifier for Traditional Chinese EX Trainer Kit 2; not asserted as an official printed code</x:v>
      </x:c>
      <x:c r="I510" s="16" t="str">
        <x:v>2006</x:v>
      </x:c>
      <x:c r="J510" s="16" t="str">
        <x:v>year</x:v>
      </x:c>
      <x:c r="K510" s="16" t="str">
        <x:v>Taiwan date; other regional dates may differ</x:v>
      </x:c>
      <x:c r="L510" s="16"/>
      <x:c r="M510" s="16"/>
      <x:c r="N510" s="16"/>
      <x:c r="O510" s="16" t="n">
        <x:v>24</x:v>
      </x:c>
      <x:c r="P510" s="16" t="n">
        <x:v>24</x:v>
      </x:c>
      <x:c r="Q510" s="16"/>
      <x:c r="R510" s="16"/>
      <x:c r="S510" s="16" t="str"/>
      <x:c r="T510" s="16" t="str">
        <x:v>https://asia.pokemon-card.com/tw/card-search/ ; https://bulbapedia.bulbagarden.net/wiki/Pok%C3%A9mon_in_Taiwan</x:v>
      </x:c>
      <x:c r="U510" s="16" t="str">
        <x:v>NO — review only</x:v>
      </x:c>
    </x:row>
    <x:row r="511" ht="54" customHeight="1">
      <x:c r="A511" s="16" t="str">
        <x:v>zh-TW-0a96f0a664ca</x:v>
      </x:c>
      <x:c r="B511" s="16" t="str">
        <x:v>zh-TW</x:v>
      </x:c>
      <x:c r="C511" s="16" t="str">
        <x:v>All Stars Collection: Set A</x:v>
      </x:c>
      <x:c r="D511" s="16" t="str">
        <x:v>眾星雲集組合篇 SET A</x:v>
      </x:c>
      <x:c r="E511" s="16" t="str">
        <x:v>Sun &amp; Moon</x:v>
      </x:c>
      <x:c r="F511" s="16" t="str">
        <x:v>Card set / collection</x:v>
      </x:c>
      <x:c r="G511" s="16" t="str">
        <x:v>AC1a</x:v>
      </x:c>
      <x:c r="H511" s="16" t="str">
        <x:v>Traditional Chinese set code in source index; language suffix not included</x:v>
      </x:c>
      <x:c r="I511" s="16" t="str">
        <x:v>2019-10-09</x:v>
      </x:c>
      <x:c r="J511" s="16" t="str">
        <x:v>day</x:v>
      </x:c>
      <x:c r="K511" s="16" t="str">
        <x:v>Taiwan date; other regional dates may differ</x:v>
      </x:c>
      <x:c r="L511" s="16" t="n">
        <x:v>158</x:v>
      </x:c>
      <x:c r="M511" s="16" t="n">
        <x:v>24</x:v>
      </x:c>
      <x:c r="N511" s="16"/>
      <x:c r="O511" s="16" t="n">
        <x:v>182</x:v>
      </x:c>
      <x:c r="P511" s="16" t="n">
        <x:v>182</x:v>
      </x:c>
      <x:c r="Q511" s="16" t="str">
        <x:v>182/158</x:v>
      </x:c>
      <x:c r="R511" s="16"/>
      <x:c r="S511" s="16"/>
      <x:c r="T511" s="16"/>
      <x:c r="U511" s="16" t="str">
        <x:v>NO — review only</x:v>
      </x:c>
    </x:row>
    <x:row r="512" ht="54" customHeight="1">
      <x:c r="A512" s="16" t="str">
        <x:v>zh-TW-a95d29db02ae</x:v>
      </x:c>
      <x:c r="B512" s="16" t="str">
        <x:v>zh-TW</x:v>
      </x:c>
      <x:c r="C512" s="16" t="str">
        <x:v>All Stars Collection: Set B</x:v>
      </x:c>
      <x:c r="D512" s="16" t="str">
        <x:v>眾星雲集組合篇 SET B</x:v>
      </x:c>
      <x:c r="E512" s="16" t="str">
        <x:v>Sun &amp; Moon</x:v>
      </x:c>
      <x:c r="F512" s="16" t="str">
        <x:v>Card set / collection</x:v>
      </x:c>
      <x:c r="G512" s="16" t="str">
        <x:v>AC1b</x:v>
      </x:c>
      <x:c r="H512" s="16" t="str">
        <x:v>Traditional Chinese set code in source index; language suffix not included</x:v>
      </x:c>
      <x:c r="I512" s="16" t="str">
        <x:v>2019-10-09</x:v>
      </x:c>
      <x:c r="J512" s="16" t="str">
        <x:v>day</x:v>
      </x:c>
      <x:c r="K512" s="16" t="str">
        <x:v>Taiwan date; other regional dates may differ</x:v>
      </x:c>
      <x:c r="L512" s="16" t="n">
        <x:v>158</x:v>
      </x:c>
      <x:c r="M512" s="16" t="n">
        <x:v>24</x:v>
      </x:c>
      <x:c r="N512" s="16"/>
      <x:c r="O512" s="16" t="n">
        <x:v>182</x:v>
      </x:c>
      <x:c r="P512" s="16" t="n">
        <x:v>182</x:v>
      </x:c>
      <x:c r="Q512" s="16" t="str">
        <x:v>182/158</x:v>
      </x:c>
      <x:c r="R512" s="16"/>
      <x:c r="S512" s="16"/>
      <x:c r="T512" s="16"/>
      <x:c r="U512" s="16" t="str">
        <x:v>NO — review only</x:v>
      </x:c>
    </x:row>
    <x:row r="513" ht="54" customHeight="1">
      <x:c r="A513" s="16" t="str">
        <x:v>zh-TW-bbd57f4d265f</x:v>
      </x:c>
      <x:c r="B513" s="16" t="str">
        <x:v>zh-TW</x:v>
      </x:c>
      <x:c r="C513" s="16" t="str">
        <x:v>All Stars GX Starter Deck</x:v>
      </x:c>
      <x:c r="D513" s="16" t="str">
        <x:v>G超起始牌組 眾星雲集組合篇</x:v>
      </x:c>
      <x:c r="E513" s="16" t="str">
        <x:v>Sun &amp; Moon</x:v>
      </x:c>
      <x:c r="F513" s="16" t="str">
        <x:v>Product / deck</x:v>
      </x:c>
      <x:c r="G513" s="16" t="str">
        <x:v>TW-GXSD-AS</x:v>
      </x:c>
      <x:c r="H513" s="16" t="str">
        <x:v>Stackr internal identifier for All Stars GX Starter Deck</x:v>
      </x:c>
      <x:c r="I513" s="16" t="str">
        <x:v>2019-10-09</x:v>
      </x:c>
      <x:c r="J513" s="16" t="str">
        <x:v>day</x:v>
      </x:c>
      <x:c r="K513" s="16" t="str">
        <x:v>Taiwan date; other regional dates may differ</x:v>
      </x:c>
      <x:c r="L513" s="16"/>
      <x:c r="M513" s="16"/>
      <x:c r="N513" s="16"/>
      <x:c r="O513" s="16" t="n">
        <x:v>157</x:v>
      </x:c>
      <x:c r="P513" s="16" t="n">
        <x:v>157</x:v>
      </x:c>
      <x:c r="Q513" s="16"/>
      <x:c r="R513" s="16"/>
      <x:c r="S513" s="16" t="str"/>
      <x:c r="T513" s="16" t="str">
        <x:v>https://asia.pokemon-card.com/tw/card-search/ ; https://bulbapedia.bulbagarden.net/wiki/Pok%C3%A9mon_in_Taiwan</x:v>
      </x:c>
      <x:c r="U513" s="16" t="str">
        <x:v>NO — review only</x:v>
      </x:c>
    </x:row>
    <x:row r="514" ht="54" customHeight="1">
      <x:c r="A514" s="16" t="str">
        <x:v>zh-TW-72025093612f</x:v>
      </x:c>
      <x:c r="B514" s="16" t="str">
        <x:v>zh-TW</x:v>
      </x:c>
      <x:c r="C514" s="16" t="str">
        <x:v>Dreams Come True Collection: Set A</x:v>
      </x:c>
      <x:c r="D514" s="16" t="str">
        <x:v>美夢成真組合篇 SET A</x:v>
      </x:c>
      <x:c r="E514" s="16" t="str">
        <x:v>Sun &amp; Moon</x:v>
      </x:c>
      <x:c r="F514" s="16" t="str">
        <x:v>Card set / collection</x:v>
      </x:c>
      <x:c r="G514" s="16" t="str">
        <x:v>AC2a</x:v>
      </x:c>
      <x:c r="H514" s="16" t="str">
        <x:v>Traditional Chinese set code in source index; language suffix not included</x:v>
      </x:c>
      <x:c r="I514" s="16" t="str">
        <x:v>2019-12-20</x:v>
      </x:c>
      <x:c r="J514" s="16" t="str">
        <x:v>day</x:v>
      </x:c>
      <x:c r="K514" s="16" t="str">
        <x:v>Taiwan date; other regional dates may differ</x:v>
      </x:c>
      <x:c r="L514" s="16"/>
      <x:c r="M514" s="16"/>
      <x:c r="N514" s="16"/>
      <x:c r="O514" s="16" t="n">
        <x:v>226</x:v>
      </x:c>
      <x:c r="P514" s="16" t="n">
        <x:v>226</x:v>
      </x:c>
      <x:c r="Q514" s="16"/>
      <x:c r="R514" s="16"/>
      <x:c r="S514" s="16" t="str"/>
      <x:c r="T514" s="16" t="str">
        <x:v>https://asia.pokemon-card.com/tw/card-search/ ; https://bulbapedia.bulbagarden.net/wiki/Pok%C3%A9mon_in_Taiwan</x:v>
      </x:c>
      <x:c r="U514" s="16" t="str">
        <x:v>NO — review only</x:v>
      </x:c>
    </x:row>
    <x:row r="515" ht="54" customHeight="1">
      <x:c r="A515" s="16" t="str">
        <x:v>zh-TW-b2b8b4361d91</x:v>
      </x:c>
      <x:c r="B515" s="16" t="str">
        <x:v>zh-TW</x:v>
      </x:c>
      <x:c r="C515" s="16" t="str">
        <x:v>Dreams Come True Collection: Set B</x:v>
      </x:c>
      <x:c r="D515" s="16" t="str">
        <x:v>美夢成真組合篇 SET B</x:v>
      </x:c>
      <x:c r="E515" s="16" t="str">
        <x:v>Sun &amp; Moon</x:v>
      </x:c>
      <x:c r="F515" s="16" t="str">
        <x:v>Card set / collection</x:v>
      </x:c>
      <x:c r="G515" s="16" t="str">
        <x:v>AC2b</x:v>
      </x:c>
      <x:c r="H515" s="16" t="str">
        <x:v>Traditional Chinese set code in source index; language suffix not included</x:v>
      </x:c>
      <x:c r="I515" s="16" t="str">
        <x:v>2019-12-20</x:v>
      </x:c>
      <x:c r="J515" s="16" t="str">
        <x:v>day</x:v>
      </x:c>
      <x:c r="K515" s="16" t="str">
        <x:v>Taiwan date; other regional dates may differ</x:v>
      </x:c>
      <x:c r="L515" s="16"/>
      <x:c r="M515" s="16"/>
      <x:c r="N515" s="16"/>
      <x:c r="O515" s="16" t="n">
        <x:v>225</x:v>
      </x:c>
      <x:c r="P515" s="16" t="n">
        <x:v>225</x:v>
      </x:c>
      <x:c r="Q515" s="16"/>
      <x:c r="R515" s="16"/>
      <x:c r="S515" s="16" t="str"/>
      <x:c r="T515" s="16" t="str">
        <x:v>https://asia.pokemon-card.com/tw/card-search/ ; https://bulbapedia.bulbagarden.net/wiki/Pok%C3%A9mon_in_Taiwan</x:v>
      </x:c>
      <x:c r="U515" s="16" t="str">
        <x:v>NO — review only</x:v>
      </x:c>
    </x:row>
    <x:row r="516" ht="54" customHeight="1">
      <x:c r="A516" s="16" t="str">
        <x:v>zh-TW-6f7e74c62ae7</x:v>
      </x:c>
      <x:c r="B516" s="16" t="str">
        <x:v>zh-TW</x:v>
      </x:c>
      <x:c r="C516" s="16" t="str">
        <x:v>Dreams Come True GX Starter Deck</x:v>
      </x:c>
      <x:c r="D516" s="16" t="str">
        <x:v>G超起始牌組 美夢成真組合篇</x:v>
      </x:c>
      <x:c r="E516" s="16" t="str">
        <x:v>Sun &amp; Moon</x:v>
      </x:c>
      <x:c r="F516" s="16" t="str">
        <x:v>Product / deck</x:v>
      </x:c>
      <x:c r="G516" s="16" t="str">
        <x:v>TW-GXSD-DCT</x:v>
      </x:c>
      <x:c r="H516" s="16" t="str">
        <x:v>Stackr internal identifier for Dreams Come True GX Starter Deck</x:v>
      </x:c>
      <x:c r="I516" s="16" t="str">
        <x:v>2019-12-20</x:v>
      </x:c>
      <x:c r="J516" s="16" t="str">
        <x:v>day</x:v>
      </x:c>
      <x:c r="K516" s="16" t="str">
        <x:v>Taiwan date; other regional dates may differ</x:v>
      </x:c>
      <x:c r="L516" s="16"/>
      <x:c r="M516" s="16"/>
      <x:c r="N516" s="16"/>
      <x:c r="O516" s="16" t="n">
        <x:v>176</x:v>
      </x:c>
      <x:c r="P516" s="16" t="n">
        <x:v>176</x:v>
      </x:c>
      <x:c r="Q516" s="16"/>
      <x:c r="R516" s="16"/>
      <x:c r="S516" s="16" t="str"/>
      <x:c r="T516" s="16" t="str">
        <x:v>https://asia.pokemon-card.com/tw/card-search/ ; https://bulbapedia.bulbagarden.net/wiki/Pok%C3%A9mon_in_Taiwan</x:v>
      </x:c>
      <x:c r="U516" s="16" t="str">
        <x:v>NO — review only</x:v>
      </x:c>
    </x:row>
    <x:row r="517" ht="54" customHeight="1">
      <x:c r="A517" s="16" t="str">
        <x:v>zh-TW-fa701929df73</x:v>
      </x:c>
      <x:c r="B517" s="16" t="str">
        <x:v>zh-TW</x:v>
      </x:c>
      <x:c r="C517" s="16" t="str">
        <x:v>Double Burst GX Starter Deck</x:v>
      </x:c>
      <x:c r="D517" s="16" t="str">
        <x:v>G超起始牌組 雙倍爆擊</x:v>
      </x:c>
      <x:c r="E517" s="16" t="str">
        <x:v>Sun &amp; Moon</x:v>
      </x:c>
      <x:c r="F517" s="16" t="str">
        <x:v>Product / deck</x:v>
      </x:c>
      <x:c r="G517" s="16" t="str">
        <x:v>TW-GXSD-DB</x:v>
      </x:c>
      <x:c r="H517" s="16" t="str">
        <x:v>Stackr internal identifier for Double Burst GX Starter Deck</x:v>
      </x:c>
      <x:c r="I517" s="16" t="str">
        <x:v>2020-02-21</x:v>
      </x:c>
      <x:c r="J517" s="16" t="str">
        <x:v>day</x:v>
      </x:c>
      <x:c r="K517" s="16" t="str">
        <x:v>Taiwan date; other regional dates may differ</x:v>
      </x:c>
      <x:c r="L517" s="16"/>
      <x:c r="M517" s="16"/>
      <x:c r="N517" s="16"/>
      <x:c r="O517" s="16" t="n">
        <x:v>169</x:v>
      </x:c>
      <x:c r="P517" s="16" t="n">
        <x:v>169</x:v>
      </x:c>
      <x:c r="Q517" s="16"/>
      <x:c r="R517" s="16"/>
      <x:c r="S517" s="16" t="str"/>
      <x:c r="T517" s="16" t="str">
        <x:v>https://asia.pokemon-card.com/tw/card-search/ ; https://bulbapedia.bulbagarden.net/wiki/Pok%C3%A9mon_in_Taiwan</x:v>
      </x:c>
      <x:c r="U517" s="16" t="str">
        <x:v>NO — review only</x:v>
      </x:c>
    </x:row>
    <x:row r="518" ht="54" customHeight="1">
      <x:c r="A518" s="16" t="str">
        <x:v>zh-TW-697dc026abac</x:v>
      </x:c>
      <x:c r="B518" s="16" t="str">
        <x:v>zh-TW</x:v>
      </x:c>
      <x:c r="C518" s="16" t="str">
        <x:v>Double Burst: Set A</x:v>
      </x:c>
      <x:c r="D518" s="16" t="str">
        <x:v>雙倍爆擊 SET A</x:v>
      </x:c>
      <x:c r="E518" s="16" t="str">
        <x:v>Sun &amp; Moon</x:v>
      </x:c>
      <x:c r="F518" s="16" t="str">
        <x:v>Card set / collection</x:v>
      </x:c>
      <x:c r="G518" s="16" t="str">
        <x:v>AS5a</x:v>
      </x:c>
      <x:c r="H518" s="16" t="str">
        <x:v>Traditional Chinese set code in source index; language suffix not included</x:v>
      </x:c>
      <x:c r="I518" s="16" t="str">
        <x:v>2020-02-21</x:v>
      </x:c>
      <x:c r="J518" s="16" t="str">
        <x:v>day</x:v>
      </x:c>
      <x:c r="K518" s="16" t="str">
        <x:v>Taiwan date; other regional dates may differ</x:v>
      </x:c>
      <x:c r="L518" s="16"/>
      <x:c r="M518" s="16"/>
      <x:c r="N518" s="16"/>
      <x:c r="O518" s="16" t="n">
        <x:v>230</x:v>
      </x:c>
      <x:c r="P518" s="16" t="n">
        <x:v>230</x:v>
      </x:c>
      <x:c r="Q518" s="16"/>
      <x:c r="R518" s="16"/>
      <x:c r="S518" s="16" t="str"/>
      <x:c r="T518" s="16" t="str">
        <x:v>https://asia.pokemon-card.com/tw/card-search/ ; https://bulbapedia.bulbagarden.net/wiki/Pok%C3%A9mon_in_Taiwan</x:v>
      </x:c>
      <x:c r="U518" s="16" t="str">
        <x:v>NO — review only</x:v>
      </x:c>
    </x:row>
    <x:row r="519" ht="54" customHeight="1">
      <x:c r="A519" s="16" t="str">
        <x:v>zh-TW-a1c2fff1a1ef</x:v>
      </x:c>
      <x:c r="B519" s="16" t="str">
        <x:v>zh-TW</x:v>
      </x:c>
      <x:c r="C519" s="16" t="str">
        <x:v>Double Burst: Set B</x:v>
      </x:c>
      <x:c r="D519" s="16" t="str">
        <x:v>雙倍爆擊 SET B</x:v>
      </x:c>
      <x:c r="E519" s="16" t="str">
        <x:v>Sun &amp; Moon</x:v>
      </x:c>
      <x:c r="F519" s="16" t="str">
        <x:v>Card set / collection</x:v>
      </x:c>
      <x:c r="G519" s="16" t="str">
        <x:v>AS5b</x:v>
      </x:c>
      <x:c r="H519" s="16" t="str">
        <x:v>Traditional Chinese set code in source index; language suffix not included</x:v>
      </x:c>
      <x:c r="I519" s="16" t="str">
        <x:v>2020-02-21</x:v>
      </x:c>
      <x:c r="J519" s="16" t="str">
        <x:v>day</x:v>
      </x:c>
      <x:c r="K519" s="16" t="str">
        <x:v>Taiwan date; other regional dates may differ</x:v>
      </x:c>
      <x:c r="L519" s="16"/>
      <x:c r="M519" s="16"/>
      <x:c r="N519" s="16"/>
      <x:c r="O519" s="16" t="n">
        <x:v>230</x:v>
      </x:c>
      <x:c r="P519" s="16" t="n">
        <x:v>230</x:v>
      </x:c>
      <x:c r="Q519" s="16"/>
      <x:c r="R519" s="16"/>
      <x:c r="S519" s="16" t="str"/>
      <x:c r="T519" s="16" t="str">
        <x:v>https://asia.pokemon-card.com/tw/card-search/ ; https://bulbapedia.bulbagarden.net/wiki/Pok%C3%A9mon_in_Taiwan</x:v>
      </x:c>
      <x:c r="U519" s="16" t="str">
        <x:v>NO — review only</x:v>
      </x:c>
    </x:row>
    <x:row r="520" ht="54" customHeight="1">
      <x:c r="A520" s="16" t="str">
        <x:v>zh-TW-ffbc69fcb8f3</x:v>
      </x:c>
      <x:c r="B520" s="16" t="str">
        <x:v>zh-TW</x:v>
      </x:c>
      <x:c r="C520" s="16" t="str">
        <x:v>Legendary Clash GX Starter Deck</x:v>
      </x:c>
      <x:c r="D520" s="16" t="str">
        <x:v>G超起始牌組 傳說交鋒</x:v>
      </x:c>
      <x:c r="E520" s="16" t="str">
        <x:v>Sun &amp; Moon</x:v>
      </x:c>
      <x:c r="F520" s="16" t="str">
        <x:v>Product / deck</x:v>
      </x:c>
      <x:c r="G520" s="16" t="str">
        <x:v>TW-GXSD-LC</x:v>
      </x:c>
      <x:c r="H520" s="16" t="str">
        <x:v>Stackr internal identifier for Legendary Clash GX Starter Deck</x:v>
      </x:c>
      <x:c r="I520" s="16" t="str">
        <x:v>2020-04-10</x:v>
      </x:c>
      <x:c r="J520" s="16" t="str">
        <x:v>day</x:v>
      </x:c>
      <x:c r="K520" s="16" t="str">
        <x:v>Taiwan date; other regional dates may differ</x:v>
      </x:c>
      <x:c r="L520" s="16"/>
      <x:c r="M520" s="16"/>
      <x:c r="N520" s="16"/>
      <x:c r="O520" s="16" t="n">
        <x:v>168</x:v>
      </x:c>
      <x:c r="P520" s="16" t="n">
        <x:v>168</x:v>
      </x:c>
      <x:c r="Q520" s="16"/>
      <x:c r="R520" s="16"/>
      <x:c r="S520" s="16" t="str"/>
      <x:c r="T520" s="16" t="str">
        <x:v>https://asia.pokemon-card.com/tw/card-search/ ; https://bulbapedia.bulbagarden.net/wiki/Pok%C3%A9mon_in_Taiwan</x:v>
      </x:c>
      <x:c r="U520" s="16" t="str">
        <x:v>NO — review only</x:v>
      </x:c>
    </x:row>
    <x:row r="521" ht="54" customHeight="1">
      <x:c r="A521" s="16" t="str">
        <x:v>zh-TW-a3f1035342ed</x:v>
      </x:c>
      <x:c r="B521" s="16" t="str">
        <x:v>zh-TW</x:v>
      </x:c>
      <x:c r="C521" s="16" t="str">
        <x:v>Legendary Clash: Set A</x:v>
      </x:c>
      <x:c r="D521" s="16" t="str">
        <x:v>傳說交鋒 SET A</x:v>
      </x:c>
      <x:c r="E521" s="16" t="str">
        <x:v>Sun &amp; Moon</x:v>
      </x:c>
      <x:c r="F521" s="16" t="str">
        <x:v>Card set / collection</x:v>
      </x:c>
      <x:c r="G521" s="16" t="str">
        <x:v>AS6a</x:v>
      </x:c>
      <x:c r="H521" s="16" t="str">
        <x:v>Traditional Chinese set code in source index; language suffix not included</x:v>
      </x:c>
      <x:c r="I521" s="16" t="str">
        <x:v>2020-04-10</x:v>
      </x:c>
      <x:c r="J521" s="16" t="str">
        <x:v>day</x:v>
      </x:c>
      <x:c r="K521" s="16" t="str">
        <x:v>Taiwan date; other regional dates may differ</x:v>
      </x:c>
      <x:c r="L521" s="16"/>
      <x:c r="M521" s="16"/>
      <x:c r="N521" s="16"/>
      <x:c r="O521" s="16" t="n">
        <x:v>252</x:v>
      </x:c>
      <x:c r="P521" s="16" t="n">
        <x:v>252</x:v>
      </x:c>
      <x:c r="Q521" s="16"/>
      <x:c r="R521" s="16"/>
      <x:c r="S521" s="16" t="str"/>
      <x:c r="T521" s="16" t="str">
        <x:v>https://asia.pokemon-card.com/tw/card-search/ ; https://bulbapedia.bulbagarden.net/wiki/Pok%C3%A9mon_in_Taiwan</x:v>
      </x:c>
      <x:c r="U521" s="16" t="str">
        <x:v>NO — review only</x:v>
      </x:c>
    </x:row>
    <x:row r="522" ht="54" customHeight="1">
      <x:c r="A522" s="16" t="str">
        <x:v>zh-TW-d8a28fa21e5b</x:v>
      </x:c>
      <x:c r="B522" s="16" t="str">
        <x:v>zh-TW</x:v>
      </x:c>
      <x:c r="C522" s="16" t="str">
        <x:v>Legendary Clash: Set B</x:v>
      </x:c>
      <x:c r="D522" s="16" t="str">
        <x:v>傳說交鋒 SET B</x:v>
      </x:c>
      <x:c r="E522" s="16" t="str">
        <x:v>Sun &amp; Moon</x:v>
      </x:c>
      <x:c r="F522" s="16" t="str">
        <x:v>Card set / collection</x:v>
      </x:c>
      <x:c r="G522" s="16" t="str">
        <x:v>AS6b</x:v>
      </x:c>
      <x:c r="H522" s="16" t="str">
        <x:v>Traditional Chinese set code in source index; language suffix not included</x:v>
      </x:c>
      <x:c r="I522" s="16" t="str">
        <x:v>2020-04-10</x:v>
      </x:c>
      <x:c r="J522" s="16" t="str">
        <x:v>day</x:v>
      </x:c>
      <x:c r="K522" s="16" t="str">
        <x:v>Taiwan date; other regional dates may differ</x:v>
      </x:c>
      <x:c r="L522" s="16"/>
      <x:c r="M522" s="16"/>
      <x:c r="N522" s="16"/>
      <x:c r="O522" s="16" t="n">
        <x:v>252</x:v>
      </x:c>
      <x:c r="P522" s="16" t="n">
        <x:v>252</x:v>
      </x:c>
      <x:c r="Q522" s="16"/>
      <x:c r="R522" s="16"/>
      <x:c r="S522" s="16" t="str"/>
      <x:c r="T522" s="16" t="str">
        <x:v>https://asia.pokemon-card.com/tw/card-search/ ; https://bulbapedia.bulbagarden.net/wiki/Pok%C3%A9mon_in_Taiwan</x:v>
      </x:c>
      <x:c r="U522" s="16" t="str">
        <x:v>NO — review only</x:v>
      </x:c>
    </x:row>
    <x:row r="523" ht="54" customHeight="1">
      <x:c r="A523" s="16" t="str">
        <x:v>zh-TW-7a214d78ab26</x:v>
      </x:c>
      <x:c r="B523" s="16" t="str">
        <x:v>zh-TW</x:v>
      </x:c>
      <x:c r="C523" s="16" t="str">
        <x:v>Sword &amp; Shield V Starter Deck</x:v>
      </x:c>
      <x:c r="D523" s="16" t="str">
        <x:v>V起始牌組 劍&amp;盾</x:v>
      </x:c>
      <x:c r="E523" s="16" t="str">
        <x:v>Sword &amp; Shield</x:v>
      </x:c>
      <x:c r="F523" s="16" t="str">
        <x:v>Product / deck</x:v>
      </x:c>
      <x:c r="G523" s="16" t="str">
        <x:v>TW-VSD-SS</x:v>
      </x:c>
      <x:c r="H523" s="16" t="str">
        <x:v>Stackr internal identifier for Sword &amp; Shield V Starter Deck</x:v>
      </x:c>
      <x:c r="I523" s="16" t="str">
        <x:v>2020-06-19</x:v>
      </x:c>
      <x:c r="J523" s="16" t="str">
        <x:v>day</x:v>
      </x:c>
      <x:c r="K523" s="16" t="str">
        <x:v>Taiwan date; other regional dates may differ</x:v>
      </x:c>
      <x:c r="L523" s="16"/>
      <x:c r="M523" s="16"/>
      <x:c r="N523" s="16"/>
      <x:c r="O523" s="16" t="n">
        <x:v>164</x:v>
      </x:c>
      <x:c r="P523" s="16" t="n">
        <x:v>164</x:v>
      </x:c>
      <x:c r="Q523" s="16"/>
      <x:c r="R523" s="16"/>
      <x:c r="S523" s="16" t="str"/>
      <x:c r="T523" s="16" t="str">
        <x:v>https://asia.pokemon-card.com/tw/card-search/ ; https://asia.pokemon-card.com/tw/card-search/ ; https://bulbapedia.bulbagarden.net/wiki/Pok%C3%A9mon_in_Taiwan</x:v>
      </x:c>
      <x:c r="U523" s="16" t="str">
        <x:v>NO — review only</x:v>
      </x:c>
    </x:row>
    <x:row r="524" ht="54" customHeight="1">
      <x:c r="A524" s="16" t="str">
        <x:v>zh-TW-08c3dcbf7c89</x:v>
      </x:c>
      <x:c r="B524" s="16" t="str">
        <x:v>zh-TW</x:v>
      </x:c>
      <x:c r="C524" s="16" t="str">
        <x:v>Sword &amp; Shield: Set A</x:v>
      </x:c>
      <x:c r="D524" s="16" t="str">
        <x:v>劍&amp;盾 SET A</x:v>
      </x:c>
      <x:c r="E524" s="16" t="str">
        <x:v>Sword &amp; Shield</x:v>
      </x:c>
      <x:c r="F524" s="16" t="str">
        <x:v>Card set / collection</x:v>
      </x:c>
      <x:c r="G524" s="16" t="str">
        <x:v>SC1a</x:v>
      </x:c>
      <x:c r="H524" s="16" t="str">
        <x:v>Traditional Chinese set code in source index; language suffix not included</x:v>
      </x:c>
      <x:c r="I524" s="16" t="str">
        <x:v>2020-06-19</x:v>
      </x:c>
      <x:c r="J524" s="16" t="str">
        <x:v>day</x:v>
      </x:c>
      <x:c r="K524" s="16" t="str">
        <x:v>Taiwan date; other regional dates may differ</x:v>
      </x:c>
      <x:c r="L524" s="16"/>
      <x:c r="M524" s="16"/>
      <x:c r="N524" s="16"/>
      <x:c r="O524" s="16" t="n">
        <x:v>187</x:v>
      </x:c>
      <x:c r="P524" s="16" t="n">
        <x:v>187</x:v>
      </x:c>
      <x:c r="Q524" s="16"/>
      <x:c r="R524" s="16"/>
      <x:c r="S524" s="16" t="str"/>
      <x:c r="T524" s="16" t="str">
        <x:v>https://asia.pokemon-card.com/tw/card-search/ ; https://bulbapedia.bulbagarden.net/wiki/Pok%C3%A9mon_in_Taiwan</x:v>
      </x:c>
      <x:c r="U524" s="16" t="str">
        <x:v>NO — review only</x:v>
      </x:c>
    </x:row>
    <x:row r="525" ht="54" customHeight="1">
      <x:c r="A525" s="16" t="str">
        <x:v>zh-TW-1d3647011297</x:v>
      </x:c>
      <x:c r="B525" s="16" t="str">
        <x:v>zh-TW</x:v>
      </x:c>
      <x:c r="C525" s="16" t="str">
        <x:v>Sword &amp; Shield: Set B</x:v>
      </x:c>
      <x:c r="D525" s="16" t="str">
        <x:v>劍&amp;盾 SET B</x:v>
      </x:c>
      <x:c r="E525" s="16" t="str">
        <x:v>Sword &amp; Shield</x:v>
      </x:c>
      <x:c r="F525" s="16" t="str">
        <x:v>Card set / collection</x:v>
      </x:c>
      <x:c r="G525" s="16" t="str">
        <x:v>SC1b</x:v>
      </x:c>
      <x:c r="H525" s="16" t="str">
        <x:v>Traditional Chinese set code in source index; language suffix not included</x:v>
      </x:c>
      <x:c r="I525" s="16" t="str">
        <x:v>2020-06-19</x:v>
      </x:c>
      <x:c r="J525" s="16" t="str">
        <x:v>day</x:v>
      </x:c>
      <x:c r="K525" s="16" t="str">
        <x:v>Taiwan date; other regional dates may differ</x:v>
      </x:c>
      <x:c r="L525" s="16"/>
      <x:c r="M525" s="16"/>
      <x:c r="N525" s="16"/>
      <x:c r="O525" s="16" t="n">
        <x:v>187</x:v>
      </x:c>
      <x:c r="P525" s="16" t="n">
        <x:v>187</x:v>
      </x:c>
      <x:c r="Q525" s="16"/>
      <x:c r="R525" s="16"/>
      <x:c r="S525" s="16" t="str"/>
      <x:c r="T525" s="16" t="str">
        <x:v>https://asia.pokemon-card.com/tw/card-search/ ; https://bulbapedia.bulbagarden.net/wiki/Pok%C3%A9mon_in_Taiwan</x:v>
      </x:c>
      <x:c r="U525" s="16" t="str">
        <x:v>NO — review only</x:v>
      </x:c>
    </x:row>
    <x:row r="526" ht="54" customHeight="1">
      <x:c r="A526" s="16" t="str">
        <x:v>zh-TW-881ba9c7b206</x:v>
      </x:c>
      <x:c r="B526" s="16" t="str">
        <x:v>zh-TW</x:v>
      </x:c>
      <x:c r="C526" s="16" t="str">
        <x:v>Infinite Power V Starter Deck</x:v>
      </x:c>
      <x:c r="D526" s="16" t="str">
        <x:v>V起始牌組 無極力量</x:v>
      </x:c>
      <x:c r="E526" s="16" t="str">
        <x:v>Sword &amp; Shield</x:v>
      </x:c>
      <x:c r="F526" s="16" t="str">
        <x:v>Product / deck</x:v>
      </x:c>
      <x:c r="G526" s="16" t="str">
        <x:v>TW-VSD-IP</x:v>
      </x:c>
      <x:c r="H526" s="16" t="str">
        <x:v>Stackr internal identifier for Infinite Power V Starter Deck</x:v>
      </x:c>
      <x:c r="I526" s="16" t="str">
        <x:v>2020-08-21</x:v>
      </x:c>
      <x:c r="J526" s="16" t="str">
        <x:v>day</x:v>
      </x:c>
      <x:c r="K526" s="16" t="str">
        <x:v>Taiwan date; other regional dates may differ</x:v>
      </x:c>
      <x:c r="L526" s="16"/>
      <x:c r="M526" s="16"/>
      <x:c r="N526" s="16"/>
      <x:c r="O526" s="16" t="n">
        <x:v>157</x:v>
      </x:c>
      <x:c r="P526" s="16" t="n">
        <x:v>157</x:v>
      </x:c>
      <x:c r="Q526" s="16"/>
      <x:c r="R526" s="16"/>
      <x:c r="S526" s="16" t="str"/>
      <x:c r="T526" s="16" t="str">
        <x:v>https://asia.pokemon-card.com/tw/card-search/ ; https://asia.pokemon-card.com/tw/card-search/ ; https://bulbapedia.bulbagarden.net/wiki/Pok%C3%A9mon_in_Taiwan</x:v>
      </x:c>
      <x:c r="U526" s="16" t="str">
        <x:v>NO — review only</x:v>
      </x:c>
    </x:row>
    <x:row r="527" ht="54" customHeight="1">
      <x:c r="A527" s="16" t="str">
        <x:v>zh-TW-b9871021b603</x:v>
      </x:c>
      <x:c r="B527" s="16" t="str">
        <x:v>zh-TW</x:v>
      </x:c>
      <x:c r="C527" s="16" t="str">
        <x:v>Infinite Power: Set A</x:v>
      </x:c>
      <x:c r="D527" s="16" t="str">
        <x:v>無極力量 SET A</x:v>
      </x:c>
      <x:c r="E527" s="16" t="str">
        <x:v>Sword &amp; Shield</x:v>
      </x:c>
      <x:c r="F527" s="16" t="str">
        <x:v>Card set / collection</x:v>
      </x:c>
      <x:c r="G527" s="16" t="str">
        <x:v>SC2a</x:v>
      </x:c>
      <x:c r="H527" s="16" t="str">
        <x:v>Traditional Chinese set code in source index; language suffix not included</x:v>
      </x:c>
      <x:c r="I527" s="16" t="str">
        <x:v>2020-08-21</x:v>
      </x:c>
      <x:c r="J527" s="16" t="str">
        <x:v>day</x:v>
      </x:c>
      <x:c r="K527" s="16" t="str">
        <x:v>Taiwan date; other regional dates may differ</x:v>
      </x:c>
      <x:c r="L527" s="16"/>
      <x:c r="M527" s="16"/>
      <x:c r="N527" s="16"/>
      <x:c r="O527" s="16" t="n">
        <x:v>170</x:v>
      </x:c>
      <x:c r="P527" s="16" t="n">
        <x:v>170</x:v>
      </x:c>
      <x:c r="Q527" s="16"/>
      <x:c r="R527" s="16"/>
      <x:c r="S527" s="16" t="str"/>
      <x:c r="T527" s="16" t="str">
        <x:v>https://asia.pokemon-card.com/tw/card-search/ ; https://bulbapedia.bulbagarden.net/wiki/Pok%C3%A9mon_in_Taiwan</x:v>
      </x:c>
      <x:c r="U527" s="16" t="str">
        <x:v>NO — review only</x:v>
      </x:c>
    </x:row>
    <x:row r="528" ht="54" customHeight="1">
      <x:c r="A528" s="16" t="str">
        <x:v>zh-TW-b29b74d4c92f</x:v>
      </x:c>
      <x:c r="B528" s="16" t="str">
        <x:v>zh-TW</x:v>
      </x:c>
      <x:c r="C528" s="16" t="str">
        <x:v>Infinite Power: Set B</x:v>
      </x:c>
      <x:c r="D528" s="16" t="str">
        <x:v>無極力量 SET B</x:v>
      </x:c>
      <x:c r="E528" s="16" t="str">
        <x:v>Sword &amp; Shield</x:v>
      </x:c>
      <x:c r="F528" s="16" t="str">
        <x:v>Card set / collection</x:v>
      </x:c>
      <x:c r="G528" s="16" t="str">
        <x:v>SC2b</x:v>
      </x:c>
      <x:c r="H528" s="16" t="str">
        <x:v>Traditional Chinese set code in source index; language suffix not included</x:v>
      </x:c>
      <x:c r="I528" s="16" t="str">
        <x:v>2020-08-21</x:v>
      </x:c>
      <x:c r="J528" s="16" t="str">
        <x:v>day</x:v>
      </x:c>
      <x:c r="K528" s="16" t="str">
        <x:v>Taiwan date; other regional dates may differ</x:v>
      </x:c>
      <x:c r="L528" s="16"/>
      <x:c r="M528" s="16"/>
      <x:c r="N528" s="16"/>
      <x:c r="O528" s="16" t="n">
        <x:v>172</x:v>
      </x:c>
      <x:c r="P528" s="16" t="n">
        <x:v>172</x:v>
      </x:c>
      <x:c r="Q528" s="16"/>
      <x:c r="R528" s="16"/>
      <x:c r="S528" s="16" t="str"/>
      <x:c r="T528" s="16" t="str">
        <x:v>https://asia.pokemon-card.com/tw/card-search/ ; https://bulbapedia.bulbagarden.net/wiki/Pok%C3%A9mon_in_Taiwan</x:v>
      </x:c>
      <x:c r="U528" s="16" t="str">
        <x:v>NO — review only</x:v>
      </x:c>
    </x:row>
    <x:row r="529" ht="54" customHeight="1">
      <x:c r="A529" s="16" t="str">
        <x:v>zh-TW-4fe71a34ad45</x:v>
      </x:c>
      <x:c r="B529" s="16" t="str">
        <x:v>zh-TW</x:v>
      </x:c>
      <x:c r="C529" s="16" t="str">
        <x:v>Amazing Volt Tackle</x:v>
      </x:c>
      <x:c r="D529" s="16" t="str">
        <x:v>驚天伏特攻擊</x:v>
      </x:c>
      <x:c r="E529" s="16" t="str">
        <x:v>Sword &amp; Shield</x:v>
      </x:c>
      <x:c r="F529" s="16" t="str">
        <x:v>Card set / collection</x:v>
      </x:c>
      <x:c r="G529" s="16" t="str">
        <x:v>S4</x:v>
      </x:c>
      <x:c r="H529" s="16" t="str">
        <x:v>Traditional Chinese set code in source index; language suffix not included</x:v>
      </x:c>
      <x:c r="I529" s="16" t="str">
        <x:v>2020-10-09</x:v>
      </x:c>
      <x:c r="J529" s="16" t="str">
        <x:v>day</x:v>
      </x:c>
      <x:c r="K529" s="16" t="str">
        <x:v>Taiwan date; other regional dates may differ</x:v>
      </x:c>
      <x:c r="L529" s="16"/>
      <x:c r="M529" s="16"/>
      <x:c r="N529" s="16"/>
      <x:c r="O529" s="16" t="n">
        <x:v>121</x:v>
      </x:c>
      <x:c r="P529" s="16" t="n">
        <x:v>121</x:v>
      </x:c>
      <x:c r="Q529" s="16"/>
      <x:c r="R529" s="16"/>
      <x:c r="S529" s="16" t="str"/>
      <x:c r="T529" s="16" t="str">
        <x:v>https://bulbapedia.bulbagarden.net/wiki/Pok%C3%A9mon_in_Taiwan ; https://asia.pokemon-card.com/tw/card-search/</x:v>
      </x:c>
      <x:c r="U529" s="16" t="str">
        <x:v>NO — review only</x:v>
      </x:c>
    </x:row>
    <x:row r="530" ht="54" customHeight="1">
      <x:c r="A530" s="16" t="str">
        <x:v>zh-TW-7c2698d8198c</x:v>
      </x:c>
      <x:c r="B530" s="16" t="str">
        <x:v>zh-TW</x:v>
      </x:c>
      <x:c r="C530" s="16" t="str">
        <x:v>Shiny Star V</x:v>
      </x:c>
      <x:c r="D530" s="16" t="str">
        <x:v>閃色明星V</x:v>
      </x:c>
      <x:c r="E530" s="16" t="str">
        <x:v>Sword &amp; Shield</x:v>
      </x:c>
      <x:c r="F530" s="16" t="str">
        <x:v>Card set / collection</x:v>
      </x:c>
      <x:c r="G530" s="16" t="str">
        <x:v>S4a</x:v>
      </x:c>
      <x:c r="H530" s="16" t="str">
        <x:v>Traditional Chinese set code in source index; language suffix not included</x:v>
      </x:c>
      <x:c r="I530" s="16" t="str">
        <x:v>2020-11-27</x:v>
      </x:c>
      <x:c r="J530" s="16" t="str">
        <x:v>day</x:v>
      </x:c>
      <x:c r="K530" s="16" t="str">
        <x:v>Taiwan date; other regional dates may differ</x:v>
      </x:c>
      <x:c r="L530" s="16"/>
      <x:c r="M530" s="16"/>
      <x:c r="N530" s="16"/>
      <x:c r="O530" s="16" t="n">
        <x:v>330</x:v>
      </x:c>
      <x:c r="P530" s="16" t="n">
        <x:v>330</x:v>
      </x:c>
      <x:c r="Q530" s="16"/>
      <x:c r="R530" s="16"/>
      <x:c r="S530" s="16" t="str"/>
      <x:c r="T530" s="16" t="str">
        <x:v>https://bulbapedia.bulbagarden.net/wiki/Pok%C3%A9mon_in_Taiwan ; https://asia.pokemon-card.com/tw/card-search/</x:v>
      </x:c>
      <x:c r="U530" s="16" t="str">
        <x:v>NO — review only</x:v>
      </x:c>
    </x:row>
    <x:row r="531" ht="54" customHeight="1">
      <x:c r="A531" s="16" t="str">
        <x:v>zh-TW-34fe73a731d5</x:v>
      </x:c>
      <x:c r="B531" s="16" t="str">
        <x:v>zh-TW</x:v>
      </x:c>
      <x:c r="C531" s="16" t="str">
        <x:v>V Starter Deck: Partner</x:v>
      </x:c>
      <x:c r="D531" s="16" t="str">
        <x:v>V起始牌組 搭檔</x:v>
      </x:c>
      <x:c r="E531" s="16" t="str">
        <x:v>Sword &amp; Shield</x:v>
      </x:c>
      <x:c r="F531" s="16" t="str">
        <x:v>Product / deck</x:v>
      </x:c>
      <x:c r="G531" s="16" t="str">
        <x:v>TW-VSD-PARTNER</x:v>
      </x:c>
      <x:c r="H531" s="16" t="str">
        <x:v>Stackr internal identifier for V Starter Deck: Partner</x:v>
      </x:c>
      <x:c r="I531" s="16" t="str">
        <x:v>2020-11-27</x:v>
      </x:c>
      <x:c r="J531" s="16" t="str">
        <x:v>day</x:v>
      </x:c>
      <x:c r="K531" s="16" t="str">
        <x:v>Taiwan date; other regional dates may differ</x:v>
      </x:c>
      <x:c r="L531" s="16"/>
      <x:c r="M531" s="16"/>
      <x:c r="N531" s="16"/>
      <x:c r="O531" s="16" t="n">
        <x:v>135</x:v>
      </x:c>
      <x:c r="P531" s="16" t="n">
        <x:v>135</x:v>
      </x:c>
      <x:c r="Q531" s="16"/>
      <x:c r="R531" s="16"/>
      <x:c r="S531" s="16" t="str"/>
      <x:c r="T531" s="16" t="str">
        <x:v>https://asia.pokemon-card.com/tw/card-search/ ; https://asia.pokemon-card.com/tw/card-search/ ; https://bulbapedia.bulbagarden.net/wiki/Pok%C3%A9mon_in_Taiwan</x:v>
      </x:c>
      <x:c r="U531" s="16" t="str">
        <x:v>NO — review only</x:v>
      </x:c>
    </x:row>
    <x:row r="532" ht="54" customHeight="1">
      <x:c r="A532" s="16" t="str">
        <x:v>zh-TW-22bafcb43c40</x:v>
      </x:c>
      <x:c r="B532" s="16" t="str">
        <x:v>zh-TW</x:v>
      </x:c>
      <x:c r="C532" s="16" t="str">
        <x:v>Rapid Strike Master</x:v>
      </x:c>
      <x:c r="D532" s="16" t="str">
        <x:v>連撃大師</x:v>
      </x:c>
      <x:c r="E532" s="16" t="str">
        <x:v>Sword &amp; Shield</x:v>
      </x:c>
      <x:c r="F532" s="16" t="str">
        <x:v>Card set / collection</x:v>
      </x:c>
      <x:c r="G532" s="16" t="str">
        <x:v>S5R</x:v>
      </x:c>
      <x:c r="H532" s="16" t="str">
        <x:v>Traditional Chinese set code in source index; language suffix not included</x:v>
      </x:c>
      <x:c r="I532" s="16" t="str">
        <x:v>2021-01-29</x:v>
      </x:c>
      <x:c r="J532" s="16" t="str">
        <x:v>day</x:v>
      </x:c>
      <x:c r="K532" s="16" t="str">
        <x:v>Taiwan date; other regional dates may differ</x:v>
      </x:c>
      <x:c r="L532" s="16"/>
      <x:c r="M532" s="16"/>
      <x:c r="N532" s="16"/>
      <x:c r="O532" s="16" t="n">
        <x:v>91</x:v>
      </x:c>
      <x:c r="P532" s="16" t="n">
        <x:v>91</x:v>
      </x:c>
      <x:c r="Q532" s="16"/>
      <x:c r="R532" s="16"/>
      <x:c r="S532" s="16" t="str"/>
      <x:c r="T532" s="16" t="str">
        <x:v>https://bulbapedia.bulbagarden.net/wiki/Pok%C3%A9mon_in_Taiwan ; https://asia.pokemon-card.com/tw/card-search/</x:v>
      </x:c>
      <x:c r="U532" s="16" t="str">
        <x:v>NO — review only</x:v>
      </x:c>
    </x:row>
    <x:row r="533" ht="54" customHeight="1">
      <x:c r="A533" s="16" t="str">
        <x:v>zh-TW-9097625c11de</x:v>
      </x:c>
      <x:c r="B533" s="16" t="str">
        <x:v>zh-TW</x:v>
      </x:c>
      <x:c r="C533" s="16" t="str">
        <x:v>Single Strike Master</x:v>
      </x:c>
      <x:c r="D533" s="16" t="str">
        <x:v>一撃大師</x:v>
      </x:c>
      <x:c r="E533" s="16" t="str">
        <x:v>Sword &amp; Shield</x:v>
      </x:c>
      <x:c r="F533" s="16" t="str">
        <x:v>Card set / collection</x:v>
      </x:c>
      <x:c r="G533" s="16" t="str">
        <x:v>S5I</x:v>
      </x:c>
      <x:c r="H533" s="16" t="str">
        <x:v>Traditional Chinese set code in source index; language suffix not included</x:v>
      </x:c>
      <x:c r="I533" s="16" t="str">
        <x:v>2021-01-29</x:v>
      </x:c>
      <x:c r="J533" s="16" t="str">
        <x:v>day</x:v>
      </x:c>
      <x:c r="K533" s="16" t="str">
        <x:v>Taiwan date; other regional dates may differ</x:v>
      </x:c>
      <x:c r="L533" s="16"/>
      <x:c r="M533" s="16"/>
      <x:c r="N533" s="16"/>
      <x:c r="O533" s="16" t="n">
        <x:v>91</x:v>
      </x:c>
      <x:c r="P533" s="16" t="n">
        <x:v>91</x:v>
      </x:c>
      <x:c r="Q533" s="16"/>
      <x:c r="R533" s="16"/>
      <x:c r="S533" s="16" t="str"/>
      <x:c r="T533" s="16" t="str">
        <x:v>https://bulbapedia.bulbagarden.net/wiki/Pok%C3%A9mon_in_Taiwan ; https://asia.pokemon-card.com/tw/card-search/</x:v>
      </x:c>
      <x:c r="U533" s="16" t="str">
        <x:v>NO — review only</x:v>
      </x:c>
    </x:row>
    <x:row r="534" ht="54" customHeight="1">
      <x:c r="A534" s="16" t="str">
        <x:v>zh-TW-4f37ed1f19a0</x:v>
      </x:c>
      <x:c r="B534" s="16" t="str">
        <x:v>zh-TW</x:v>
      </x:c>
      <x:c r="C534" s="16" t="str">
        <x:v>V Starter Deck: Challenge</x:v>
      </x:c>
      <x:c r="D534" s="16" t="str">
        <x:v>V起始牌組 挑戰</x:v>
      </x:c>
      <x:c r="E534" s="16" t="str">
        <x:v>Sword &amp; Shield</x:v>
      </x:c>
      <x:c r="F534" s="16" t="str">
        <x:v>Product / deck</x:v>
      </x:c>
      <x:c r="G534" s="16" t="str">
        <x:v>TW-VSD-CHALLENGE</x:v>
      </x:c>
      <x:c r="H534" s="16" t="str">
        <x:v>Stackr internal identifier for V Starter Deck: Challenge</x:v>
      </x:c>
      <x:c r="I534" s="16" t="str">
        <x:v>2021-01-29</x:v>
      </x:c>
      <x:c r="J534" s="16" t="str">
        <x:v>day</x:v>
      </x:c>
      <x:c r="K534" s="16" t="str">
        <x:v>Taiwan date; other regional dates may differ</x:v>
      </x:c>
      <x:c r="L534" s="16"/>
      <x:c r="M534" s="16"/>
      <x:c r="N534" s="16"/>
      <x:c r="O534" s="16" t="n">
        <x:v>156</x:v>
      </x:c>
      <x:c r="P534" s="16" t="n">
        <x:v>156</x:v>
      </x:c>
      <x:c r="Q534" s="16"/>
      <x:c r="R534" s="16"/>
      <x:c r="S534" s="16" t="str"/>
      <x:c r="T534" s="16" t="str">
        <x:v>https://asia.pokemon-card.com/tw/card-search/ ; https://asia.pokemon-card.com/tw/card-search/ ; https://bulbapedia.bulbagarden.net/wiki/Pok%C3%A9mon_in_Taiwan</x:v>
      </x:c>
      <x:c r="U534" s="16" t="str">
        <x:v>NO — review only</x:v>
      </x:c>
    </x:row>
    <x:row r="535" ht="54" customHeight="1">
      <x:c r="A535" s="16" t="str">
        <x:v>zh-TW-4580c5755bb6</x:v>
      </x:c>
      <x:c r="B535" s="16" t="str">
        <x:v>zh-TW</x:v>
      </x:c>
      <x:c r="C535" s="16" t="str">
        <x:v>Peerless Fighters</x:v>
      </x:c>
      <x:c r="D535" s="16" t="str">
        <x:v>雙璧戰士</x:v>
      </x:c>
      <x:c r="E535" s="16" t="str">
        <x:v>Sword &amp; Shield</x:v>
      </x:c>
      <x:c r="F535" s="16" t="str">
        <x:v>Card set / collection</x:v>
      </x:c>
      <x:c r="G535" s="16" t="str">
        <x:v>S5a</x:v>
      </x:c>
      <x:c r="H535" s="16" t="str">
        <x:v>Traditional Chinese set code in source index; language suffix not included</x:v>
      </x:c>
      <x:c r="I535" s="16" t="str">
        <x:v>2021-04-02</x:v>
      </x:c>
      <x:c r="J535" s="16" t="str">
        <x:v>day</x:v>
      </x:c>
      <x:c r="K535" s="16" t="str">
        <x:v>Taiwan date; other regional dates may differ</x:v>
      </x:c>
      <x:c r="L535" s="16" t="n">
        <x:v>70</x:v>
      </x:c>
      <x:c r="M535" s="16" t="n">
        <x:v>26</x:v>
      </x:c>
      <x:c r="N535" s="16"/>
      <x:c r="O535" s="16" t="n">
        <x:v>96</x:v>
      </x:c>
      <x:c r="P535" s="16" t="n">
        <x:v>96</x:v>
      </x:c>
      <x:c r="Q535" s="16"/>
      <x:c r="R535" s="16"/>
      <x:c r="S535" s="16"/>
      <x:c r="T535" s="16"/>
      <x:c r="U535" s="16" t="str">
        <x:v>NO — review only</x:v>
      </x:c>
    </x:row>
    <x:row r="536" ht="54" customHeight="1">
      <x:c r="A536" s="16" t="str">
        <x:v>zh-TW-948804025988</x:v>
      </x:c>
      <x:c r="B536" s="16" t="str">
        <x:v>zh-TW</x:v>
      </x:c>
      <x:c r="C536" s="16" t="str">
        <x:v>Jet-Black Spirit</x:v>
      </x:c>
      <x:c r="D536" s="16" t="str">
        <x:v>漆黑幽魂</x:v>
      </x:c>
      <x:c r="E536" s="16" t="str">
        <x:v>Sword &amp; Shield</x:v>
      </x:c>
      <x:c r="F536" s="16" t="str">
        <x:v>Card set / collection</x:v>
      </x:c>
      <x:c r="G536" s="16" t="str">
        <x:v>S6K</x:v>
      </x:c>
      <x:c r="H536" s="16" t="str">
        <x:v>Traditional Chinese set code in source index; language suffix not included</x:v>
      </x:c>
      <x:c r="I536" s="16" t="str">
        <x:v>2021-05-07</x:v>
      </x:c>
      <x:c r="J536" s="16" t="str">
        <x:v>day</x:v>
      </x:c>
      <x:c r="K536" s="16" t="str">
        <x:v>Taiwan date; other regional dates may differ</x:v>
      </x:c>
      <x:c r="L536" s="16"/>
      <x:c r="M536" s="16"/>
      <x:c r="N536" s="16"/>
      <x:c r="O536" s="16" t="n">
        <x:v>95</x:v>
      </x:c>
      <x:c r="P536" s="16" t="n">
        <x:v>95</x:v>
      </x:c>
      <x:c r="Q536" s="16"/>
      <x:c r="R536" s="16"/>
      <x:c r="S536" s="16" t="str"/>
      <x:c r="T536" s="16" t="str">
        <x:v>https://bulbapedia.bulbagarden.net/wiki/Pok%C3%A9mon_in_Taiwan ; https://asia.pokemon-card.com/tw/card-search/</x:v>
      </x:c>
      <x:c r="U536" s="16" t="str">
        <x:v>NO — review only</x:v>
      </x:c>
    </x:row>
    <x:row r="537" ht="54" customHeight="1">
      <x:c r="A537" s="16" t="str">
        <x:v>zh-TW-1ce049c3e526</x:v>
      </x:c>
      <x:c r="B537" s="16" t="str">
        <x:v>zh-TW</x:v>
      </x:c>
      <x:c r="C537" s="16" t="str">
        <x:v>Silver Lance</x:v>
      </x:c>
      <x:c r="D537" s="16" t="str">
        <x:v>銀白戰槍</x:v>
      </x:c>
      <x:c r="E537" s="16" t="str">
        <x:v>Sword &amp; Shield</x:v>
      </x:c>
      <x:c r="F537" s="16" t="str">
        <x:v>Card set / collection</x:v>
      </x:c>
      <x:c r="G537" s="16" t="str">
        <x:v>S6H</x:v>
      </x:c>
      <x:c r="H537" s="16" t="str">
        <x:v>Traditional Chinese set code in source index; language suffix not included</x:v>
      </x:c>
      <x:c r="I537" s="16" t="str">
        <x:v>2021-05-07</x:v>
      </x:c>
      <x:c r="J537" s="16" t="str">
        <x:v>day</x:v>
      </x:c>
      <x:c r="K537" s="16" t="str">
        <x:v>Taiwan date; other regional dates may differ</x:v>
      </x:c>
      <x:c r="L537" s="16"/>
      <x:c r="M537" s="16"/>
      <x:c r="N537" s="16"/>
      <x:c r="O537" s="16" t="n">
        <x:v>95</x:v>
      </x:c>
      <x:c r="P537" s="16" t="n">
        <x:v>95</x:v>
      </x:c>
      <x:c r="Q537" s="16"/>
      <x:c r="R537" s="16"/>
      <x:c r="S537" s="16" t="str"/>
      <x:c r="T537" s="16" t="str">
        <x:v>https://bulbapedia.bulbagarden.net/wiki/Pok%C3%A9mon_in_Taiwan ; https://asia.pokemon-card.com/tw/card-search/</x:v>
      </x:c>
      <x:c r="U537" s="16" t="str">
        <x:v>NO — review only</x:v>
      </x:c>
    </x:row>
    <x:row r="538" ht="54" customHeight="1">
      <x:c r="A538" s="16" t="str">
        <x:v>zh-TW-0a24fa37675e</x:v>
      </x:c>
      <x:c r="B538" s="16" t="str">
        <x:v>zh-TW</x:v>
      </x:c>
      <x:c r="C538" s="16" t="str">
        <x:v>Eevee Heroes</x:v>
      </x:c>
      <x:c r="D538" s="16" t="str">
        <x:v>伊布英雄</x:v>
      </x:c>
      <x:c r="E538" s="16" t="str">
        <x:v>Sword &amp; Shield</x:v>
      </x:c>
      <x:c r="F538" s="16" t="str">
        <x:v>Card set / collection</x:v>
      </x:c>
      <x:c r="G538" s="16" t="str">
        <x:v>S6a</x:v>
      </x:c>
      <x:c r="H538" s="16" t="str">
        <x:v>Traditional Chinese set code in source index; language suffix not included</x:v>
      </x:c>
      <x:c r="I538" s="16" t="str">
        <x:v>2021-06-11</x:v>
      </x:c>
      <x:c r="J538" s="16" t="str">
        <x:v>day</x:v>
      </x:c>
      <x:c r="K538" s="16" t="str">
        <x:v>Taiwan date; other regional dates may differ</x:v>
      </x:c>
      <x:c r="L538" s="16"/>
      <x:c r="M538" s="16"/>
      <x:c r="N538" s="16"/>
      <x:c r="O538" s="16" t="n">
        <x:v>101</x:v>
      </x:c>
      <x:c r="P538" s="16" t="n">
        <x:v>101</x:v>
      </x:c>
      <x:c r="Q538" s="16"/>
      <x:c r="R538" s="16"/>
      <x:c r="S538" s="16" t="str"/>
      <x:c r="T538" s="16" t="str">
        <x:v>https://bulbapedia.bulbagarden.net/wiki/Pok%C3%A9mon_in_Taiwan ; https://asia.pokemon-card.com/tw/card-search/</x:v>
      </x:c>
      <x:c r="U538" s="16" t="str">
        <x:v>NO — review only</x:v>
      </x:c>
    </x:row>
    <x:row r="539" ht="54" customHeight="1">
      <x:c r="A539" s="16" t="str">
        <x:v>zh-TW-e025c97a3003</x:v>
      </x:c>
      <x:c r="B539" s="16" t="str">
        <x:v>zh-TW</x:v>
      </x:c>
      <x:c r="C539" s="16" t="str">
        <x:v>V Starter Deck: Evolution</x:v>
      </x:c>
      <x:c r="D539" s="16" t="str">
        <x:v>V起始牌組 進化</x:v>
      </x:c>
      <x:c r="E539" s="16" t="str">
        <x:v>Sword &amp; Shield</x:v>
      </x:c>
      <x:c r="F539" s="16" t="str">
        <x:v>Product / deck</x:v>
      </x:c>
      <x:c r="G539" s="16" t="str">
        <x:v>TW-VSD-EVOLUTION</x:v>
      </x:c>
      <x:c r="H539" s="16" t="str">
        <x:v>Stackr internal identifier for V Starter Deck: Evolution</x:v>
      </x:c>
      <x:c r="I539" s="16" t="str">
        <x:v>2021-06-11</x:v>
      </x:c>
      <x:c r="J539" s="16" t="str">
        <x:v>day</x:v>
      </x:c>
      <x:c r="K539" s="16" t="str">
        <x:v>Taiwan date; other regional dates may differ</x:v>
      </x:c>
      <x:c r="L539" s="16"/>
      <x:c r="M539" s="16"/>
      <x:c r="N539" s="16"/>
      <x:c r="O539" s="16" t="n">
        <x:v>171</x:v>
      </x:c>
      <x:c r="P539" s="16" t="n">
        <x:v>171</x:v>
      </x:c>
      <x:c r="Q539" s="16"/>
      <x:c r="R539" s="16"/>
      <x:c r="S539" s="16" t="str"/>
      <x:c r="T539" s="16" t="str">
        <x:v>https://asia.pokemon-card.com/tw/card-search/ ; https://asia.pokemon-card.com/tw/card-search/ ; https://bulbapedia.bulbagarden.net/wiki/Pok%C3%A9mon_in_Taiwan</x:v>
      </x:c>
      <x:c r="U539" s="16" t="str">
        <x:v>NO — review only</x:v>
      </x:c>
    </x:row>
    <x:row r="540" ht="54" customHeight="1">
      <x:c r="A540" s="16" t="str">
        <x:v>zh-TW-0896e483a152</x:v>
      </x:c>
      <x:c r="B540" s="16" t="str">
        <x:v>zh-TW</x:v>
      </x:c>
      <x:c r="C540" s="16" t="str">
        <x:v>Blue Sky Stream</x:v>
      </x:c>
      <x:c r="D540" s="16" t="str">
        <x:v>蒼空烈流</x:v>
      </x:c>
      <x:c r="E540" s="16" t="str">
        <x:v>Sword &amp; Shield</x:v>
      </x:c>
      <x:c r="F540" s="16" t="str">
        <x:v>Card set / collection</x:v>
      </x:c>
      <x:c r="G540" s="16" t="str">
        <x:v>S7R</x:v>
      </x:c>
      <x:c r="H540" s="16" t="str">
        <x:v>Traditional Chinese set code in source index; language suffix not included</x:v>
      </x:c>
      <x:c r="I540" s="16" t="str">
        <x:v>2021-07-23</x:v>
      </x:c>
      <x:c r="J540" s="16" t="str">
        <x:v>day</x:v>
      </x:c>
      <x:c r="K540" s="16" t="str">
        <x:v>Taiwan date; other regional dates may differ</x:v>
      </x:c>
      <x:c r="L540" s="16"/>
      <x:c r="M540" s="16"/>
      <x:c r="N540" s="16"/>
      <x:c r="O540" s="16" t="n">
        <x:v>90</x:v>
      </x:c>
      <x:c r="P540" s="16" t="n">
        <x:v>90</x:v>
      </x:c>
      <x:c r="Q540" s="16"/>
      <x:c r="R540" s="16"/>
      <x:c r="S540" s="16" t="str"/>
      <x:c r="T540" s="16" t="str">
        <x:v>https://bulbapedia.bulbagarden.net/wiki/Pok%C3%A9mon_in_Taiwan ; https://asia.pokemon-card.com/tw/card-search/</x:v>
      </x:c>
      <x:c r="U540" s="16" t="str">
        <x:v>NO — review only</x:v>
      </x:c>
    </x:row>
    <x:row r="541" ht="54" customHeight="1">
      <x:c r="A541" s="16" t="str">
        <x:v>zh-TW-3c7f9a347753</x:v>
      </x:c>
      <x:c r="B541" s="16" t="str">
        <x:v>zh-TW</x:v>
      </x:c>
      <x:c r="C541" s="16" t="str">
        <x:v>Skyscraping Perfection</x:v>
      </x:c>
      <x:c r="D541" s="16" t="str">
        <x:v>摩天巔峰</x:v>
      </x:c>
      <x:c r="E541" s="16" t="str">
        <x:v>Sword &amp; Shield</x:v>
      </x:c>
      <x:c r="F541" s="16" t="str">
        <x:v>Card set / collection</x:v>
      </x:c>
      <x:c r="G541" s="16" t="str">
        <x:v>S7D</x:v>
      </x:c>
      <x:c r="H541" s="16" t="str">
        <x:v>Traditional Chinese set code in source index; language suffix not included</x:v>
      </x:c>
      <x:c r="I541" s="16" t="str">
        <x:v>2021-07-23</x:v>
      </x:c>
      <x:c r="J541" s="16" t="str">
        <x:v>day</x:v>
      </x:c>
      <x:c r="K541" s="16" t="str">
        <x:v>Taiwan date; other regional dates may differ</x:v>
      </x:c>
      <x:c r="L541" s="16"/>
      <x:c r="M541" s="16"/>
      <x:c r="N541" s="16"/>
      <x:c r="O541" s="16" t="n">
        <x:v>90</x:v>
      </x:c>
      <x:c r="P541" s="16" t="n">
        <x:v>90</x:v>
      </x:c>
      <x:c r="Q541" s="16"/>
      <x:c r="R541" s="16"/>
      <x:c r="S541" s="16" t="str"/>
      <x:c r="T541" s="16" t="str">
        <x:v>https://bulbapedia.bulbagarden.net/wiki/Pok%C3%A9mon_in_Taiwan ; https://asia.pokemon-card.com/tw/card-search/</x:v>
      </x:c>
      <x:c r="U541" s="16" t="str">
        <x:v>NO — review only</x:v>
      </x:c>
    </x:row>
    <x:row r="542" ht="54" customHeight="1">
      <x:c r="A542" s="16" t="str">
        <x:v>zh-TW-ea9bed1e2837</x:v>
      </x:c>
      <x:c r="B542" s="16" t="str">
        <x:v>zh-TW</x:v>
      </x:c>
      <x:c r="C542" s="16" t="str">
        <x:v>Family Pokémon Card Game</x:v>
      </x:c>
      <x:c r="D542" s="16" t="str">
        <x:v>寶可夢卡牌家庭組合</x:v>
      </x:c>
      <x:c r="E542" s="16" t="str">
        <x:v>Sword &amp; Shield</x:v>
      </x:c>
      <x:c r="F542" s="16" t="str">
        <x:v>Product / deck</x:v>
      </x:c>
      <x:c r="G542" s="16" t="str">
        <x:v>TW-FAMILY</x:v>
      </x:c>
      <x:c r="H542" s="16" t="str">
        <x:v>Stackr internal identifier for Family Pokémon Card Game</x:v>
      </x:c>
      <x:c r="I542" s="16" t="str">
        <x:v>2021-08-06</x:v>
      </x:c>
      <x:c r="J542" s="16" t="str">
        <x:v>day</x:v>
      </x:c>
      <x:c r="K542" s="16" t="str">
        <x:v>Taiwan date; other regional dates may differ</x:v>
      </x:c>
      <x:c r="L542" s="16"/>
      <x:c r="M542" s="16"/>
      <x:c r="N542" s="16"/>
      <x:c r="O542" s="16" t="n">
        <x:v>78</x:v>
      </x:c>
      <x:c r="P542" s="16" t="n">
        <x:v>78</x:v>
      </x:c>
      <x:c r="Q542" s="16"/>
      <x:c r="R542" s="16"/>
      <x:c r="S542" s="16" t="str"/>
      <x:c r="T542" s="16" t="str">
        <x:v>https://asia.pokemon-card.com/tw/card-search/ ; https://asia.pokemon-card.com/tw/card-search/ ; https://bulbapedia.bulbagarden.net/wiki/Pok%C3%A9mon_in_Taiwan</x:v>
      </x:c>
      <x:c r="U542" s="16" t="str">
        <x:v>NO — review only</x:v>
      </x:c>
    </x:row>
    <x:row r="543" ht="54" customHeight="1">
      <x:c r="A543" s="16" t="str">
        <x:v>zh-TW-1e56408052d8</x:v>
      </x:c>
      <x:c r="B543" s="16" t="str">
        <x:v>zh-TW</x:v>
      </x:c>
      <x:c r="C543" s="16" t="str">
        <x:v>Greninja V-UNION</x:v>
      </x:c>
      <x:c r="D543" s="16" t="str">
        <x:v>甲賀忍蛙V-UNION</x:v>
      </x:c>
      <x:c r="E543" s="16" t="str">
        <x:v>Sword &amp; Shield</x:v>
      </x:c>
      <x:c r="F543" s="16" t="str">
        <x:v>Product / deck</x:v>
      </x:c>
      <x:c r="G543" s="16" t="str">
        <x:v>TW-VUN-GREN</x:v>
      </x:c>
      <x:c r="H543" s="16" t="str">
        <x:v>Stackr internal identifier for Greninja V-UNION</x:v>
      </x:c>
      <x:c r="I543" s="16" t="str">
        <x:v>2021-08-27</x:v>
      </x:c>
      <x:c r="J543" s="16" t="str">
        <x:v>day</x:v>
      </x:c>
      <x:c r="K543" s="16" t="str">
        <x:v>Taiwan date; other regional dates may differ</x:v>
      </x:c>
      <x:c r="L543" s="16"/>
      <x:c r="M543" s="16"/>
      <x:c r="N543" s="16"/>
      <x:c r="O543" s="16" t="n">
        <x:v>5</x:v>
      </x:c>
      <x:c r="P543" s="16" t="n">
        <x:v>5</x:v>
      </x:c>
      <x:c r="Q543" s="16"/>
      <x:c r="R543" s="16"/>
      <x:c r="S543" s="16" t="str"/>
      <x:c r="T543" s="16" t="str">
        <x:v>https://asia.pokemon-card.com/tw/card-search/ ; https://asia.pokemon-card.com/tw/card-search/ ; https://bulbapedia.bulbagarden.net/wiki/Pok%C3%A9mon_in_Taiwan</x:v>
      </x:c>
      <x:c r="U543" s="16" t="str">
        <x:v>NO — review only</x:v>
      </x:c>
    </x:row>
    <x:row r="544" ht="54" customHeight="1">
      <x:c r="A544" s="16" t="str">
        <x:v>zh-TW-4be3f10dba4e</x:v>
      </x:c>
      <x:c r="B544" s="16" t="str">
        <x:v>zh-TW</x:v>
      </x:c>
      <x:c r="C544" s="16" t="str">
        <x:v>Mewtwo V-UNION</x:v>
      </x:c>
      <x:c r="D544" s="16" t="str">
        <x:v>超夢V-UNION</x:v>
      </x:c>
      <x:c r="E544" s="16" t="str">
        <x:v>Sword &amp; Shield</x:v>
      </x:c>
      <x:c r="F544" s="16" t="str">
        <x:v>Product / deck</x:v>
      </x:c>
      <x:c r="G544" s="16" t="str">
        <x:v>TW-VUN-MEWTWO</x:v>
      </x:c>
      <x:c r="H544" s="16" t="str">
        <x:v>Stackr internal identifier for Mewtwo V-UNION</x:v>
      </x:c>
      <x:c r="I544" s="16" t="str">
        <x:v>2021-08-27</x:v>
      </x:c>
      <x:c r="J544" s="16" t="str">
        <x:v>day</x:v>
      </x:c>
      <x:c r="K544" s="16" t="str">
        <x:v>Taiwan date; other regional dates may differ</x:v>
      </x:c>
      <x:c r="L544" s="16"/>
      <x:c r="M544" s="16"/>
      <x:c r="N544" s="16"/>
      <x:c r="O544" s="16" t="n">
        <x:v>5</x:v>
      </x:c>
      <x:c r="P544" s="16" t="n">
        <x:v>5</x:v>
      </x:c>
      <x:c r="Q544" s="16"/>
      <x:c r="R544" s="16"/>
      <x:c r="S544" s="16" t="str"/>
      <x:c r="T544" s="16" t="str">
        <x:v>https://asia.pokemon-card.com/tw/card-search/ ; https://asia.pokemon-card.com/tw/card-search/ ; https://bulbapedia.bulbagarden.net/wiki/Pok%C3%A9mon_in_Taiwan</x:v>
      </x:c>
      <x:c r="U544" s="16" t="str">
        <x:v>NO — review only</x:v>
      </x:c>
    </x:row>
    <x:row r="545" ht="54" customHeight="1">
      <x:c r="A545" s="16" t="str">
        <x:v>zh-TW-fd587194a3dc</x:v>
      </x:c>
      <x:c r="B545" s="16" t="str">
        <x:v>zh-TW</x:v>
      </x:c>
      <x:c r="C545" s="16" t="str">
        <x:v>Zacian V-UNION</x:v>
      </x:c>
      <x:c r="D545" s="16" t="str">
        <x:v>蒼響V-UNION</x:v>
      </x:c>
      <x:c r="E545" s="16" t="str">
        <x:v>Sword &amp; Shield</x:v>
      </x:c>
      <x:c r="F545" s="16" t="str">
        <x:v>Product / deck</x:v>
      </x:c>
      <x:c r="G545" s="16" t="str">
        <x:v>TW-VUN-ZACIAN</x:v>
      </x:c>
      <x:c r="H545" s="16" t="str">
        <x:v>Stackr internal identifier for Zacian V-UNION</x:v>
      </x:c>
      <x:c r="I545" s="16" t="str">
        <x:v>2021-08-27</x:v>
      </x:c>
      <x:c r="J545" s="16" t="str">
        <x:v>day</x:v>
      </x:c>
      <x:c r="K545" s="16" t="str">
        <x:v>Taiwan date; other regional dates may differ</x:v>
      </x:c>
      <x:c r="L545" s="16"/>
      <x:c r="M545" s="16"/>
      <x:c r="N545" s="16"/>
      <x:c r="O545" s="16" t="n">
        <x:v>5</x:v>
      </x:c>
      <x:c r="P545" s="16" t="n">
        <x:v>5</x:v>
      </x:c>
      <x:c r="Q545" s="16"/>
      <x:c r="R545" s="16"/>
      <x:c r="S545" s="16" t="str"/>
      <x:c r="T545" s="16" t="str">
        <x:v>https://asia.pokemon-card.com/tw/card-search/ ; https://asia.pokemon-card.com/tw/card-search/ ; https://bulbapedia.bulbagarden.net/wiki/Pok%C3%A9mon_in_Taiwan</x:v>
      </x:c>
      <x:c r="U545" s="16" t="str">
        <x:v>NO — review only</x:v>
      </x:c>
    </x:row>
    <x:row r="546" ht="54" customHeight="1">
      <x:c r="A546" s="16" t="str">
        <x:v>zh-TW-ed2b47d834a0</x:v>
      </x:c>
      <x:c r="B546" s="16" t="str">
        <x:v>zh-TW</x:v>
      </x:c>
      <x:c r="C546" s="16" t="str">
        <x:v>Fusion Arts</x:v>
      </x:c>
      <x:c r="D546" s="16" t="str">
        <x:v>匯流藝術</x:v>
      </x:c>
      <x:c r="E546" s="16" t="str">
        <x:v>Sword &amp; Shield</x:v>
      </x:c>
      <x:c r="F546" s="16" t="str">
        <x:v>Card set / collection</x:v>
      </x:c>
      <x:c r="G546" s="16" t="str">
        <x:v>S8</x:v>
      </x:c>
      <x:c r="H546" s="16" t="str">
        <x:v>Traditional Chinese set code in source index; language suffix not included</x:v>
      </x:c>
      <x:c r="I546" s="16" t="str">
        <x:v>2021-10-01</x:v>
      </x:c>
      <x:c r="J546" s="16" t="str">
        <x:v>day</x:v>
      </x:c>
      <x:c r="K546" s="16" t="str">
        <x:v>Taiwan date; other regional dates may differ</x:v>
      </x:c>
      <x:c r="L546" s="16"/>
      <x:c r="M546" s="16"/>
      <x:c r="N546" s="16"/>
      <x:c r="O546" s="16" t="n">
        <x:v>129</x:v>
      </x:c>
      <x:c r="P546" s="16" t="n">
        <x:v>129</x:v>
      </x:c>
      <x:c r="Q546" s="16"/>
      <x:c r="R546" s="16"/>
      <x:c r="S546" s="16" t="str"/>
      <x:c r="T546" s="16" t="str">
        <x:v>https://bulbapedia.bulbagarden.net/wiki/Pok%C3%A9mon_in_Taiwan ; https://asia.pokemon-card.com/tw/card-search/</x:v>
      </x:c>
      <x:c r="U546" s="16" t="str">
        <x:v>NO — review only</x:v>
      </x:c>
    </x:row>
    <x:row r="547" ht="54" customHeight="1">
      <x:c r="A547" s="16" t="str">
        <x:v>zh-TW-b504d14277db</x:v>
      </x:c>
      <x:c r="B547" s="16" t="str">
        <x:v>zh-TW</x:v>
      </x:c>
      <x:c r="C547" s="16" t="str">
        <x:v>V Starter Deck: Power</x:v>
      </x:c>
      <x:c r="D547" s="16" t="str">
        <x:v>V起始牌組 強大</x:v>
      </x:c>
      <x:c r="E547" s="16" t="str">
        <x:v>Sword &amp; Shield</x:v>
      </x:c>
      <x:c r="F547" s="16" t="str">
        <x:v>Product / deck</x:v>
      </x:c>
      <x:c r="G547" s="16" t="str">
        <x:v>TW-VSD-POWER</x:v>
      </x:c>
      <x:c r="H547" s="16" t="str">
        <x:v>Stackr internal identifier for V Starter Deck: Power</x:v>
      </x:c>
      <x:c r="I547" s="16" t="str">
        <x:v>2021-10-01</x:v>
      </x:c>
      <x:c r="J547" s="16" t="str">
        <x:v>day</x:v>
      </x:c>
      <x:c r="K547" s="16" t="str">
        <x:v>Taiwan date; other regional dates may differ</x:v>
      </x:c>
      <x:c r="L547" s="16"/>
      <x:c r="M547" s="16"/>
      <x:c r="N547" s="16"/>
      <x:c r="O547" s="16" t="n">
        <x:v>159</x:v>
      </x:c>
      <x:c r="P547" s="16" t="n">
        <x:v>159</x:v>
      </x:c>
      <x:c r="Q547" s="16"/>
      <x:c r="R547" s="16"/>
      <x:c r="S547" s="16" t="str"/>
      <x:c r="T547" s="16" t="str">
        <x:v>https://asia.pokemon-card.com/tw/card-search/ ; https://asia.pokemon-card.com/tw/card-search/ ; https://bulbapedia.bulbagarden.net/wiki/Pok%C3%A9mon_in_Taiwan</x:v>
      </x:c>
      <x:c r="U547" s="16" t="str">
        <x:v>NO — review only</x:v>
      </x:c>
    </x:row>
    <x:row r="548" ht="54" customHeight="1">
      <x:c r="A548" s="16" t="str">
        <x:v>zh-TW-0b27f7830bd5</x:v>
      </x:c>
      <x:c r="B548" s="16" t="str">
        <x:v>zh-TW</x:v>
      </x:c>
      <x:c r="C548" s="16" t="str">
        <x:v>25th Anniversary Collection</x:v>
      </x:c>
      <x:c r="D548" s="16" t="str">
        <x:v>25週年收藏款</x:v>
      </x:c>
      <x:c r="E548" s="16" t="str">
        <x:v>Sword &amp; Shield</x:v>
      </x:c>
      <x:c r="F548" s="16" t="str">
        <x:v>Card set / collection</x:v>
      </x:c>
      <x:c r="G548" s="16" t="str">
        <x:v>S8a</x:v>
      </x:c>
      <x:c r="H548" s="16" t="str">
        <x:v>Traditional Chinese set code in source index; language suffix not included</x:v>
      </x:c>
      <x:c r="I548" s="16" t="str">
        <x:v>2021-10-20</x:v>
      </x:c>
      <x:c r="J548" s="16" t="str">
        <x:v>day</x:v>
      </x:c>
      <x:c r="K548" s="16" t="str">
        <x:v>Taiwan date; other regional dates may differ</x:v>
      </x:c>
      <x:c r="L548" s="16"/>
      <x:c r="M548" s="16"/>
      <x:c r="N548" s="16"/>
      <x:c r="O548" s="16" t="n">
        <x:v>30</x:v>
      </x:c>
      <x:c r="P548" s="16" t="n">
        <x:v>30</x:v>
      </x:c>
      <x:c r="Q548" s="16"/>
      <x:c r="R548" s="16"/>
      <x:c r="S548" s="16" t="str"/>
      <x:c r="T548" s="16" t="str">
        <x:v>https://bulbapedia.bulbagarden.net/wiki/Pok%C3%A9mon_in_Taiwan ; https://asia.pokemon-card.com/tw/card-search/</x:v>
      </x:c>
      <x:c r="U548" s="16" t="str">
        <x:v>NO — review only</x:v>
      </x:c>
    </x:row>
    <x:row r="549" ht="54" customHeight="1">
      <x:c r="A549" s="16" t="str">
        <x:v>zh-TW-3f0100ff734e</x:v>
      </x:c>
      <x:c r="B549" s="16" t="str">
        <x:v>zh-TW</x:v>
      </x:c>
      <x:c r="C549" s="16" t="str">
        <x:v>VMAX Climax</x:v>
      </x:c>
      <x:c r="D549" s="16" t="str">
        <x:v>VMAX絕群壓軸</x:v>
      </x:c>
      <x:c r="E549" s="16" t="str">
        <x:v>Sword &amp; Shield</x:v>
      </x:c>
      <x:c r="F549" s="16" t="str">
        <x:v>Card set / collection</x:v>
      </x:c>
      <x:c r="G549" s="16" t="str">
        <x:v>S8b</x:v>
      </x:c>
      <x:c r="H549" s="16" t="str">
        <x:v>Traditional Chinese set code in source index; language suffix not included</x:v>
      </x:c>
      <x:c r="I549" s="16" t="str">
        <x:v>2021-12-17</x:v>
      </x:c>
      <x:c r="J549" s="16" t="str">
        <x:v>day</x:v>
      </x:c>
      <x:c r="K549" s="16" t="str">
        <x:v>Taiwan date; other regional dates may differ</x:v>
      </x:c>
      <x:c r="L549" s="16"/>
      <x:c r="M549" s="16"/>
      <x:c r="N549" s="16"/>
      <x:c r="O549" s="16" t="n">
        <x:v>285</x:v>
      </x:c>
      <x:c r="P549" s="16" t="n">
        <x:v>285</x:v>
      </x:c>
      <x:c r="Q549" s="16"/>
      <x:c r="R549" s="16"/>
      <x:c r="S549" s="16" t="str"/>
      <x:c r="T549" s="16" t="str">
        <x:v>https://bulbapedia.bulbagarden.net/wiki/Pok%C3%A9mon_in_Taiwan ; https://asia.pokemon-card.com/tw/card-search/</x:v>
      </x:c>
      <x:c r="U549" s="16" t="str">
        <x:v>NO — review only</x:v>
      </x:c>
    </x:row>
    <x:row r="550" ht="54" customHeight="1">
      <x:c r="A550" s="16" t="str">
        <x:v>zh-TW-da84927efd3c</x:v>
      </x:c>
      <x:c r="B550" s="16" t="str">
        <x:v>zh-TW</x:v>
      </x:c>
      <x:c r="C550" s="16" t="str">
        <x:v>Premium Trainer Box VSTAR</x:v>
      </x:c>
      <x:c r="D550" s="16" t="str">
        <x:v>頂級訓練家收藏箱 VSTAR</x:v>
      </x:c>
      <x:c r="E550" s="16" t="str">
        <x:v>Sword &amp; Shield</x:v>
      </x:c>
      <x:c r="F550" s="16" t="str">
        <x:v>Product / deck</x:v>
      </x:c>
      <x:c r="G550" s="16" t="str">
        <x:v>TW-PTB-VSTAR</x:v>
      </x:c>
      <x:c r="H550" s="16" t="str">
        <x:v>Stackr internal identifier for Premium Trainer Box VSTAR</x:v>
      </x:c>
      <x:c r="I550" s="16" t="str">
        <x:v>2022-01-28</x:v>
      </x:c>
      <x:c r="J550" s="16" t="str">
        <x:v>day</x:v>
      </x:c>
      <x:c r="K550" s="16" t="str">
        <x:v>Taiwan date; other regional dates may differ</x:v>
      </x:c>
      <x:c r="L550" s="16"/>
      <x:c r="M550" s="16"/>
      <x:c r="N550" s="16"/>
      <x:c r="O550" s="16" t="n">
        <x:v>38</x:v>
      </x:c>
      <x:c r="P550" s="16" t="n">
        <x:v>38</x:v>
      </x:c>
      <x:c r="Q550" s="16"/>
      <x:c r="R550" s="16"/>
      <x:c r="S550" s="16" t="str"/>
      <x:c r="T550" s="16" t="str">
        <x:v>https://asia.pokemon-card.com/tw/archives/1289/ ; https://asia.pokemon-card.com/tw/card-search/ ; https://bulbapedia.bulbagarden.net/wiki/Pok%C3%A9mon_in_Taiwan</x:v>
      </x:c>
      <x:c r="U550" s="16" t="str">
        <x:v>NO — review only</x:v>
      </x:c>
    </x:row>
    <x:row r="551" ht="54" customHeight="1">
      <x:c r="A551" s="16" t="str">
        <x:v>zh-TW-49aecb4f6801</x:v>
      </x:c>
      <x:c r="B551" s="16" t="str">
        <x:v>zh-TW</x:v>
      </x:c>
      <x:c r="C551" s="16" t="str">
        <x:v>Special Deck Set: Zacian &amp; Zamazenta vs Eternatus</x:v>
      </x:c>
      <x:c r="D551" s="16" t="str">
        <x:v>特別牌組組合 蒼響・藏瑪然特VS無極汰那</x:v>
      </x:c>
      <x:c r="E551" s="16" t="str">
        <x:v>Sword &amp; Shield</x:v>
      </x:c>
      <x:c r="F551" s="16" t="str">
        <x:v>Product / deck</x:v>
      </x:c>
      <x:c r="G551" s="16" t="str">
        <x:v>TW-SDS-ZZE</x:v>
      </x:c>
      <x:c r="H551" s="16" t="str">
        <x:v>Stackr internal identifier for Special Deck Set: Zacian &amp; Zamazenta vs Eternatus</x:v>
      </x:c>
      <x:c r="I551" s="16" t="str">
        <x:v>2022-01-28</x:v>
      </x:c>
      <x:c r="J551" s="16" t="str">
        <x:v>day</x:v>
      </x:c>
      <x:c r="K551" s="16" t="str">
        <x:v>Taiwan date; other regional dates may differ</x:v>
      </x:c>
      <x:c r="L551" s="16"/>
      <x:c r="M551" s="16"/>
      <x:c r="N551" s="16"/>
      <x:c r="O551" s="16" t="n">
        <x:v>30</x:v>
      </x:c>
      <x:c r="P551" s="16" t="n">
        <x:v>30</x:v>
      </x:c>
      <x:c r="Q551" s="16"/>
      <x:c r="R551" s="16"/>
      <x:c r="S551" s="16" t="str"/>
      <x:c r="T551" s="16" t="str">
        <x:v>https://asia.pokemon-card.com/tw/card-search/ ; https://asia.pokemon-card.com/tw/card-search/ ; https://bulbapedia.bulbagarden.net/wiki/Pok%C3%A9mon_in_Taiwan</x:v>
      </x:c>
      <x:c r="U551" s="16" t="str">
        <x:v>NO — review only</x:v>
      </x:c>
    </x:row>
    <x:row r="552" ht="54" customHeight="1">
      <x:c r="A552" s="16" t="str">
        <x:v>zh-TW-e2c3f070ae3a</x:v>
      </x:c>
      <x:c r="B552" s="16" t="str">
        <x:v>zh-TW</x:v>
      </x:c>
      <x:c r="C552" s="16" t="str">
        <x:v>Star Birth</x:v>
      </x:c>
      <x:c r="D552" s="16" t="str">
        <x:v>星星誕生</x:v>
      </x:c>
      <x:c r="E552" s="16" t="str">
        <x:v>Sword &amp; Shield</x:v>
      </x:c>
      <x:c r="F552" s="16" t="str">
        <x:v>Card set / collection</x:v>
      </x:c>
      <x:c r="G552" s="16" t="str">
        <x:v>S9</x:v>
      </x:c>
      <x:c r="H552" s="16" t="str">
        <x:v>Traditional Chinese set code in source index; language suffix not included</x:v>
      </x:c>
      <x:c r="I552" s="16" t="str">
        <x:v>2022-01-28</x:v>
      </x:c>
      <x:c r="J552" s="16" t="str">
        <x:v>day</x:v>
      </x:c>
      <x:c r="K552" s="16" t="str">
        <x:v>Taiwan date; other regional dates may differ</x:v>
      </x:c>
      <x:c r="L552" s="16"/>
      <x:c r="M552" s="16"/>
      <x:c r="N552" s="16"/>
      <x:c r="O552" s="16" t="n">
        <x:v>127</x:v>
      </x:c>
      <x:c r="P552" s="16" t="n">
        <x:v>127</x:v>
      </x:c>
      <x:c r="Q552" s="16"/>
      <x:c r="R552" s="16"/>
      <x:c r="S552" s="16" t="str"/>
      <x:c r="T552" s="16" t="str">
        <x:v>https://bulbapedia.bulbagarden.net/wiki/Pok%C3%A9mon_in_Taiwan ; https://asia.pokemon-card.com/tw/card-search/</x:v>
      </x:c>
      <x:c r="U552" s="16" t="str">
        <x:v>NO — review only</x:v>
      </x:c>
    </x:row>
    <x:row r="553" ht="54" customHeight="1">
      <x:c r="A553" s="16" t="str">
        <x:v>zh-TW-79452a9b4969</x:v>
      </x:c>
      <x:c r="B553" s="16" t="str">
        <x:v>zh-TW</x:v>
      </x:c>
      <x:c r="C553" s="16" t="str">
        <x:v>Start Deck 100</x:v>
      </x:c>
      <x:c r="D553" s="16" t="str">
        <x:v>初階牌組100</x:v>
      </x:c>
      <x:c r="E553" s="16" t="str">
        <x:v>Sword &amp; Shield</x:v>
      </x:c>
      <x:c r="F553" s="16" t="str">
        <x:v>Product / deck</x:v>
      </x:c>
      <x:c r="G553" s="16" t="str">
        <x:v>SI</x:v>
      </x:c>
      <x:c r="H553" s="16" t="str">
        <x:v>Established Start Deck 100 shorthand; Taiwan official product route uses /si/ and the code is retained as a product/database identifier</x:v>
      </x:c>
      <x:c r="I553" s="16" t="str">
        <x:v>2022-02-18</x:v>
      </x:c>
      <x:c r="J553" s="16" t="str">
        <x:v>day</x:v>
      </x:c>
      <x:c r="K553" s="16" t="str">
        <x:v>Taiwan date; other regional dates may differ</x:v>
      </x:c>
      <x:c r="L553" s="16"/>
      <x:c r="M553" s="16"/>
      <x:c r="N553" s="16"/>
      <x:c r="O553" s="16" t="n">
        <x:v>422</x:v>
      </x:c>
      <x:c r="P553" s="16" t="n">
        <x:v>422</x:v>
      </x:c>
      <x:c r="Q553" s="16"/>
      <x:c r="R553" s="16"/>
      <x:c r="S553" s="16" t="str"/>
      <x:c r="T553" s="16" t="str">
        <x:v>https://asia.pokemon-card.com/tw/archive/special/card/si/ ; https://asia.pokemon-card.com/tw/card-search/ ; https://bulbapedia.bulbagarden.net/wiki/Pok%C3%A9mon_in_Taiwan</x:v>
      </x:c>
      <x:c r="U553" s="16" t="str">
        <x:v>NO — review only</x:v>
      </x:c>
    </x:row>
    <x:row r="554" ht="54" customHeight="1">
      <x:c r="A554" s="16" t="str">
        <x:v>zh-TW-ebfd52323273</x:v>
      </x:c>
      <x:c r="B554" s="16" t="str">
        <x:v>zh-TW</x:v>
      </x:c>
      <x:c r="C554" s="16" t="str">
        <x:v>Battle Region</x:v>
      </x:c>
      <x:c r="D554" s="16" t="str">
        <x:v>對戰地區</x:v>
      </x:c>
      <x:c r="E554" s="16" t="str">
        <x:v>Sword &amp; Shield</x:v>
      </x:c>
      <x:c r="F554" s="16" t="str">
        <x:v>Card set / collection</x:v>
      </x:c>
      <x:c r="G554" s="16" t="str">
        <x:v>S9a</x:v>
      </x:c>
      <x:c r="H554" s="16" t="str">
        <x:v>Traditional Chinese set code in source index; language suffix not included</x:v>
      </x:c>
      <x:c r="I554" s="16" t="str">
        <x:v>2022-03-11</x:v>
      </x:c>
      <x:c r="J554" s="16" t="str">
        <x:v>day</x:v>
      </x:c>
      <x:c r="K554" s="16" t="str">
        <x:v>Taiwan date; other regional dates may differ</x:v>
      </x:c>
      <x:c r="L554" s="16"/>
      <x:c r="M554" s="16"/>
      <x:c r="N554" s="16"/>
      <x:c r="O554" s="16" t="n">
        <x:v>93</x:v>
      </x:c>
      <x:c r="P554" s="16" t="n">
        <x:v>93</x:v>
      </x:c>
      <x:c r="Q554" s="16"/>
      <x:c r="R554" s="16"/>
      <x:c r="S554" s="16" t="str"/>
      <x:c r="T554" s="16" t="str">
        <x:v>https://bulbapedia.bulbagarden.net/wiki/Pok%C3%A9mon_in_Taiwan ; https://asia.pokemon-card.com/tw/card-search/</x:v>
      </x:c>
      <x:c r="U554" s="16" t="str">
        <x:v>NO — review only</x:v>
      </x:c>
    </x:row>
    <x:row r="555" ht="54" customHeight="1">
      <x:c r="A555" s="16" t="str">
        <x:v>zh-TW-c1e632571ef2</x:v>
      </x:c>
      <x:c r="B555" s="16" t="str">
        <x:v>zh-TW</x:v>
      </x:c>
      <x:c r="C555" s="16" t="str">
        <x:v>Starter Set VSTAR: Darkrai</x:v>
      </x:c>
      <x:c r="D555" s="16" t="str">
        <x:v>起始組合VSTAR 達克萊伊</x:v>
      </x:c>
      <x:c r="E555" s="16" t="str">
        <x:v>Sword &amp; Shield</x:v>
      </x:c>
      <x:c r="F555" s="16" t="str">
        <x:v>Product / deck</x:v>
      </x:c>
      <x:c r="G555" s="16" t="str">
        <x:v>TW-SSV-DARKRAI</x:v>
      </x:c>
      <x:c r="H555" s="16" t="str">
        <x:v>Stackr internal identifier for Starter Set VSTAR: Darkrai</x:v>
      </x:c>
      <x:c r="I555" s="16" t="str">
        <x:v>2022-03-11</x:v>
      </x:c>
      <x:c r="J555" s="16" t="str">
        <x:v>day</x:v>
      </x:c>
      <x:c r="K555" s="16" t="str">
        <x:v>Taiwan date; other regional dates may differ</x:v>
      </x:c>
      <x:c r="L555" s="16"/>
      <x:c r="M555" s="16"/>
      <x:c r="N555" s="16"/>
      <x:c r="O555" s="16" t="n">
        <x:v>21</x:v>
      </x:c>
      <x:c r="P555" s="16" t="n">
        <x:v>21</x:v>
      </x:c>
      <x:c r="Q555" s="16"/>
      <x:c r="R555" s="16"/>
      <x:c r="S555" s="16" t="str"/>
      <x:c r="T555" s="16" t="str">
        <x:v>https://asia.pokemon-card.com/tw/card-search/ ; https://asia.pokemon-card.com/tw/card-search/ ; https://bulbapedia.bulbagarden.net/wiki/Pok%C3%A9mon_in_Taiwan</x:v>
      </x:c>
      <x:c r="U555" s="16" t="str">
        <x:v>NO — review only</x:v>
      </x:c>
    </x:row>
    <x:row r="556" ht="54" customHeight="1">
      <x:c r="A556" s="16" t="str">
        <x:v>zh-TW-9b45ecdadbd5</x:v>
      </x:c>
      <x:c r="B556" s="16" t="str">
        <x:v>zh-TW</x:v>
      </x:c>
      <x:c r="C556" s="16" t="str">
        <x:v>Starter Set VSTAR: Lucario</x:v>
      </x:c>
      <x:c r="D556" s="16" t="str">
        <x:v>起始組合VSTAR 路卡利歐</x:v>
      </x:c>
      <x:c r="E556" s="16" t="str">
        <x:v>Sword &amp; Shield</x:v>
      </x:c>
      <x:c r="F556" s="16" t="str">
        <x:v>Product / deck</x:v>
      </x:c>
      <x:c r="G556" s="16" t="str">
        <x:v>TW-SSV-LUCARIO</x:v>
      </x:c>
      <x:c r="H556" s="16" t="str">
        <x:v>Stackr internal identifier for Starter Set VSTAR: Lucario</x:v>
      </x:c>
      <x:c r="I556" s="16" t="str">
        <x:v>2022-03-11</x:v>
      </x:c>
      <x:c r="J556" s="16" t="str">
        <x:v>day</x:v>
      </x:c>
      <x:c r="K556" s="16" t="str">
        <x:v>Taiwan date; other regional dates may differ</x:v>
      </x:c>
      <x:c r="L556" s="16"/>
      <x:c r="M556" s="16"/>
      <x:c r="N556" s="16"/>
      <x:c r="O556" s="16" t="n">
        <x:v>22</x:v>
      </x:c>
      <x:c r="P556" s="16" t="n">
        <x:v>22</x:v>
      </x:c>
      <x:c r="Q556" s="16"/>
      <x:c r="R556" s="16"/>
      <x:c r="S556" s="16" t="str"/>
      <x:c r="T556" s="16" t="str">
        <x:v>https://asia.pokemon-card.com/tw/card-search/ ; https://asia.pokemon-card.com/tw/card-search/ ; https://bulbapedia.bulbagarden.net/wiki/Pok%C3%A9mon_in_Taiwan</x:v>
      </x:c>
      <x:c r="U556" s="16" t="str">
        <x:v>NO — review only</x:v>
      </x:c>
    </x:row>
    <x:row r="557" ht="54" customHeight="1">
      <x:c r="A557" s="16" t="str">
        <x:v>zh-TW-eaa598c96da0</x:v>
      </x:c>
      <x:c r="B557" s="16" t="str">
        <x:v>zh-TW</x:v>
      </x:c>
      <x:c r="C557" s="16" t="str">
        <x:v>Space Juggler</x:v>
      </x:c>
      <x:c r="D557" s="16" t="str">
        <x:v>空間魔術師</x:v>
      </x:c>
      <x:c r="E557" s="16" t="str">
        <x:v>Sword &amp; Shield</x:v>
      </x:c>
      <x:c r="F557" s="16" t="str">
        <x:v>Card set / collection</x:v>
      </x:c>
      <x:c r="G557" s="16" t="str">
        <x:v>S10P</x:v>
      </x:c>
      <x:c r="H557" s="16" t="str">
        <x:v>Traditional Chinese set code in source index; language suffix not included</x:v>
      </x:c>
      <x:c r="I557" s="16" t="str">
        <x:v>2022-04-22</x:v>
      </x:c>
      <x:c r="J557" s="16" t="str">
        <x:v>day</x:v>
      </x:c>
      <x:c r="K557" s="16" t="str">
        <x:v>Taiwan date; other regional dates may differ</x:v>
      </x:c>
      <x:c r="L557" s="16"/>
      <x:c r="M557" s="16"/>
      <x:c r="N557" s="16"/>
      <x:c r="O557" s="16" t="n">
        <x:v>88</x:v>
      </x:c>
      <x:c r="P557" s="16" t="n">
        <x:v>88</x:v>
      </x:c>
      <x:c r="Q557" s="16"/>
      <x:c r="R557" s="16"/>
      <x:c r="S557" s="16" t="str"/>
      <x:c r="T557" s="16" t="str">
        <x:v>https://bulbapedia.bulbagarden.net/wiki/Pok%C3%A9mon_in_Taiwan ; https://asia.pokemon-card.com/tw/card-search/</x:v>
      </x:c>
      <x:c r="U557" s="16" t="str">
        <x:v>NO — review only</x:v>
      </x:c>
    </x:row>
    <x:row r="558" ht="54" customHeight="1">
      <x:c r="A558" s="16" t="str">
        <x:v>zh-TW-2fb8917a506c</x:v>
      </x:c>
      <x:c r="B558" s="16" t="str">
        <x:v>zh-TW</x:v>
      </x:c>
      <x:c r="C558" s="16" t="str">
        <x:v>Time Gazer</x:v>
      </x:c>
      <x:c r="D558" s="16" t="str">
        <x:v>時間觀察者</x:v>
      </x:c>
      <x:c r="E558" s="16" t="str">
        <x:v>Sword &amp; Shield</x:v>
      </x:c>
      <x:c r="F558" s="16" t="str">
        <x:v>Card set / collection</x:v>
      </x:c>
      <x:c r="G558" s="16" t="str">
        <x:v>S10D</x:v>
      </x:c>
      <x:c r="H558" s="16" t="str">
        <x:v>Traditional Chinese set code in source index; language suffix not included</x:v>
      </x:c>
      <x:c r="I558" s="16" t="str">
        <x:v>2022-04-22</x:v>
      </x:c>
      <x:c r="J558" s="16" t="str">
        <x:v>day</x:v>
      </x:c>
      <x:c r="K558" s="16" t="str">
        <x:v>Taiwan date; other regional dates may differ</x:v>
      </x:c>
      <x:c r="L558" s="16"/>
      <x:c r="M558" s="16"/>
      <x:c r="N558" s="16"/>
      <x:c r="O558" s="16" t="n">
        <x:v>88</x:v>
      </x:c>
      <x:c r="P558" s="16" t="n">
        <x:v>88</x:v>
      </x:c>
      <x:c r="Q558" s="16"/>
      <x:c r="R558" s="16"/>
      <x:c r="S558" s="16" t="str"/>
      <x:c r="T558" s="16" t="str">
        <x:v>https://bulbapedia.bulbagarden.net/wiki/Pok%C3%A9mon_in_Taiwan ; https://asia.pokemon-card.com/tw/card-search/</x:v>
      </x:c>
      <x:c r="U558" s="16" t="str">
        <x:v>NO — review only</x:v>
      </x:c>
    </x:row>
    <x:row r="559" ht="54" customHeight="1">
      <x:c r="A559" s="16" t="str">
        <x:v>zh-TW-34c58ef32c27</x:v>
      </x:c>
      <x:c r="B559" s="16" t="str">
        <x:v>zh-TW</x:v>
      </x:c>
      <x:c r="C559" s="16" t="str">
        <x:v>Dark Phantasma</x:v>
      </x:c>
      <x:c r="D559" s="16" t="str">
        <x:v>黑暗亡靈</x:v>
      </x:c>
      <x:c r="E559" s="16" t="str">
        <x:v>Sword &amp; Shield</x:v>
      </x:c>
      <x:c r="F559" s="16" t="str">
        <x:v>Card set / collection</x:v>
      </x:c>
      <x:c r="G559" s="16" t="str">
        <x:v>S10a</x:v>
      </x:c>
      <x:c r="H559" s="16" t="str">
        <x:v>Traditional Chinese set code in source index; language suffix not included</x:v>
      </x:c>
      <x:c r="I559" s="16" t="str">
        <x:v>2022-05-27</x:v>
      </x:c>
      <x:c r="J559" s="16" t="str">
        <x:v>day</x:v>
      </x:c>
      <x:c r="K559" s="16" t="str">
        <x:v>Taiwan date; other regional dates may differ</x:v>
      </x:c>
      <x:c r="L559" s="16"/>
      <x:c r="M559" s="16"/>
      <x:c r="N559" s="16"/>
      <x:c r="O559" s="16" t="n">
        <x:v>99</x:v>
      </x:c>
      <x:c r="P559" s="16" t="n">
        <x:v>99</x:v>
      </x:c>
      <x:c r="Q559" s="16"/>
      <x:c r="R559" s="16"/>
      <x:c r="S559" s="16" t="str"/>
      <x:c r="T559" s="16" t="str">
        <x:v>https://bulbapedia.bulbagarden.net/wiki/Pok%C3%A9mon_in_Taiwan ; https://asia.pokemon-card.com/tw/card-search/</x:v>
      </x:c>
      <x:c r="U559" s="16" t="str">
        <x:v>NO — review only</x:v>
      </x:c>
    </x:row>
    <x:row r="560" ht="54" customHeight="1">
      <x:c r="A560" s="16" t="str">
        <x:v>zh-TW-e470539f39cb</x:v>
      </x:c>
      <x:c r="B560" s="16" t="str">
        <x:v>zh-TW</x:v>
      </x:c>
      <x:c r="C560" s="16" t="str">
        <x:v>Pokémon GO</x:v>
      </x:c>
      <x:c r="D560" s="16" t="str">
        <x:v>Pokémon GO</x:v>
      </x:c>
      <x:c r="E560" s="16" t="str">
        <x:v>Sword &amp; Shield</x:v>
      </x:c>
      <x:c r="F560" s="16" t="str">
        <x:v>Card set / collection</x:v>
      </x:c>
      <x:c r="G560" s="16" t="str">
        <x:v>S10b</x:v>
      </x:c>
      <x:c r="H560" s="16" t="str">
        <x:v>Official product-page identifier; language-scoped</x:v>
      </x:c>
      <x:c r="I560" s="16" t="str">
        <x:v>2022-06-17</x:v>
      </x:c>
      <x:c r="J560" s="16" t="str">
        <x:v>day</x:v>
      </x:c>
      <x:c r="K560" s="16" t="str">
        <x:v>Taiwan date; other regional dates may differ</x:v>
      </x:c>
      <x:c r="L560" s="16"/>
      <x:c r="M560" s="16"/>
      <x:c r="N560" s="16"/>
      <x:c r="O560" s="16" t="n">
        <x:v>93</x:v>
      </x:c>
      <x:c r="P560" s="16" t="n">
        <x:v>93</x:v>
      </x:c>
      <x:c r="Q560" s="16"/>
      <x:c r="R560" s="16"/>
      <x:c r="S560" s="16" t="str"/>
      <x:c r="T560" s="16" t="str">
        <x:v>https://bulbapedia.bulbagarden.net/wiki/Pok%C3%A9mon_in_Taiwan ; https://asia.pokemon-card.com/tw/card-search/</x:v>
      </x:c>
      <x:c r="U560" s="16" t="str">
        <x:v>NO — review only</x:v>
      </x:c>
    </x:row>
    <x:row r="561" ht="54" customHeight="1">
      <x:c r="A561" s="16" t="str">
        <x:v>zh-TW-94514bb5b58e</x:v>
      </x:c>
      <x:c r="B561" s="16" t="str">
        <x:v>zh-TW</x:v>
      </x:c>
      <x:c r="C561" s="16" t="str">
        <x:v>Lost Abyss</x:v>
      </x:c>
      <x:c r="D561" s="16" t="str">
        <x:v>迷途深淵</x:v>
      </x:c>
      <x:c r="E561" s="16" t="str">
        <x:v>Sword &amp; Shield</x:v>
      </x:c>
      <x:c r="F561" s="16" t="str">
        <x:v>Card set / collection</x:v>
      </x:c>
      <x:c r="G561" s="16" t="str">
        <x:v>S11</x:v>
      </x:c>
      <x:c r="H561" s="16" t="str">
        <x:v>Official Taiwan catalogue filter identifier (expansionCodes); printed mark not independently checked</x:v>
      </x:c>
      <x:c r="I561" s="16" t="str">
        <x:v>2022-07-29</x:v>
      </x:c>
      <x:c r="J561" s="16" t="str">
        <x:v>day</x:v>
      </x:c>
      <x:c r="K561" s="16" t="str">
        <x:v>Taiwan date; other regional dates may differ</x:v>
      </x:c>
      <x:c r="L561" s="16"/>
      <x:c r="M561" s="16"/>
      <x:c r="N561" s="16"/>
      <x:c r="O561" s="16" t="n">
        <x:v>127</x:v>
      </x:c>
      <x:c r="P561" s="16" t="n">
        <x:v>127</x:v>
      </x:c>
      <x:c r="Q561" s="16"/>
      <x:c r="R561" s="16"/>
      <x:c r="S561" s="16" t="str"/>
      <x:c r="T561" s="16" t="str">
        <x:v>https://asia.pokemon-card.com/tw/card-search/?pageNo=4 ; https://bulbapedia.bulbagarden.net/wiki/Pok%C3%A9mon_in_Taiwan ; https://asia.pokemon-card.com/tw/card-search/</x:v>
      </x:c>
      <x:c r="U561" s="16" t="str">
        <x:v>NO — review only</x:v>
      </x:c>
    </x:row>
    <x:row r="562" ht="54" customHeight="1">
      <x:c r="A562" s="16" t="str">
        <x:v>zh-TW-b04e14397ea6</x:v>
      </x:c>
      <x:c r="B562" s="16" t="str">
        <x:v>zh-TW</x:v>
      </x:c>
      <x:c r="C562" s="16" t="str">
        <x:v>VSTAR &amp; VMAX High-Class Deck: Deoxys</x:v>
      </x:c>
      <x:c r="D562" s="16" t="str">
        <x:v>VSTAR&amp;VMAX 高級牌組 代歐奇希斯</x:v>
      </x:c>
      <x:c r="E562" s="16" t="str">
        <x:v>Sword &amp; Shield</x:v>
      </x:c>
      <x:c r="F562" s="16" t="str">
        <x:v>Product / deck</x:v>
      </x:c>
      <x:c r="G562" s="16" t="str">
        <x:v>TW-HCD-DEOXYS</x:v>
      </x:c>
      <x:c r="H562" s="16" t="str">
        <x:v>Stackr internal identifier for VSTAR &amp; VMAX High-Class Deck: Deoxys</x:v>
      </x:c>
      <x:c r="I562" s="16" t="str">
        <x:v>2022-08-26</x:v>
      </x:c>
      <x:c r="J562" s="16" t="str">
        <x:v>day</x:v>
      </x:c>
      <x:c r="K562" s="16" t="str">
        <x:v>Taiwan date; other regional dates may differ</x:v>
      </x:c>
      <x:c r="L562" s="16"/>
      <x:c r="M562" s="16"/>
      <x:c r="N562" s="16"/>
      <x:c r="O562" s="16" t="n">
        <x:v>20</x:v>
      </x:c>
      <x:c r="P562" s="16" t="n">
        <x:v>20</x:v>
      </x:c>
      <x:c r="Q562" s="16"/>
      <x:c r="R562" s="16"/>
      <x:c r="S562" s="16" t="str"/>
      <x:c r="T562" s="16" t="str">
        <x:v>https://asia.pokemon-card.com/tw/card-search/ ; https://asia.pokemon-card.com/tw/card-search/ ; https://bulbapedia.bulbagarden.net/wiki/Pok%C3%A9mon_in_Taiwan</x:v>
      </x:c>
      <x:c r="U562" s="16" t="str">
        <x:v>NO — review only</x:v>
      </x:c>
    </x:row>
    <x:row r="563" ht="54" customHeight="1">
      <x:c r="A563" s="16" t="str">
        <x:v>zh-TW-d5f405f1ae6f</x:v>
      </x:c>
      <x:c r="B563" s="16" t="str">
        <x:v>zh-TW</x:v>
      </x:c>
      <x:c r="C563" s="16" t="str">
        <x:v>VSTAR &amp; VMAX High-Class Deck: Zeraora</x:v>
      </x:c>
      <x:c r="D563" s="16" t="str">
        <x:v>VSTAR&amp;VMAX 高級牌組 捷拉奧拉</x:v>
      </x:c>
      <x:c r="E563" s="16" t="str">
        <x:v>Sword &amp; Shield</x:v>
      </x:c>
      <x:c r="F563" s="16" t="str">
        <x:v>Product / deck</x:v>
      </x:c>
      <x:c r="G563" s="16" t="str">
        <x:v>SPZ</x:v>
      </x:c>
      <x:c r="H563" s="16" t="str">
        <x:v>Official Taiwan catalogue filter identifier (expansionCodes); printed mark not independently checked</x:v>
      </x:c>
      <x:c r="I563" s="16" t="str">
        <x:v>2022-08-26</x:v>
      </x:c>
      <x:c r="J563" s="16" t="str">
        <x:v>day</x:v>
      </x:c>
      <x:c r="K563" s="16" t="str">
        <x:v>Taiwan date; other regional dates may differ</x:v>
      </x:c>
      <x:c r="L563" s="16"/>
      <x:c r="M563" s="16"/>
      <x:c r="N563" s="16"/>
      <x:c r="O563" s="16" t="n">
        <x:v>20</x:v>
      </x:c>
      <x:c r="P563" s="16" t="n">
        <x:v>20</x:v>
      </x:c>
      <x:c r="Q563" s="16"/>
      <x:c r="R563" s="16"/>
      <x:c r="S563" s="16" t="str"/>
      <x:c r="T563" s="16" t="str">
        <x:v>https://asia.pokemon-card.com/tw/card-search/?pageNo=4 ; https://asia.pokemon-card.com/tw/card-search/ ; https://bulbapedia.bulbagarden.net/wiki/Pok%C3%A9mon_in_Taiwan</x:v>
      </x:c>
      <x:c r="U563" s="16" t="str">
        <x:v>NO — review only</x:v>
      </x:c>
    </x:row>
    <x:row r="564" ht="54" customHeight="1">
      <x:c r="A564" s="16" t="str">
        <x:v>zh-TW-c31260236d59</x:v>
      </x:c>
      <x:c r="B564" s="16" t="str">
        <x:v>zh-TW</x:v>
      </x:c>
      <x:c r="C564" s="16" t="str">
        <x:v>VSTAR Special Set</x:v>
      </x:c>
      <x:c r="D564" s="16" t="str">
        <x:v>VSTAR特別組合</x:v>
      </x:c>
      <x:c r="E564" s="16" t="str">
        <x:v>Sword &amp; Shield</x:v>
      </x:c>
      <x:c r="F564" s="16" t="str">
        <x:v>Product / deck</x:v>
      </x:c>
      <x:c r="G564" s="16" t="str">
        <x:v>TW-VSTAR-SS</x:v>
      </x:c>
      <x:c r="H564" s="16" t="str">
        <x:v>Stackr internal identifier for VSTAR Special Set</x:v>
      </x:c>
      <x:c r="I564" s="16" t="str">
        <x:v>2022-08-26</x:v>
      </x:c>
      <x:c r="J564" s="16" t="str">
        <x:v>day</x:v>
      </x:c>
      <x:c r="K564" s="16" t="str">
        <x:v>Taiwan date; other regional dates may differ</x:v>
      </x:c>
      <x:c r="L564" s="16"/>
      <x:c r="M564" s="16"/>
      <x:c r="N564" s="16"/>
      <x:c r="O564" s="16" t="n">
        <x:v>6</x:v>
      </x:c>
      <x:c r="P564" s="16" t="n">
        <x:v>6</x:v>
      </x:c>
      <x:c r="Q564" s="16"/>
      <x:c r="R564" s="16"/>
      <x:c r="S564" s="16" t="str"/>
      <x:c r="T564" s="16" t="str">
        <x:v>https://asia.pokemon-card.com/tw/card-search/ ; https://asia.pokemon-card.com/tw/card-search/ ; https://bulbapedia.bulbagarden.net/wiki/Pok%C3%A9mon_in_Taiwan</x:v>
      </x:c>
      <x:c r="U564" s="16" t="str">
        <x:v>NO — review only</x:v>
      </x:c>
    </x:row>
    <x:row r="565" ht="54" customHeight="1">
      <x:c r="A565" s="16" t="str">
        <x:v>zh-TW-0cda223fc777</x:v>
      </x:c>
      <x:c r="B565" s="16" t="str">
        <x:v>zh-TW</x:v>
      </x:c>
      <x:c r="C565" s="16" t="str">
        <x:v>Incandescent Arcana</x:v>
      </x:c>
      <x:c r="D565" s="16" t="str">
        <x:v>白熱奧祕</x:v>
      </x:c>
      <x:c r="E565" s="16" t="str">
        <x:v>Sword &amp; Shield</x:v>
      </x:c>
      <x:c r="F565" s="16" t="str">
        <x:v>Card set / collection</x:v>
      </x:c>
      <x:c r="G565" s="16" t="str">
        <x:v>S11a</x:v>
      </x:c>
      <x:c r="H565" s="16" t="str">
        <x:v>Official Taiwan catalogue filter identifier (expansionCodes); printed mark not independently checked</x:v>
      </x:c>
      <x:c r="I565" s="16" t="str">
        <x:v>2022-09-16</x:v>
      </x:c>
      <x:c r="J565" s="16" t="str">
        <x:v>day</x:v>
      </x:c>
      <x:c r="K565" s="16" t="str">
        <x:v>Taiwan date; other regional dates may differ</x:v>
      </x:c>
      <x:c r="L565" s="16"/>
      <x:c r="M565" s="16"/>
      <x:c r="N565" s="16"/>
      <x:c r="O565" s="16" t="n">
        <x:v>94</x:v>
      </x:c>
      <x:c r="P565" s="16" t="n">
        <x:v>94</x:v>
      </x:c>
      <x:c r="Q565" s="16"/>
      <x:c r="R565" s="16"/>
      <x:c r="S565" s="16" t="str"/>
      <x:c r="T565" s="16" t="str">
        <x:v>https://asia.pokemon-card.com/tw/card-search/?pageNo=4 ; https://bulbapedia.bulbagarden.net/wiki/Pok%C3%A9mon_in_Taiwan ; https://asia.pokemon-card.com/tw/card-search/</x:v>
      </x:c>
      <x:c r="U565" s="16" t="str">
        <x:v>NO — review only</x:v>
      </x:c>
    </x:row>
    <x:row r="566" ht="54" customHeight="1">
      <x:c r="A566" s="16" t="str">
        <x:v>zh-TW-1d3741cdbc9b</x:v>
      </x:c>
      <x:c r="B566" s="16" t="str">
        <x:v>zh-TW</x:v>
      </x:c>
      <x:c r="C566" s="16" t="str">
        <x:v>Start Deck 100 Special Edition</x:v>
      </x:c>
      <x:c r="D566" s="16" t="str">
        <x:v>初階牌組100 特別版</x:v>
      </x:c>
      <x:c r="E566" s="16" t="str">
        <x:v>Sword &amp; Shield</x:v>
      </x:c>
      <x:c r="F566" s="16" t="str">
        <x:v>Product / deck</x:v>
      </x:c>
      <x:c r="G566" s="16" t="str">
        <x:v>TW-SI-SP</x:v>
      </x:c>
      <x:c r="H566" s="16" t="str">
        <x:v>Stackr internal identifier for Start Deck 100 Special Edition; related to SI product family</x:v>
      </x:c>
      <x:c r="I566" s="16" t="str">
        <x:v>2022-10-02</x:v>
      </x:c>
      <x:c r="J566" s="16" t="str">
        <x:v>day</x:v>
      </x:c>
      <x:c r="K566" s="16" t="str">
        <x:v>Taiwan date; other regional dates may differ</x:v>
      </x:c>
      <x:c r="L566" s="16"/>
      <x:c r="M566" s="16"/>
      <x:c r="N566" s="16"/>
      <x:c r="O566" s="16" t="n">
        <x:v>25</x:v>
      </x:c>
      <x:c r="P566" s="16" t="n">
        <x:v>25</x:v>
      </x:c>
      <x:c r="Q566" s="16"/>
      <x:c r="R566" s="16"/>
      <x:c r="S566" s="16" t="str"/>
      <x:c r="T566" s="16" t="str">
        <x:v>https://asia.pokemon-card.com/tw/card-search/ ; https://asia.pokemon-card.com/tw/card-search/ ; https://bulbapedia.bulbagarden.net/wiki/Pok%C3%A9mon_in_Taiwan</x:v>
      </x:c>
      <x:c r="U566" s="16" t="str">
        <x:v>NO — review only</x:v>
      </x:c>
    </x:row>
    <x:row r="567" ht="54" customHeight="1">
      <x:c r="A567" s="16" t="str">
        <x:v>zh-TW-5be09528cd62</x:v>
      </x:c>
      <x:c r="B567" s="16" t="str">
        <x:v>zh-TW</x:v>
      </x:c>
      <x:c r="C567" s="16" t="str">
        <x:v>Paradigm Trigger</x:v>
      </x:c>
      <x:c r="D567" s="16" t="str">
        <x:v>思維激盪</x:v>
      </x:c>
      <x:c r="E567" s="16" t="str">
        <x:v>Sword &amp; Shield</x:v>
      </x:c>
      <x:c r="F567" s="16" t="str">
        <x:v>Card set / collection</x:v>
      </x:c>
      <x:c r="G567" s="16" t="str">
        <x:v>S12</x:v>
      </x:c>
      <x:c r="H567" s="16" t="str">
        <x:v>Official Taiwan catalogue filter identifier (expansionCodes); printed mark not independently checked</x:v>
      </x:c>
      <x:c r="I567" s="16" t="str">
        <x:v>2022-11-04</x:v>
      </x:c>
      <x:c r="J567" s="16" t="str">
        <x:v>day</x:v>
      </x:c>
      <x:c r="K567" s="16" t="str">
        <x:v>Taiwan date; other regional dates may differ</x:v>
      </x:c>
      <x:c r="L567" s="16"/>
      <x:c r="M567" s="16"/>
      <x:c r="N567" s="16"/>
      <x:c r="O567" s="16" t="n">
        <x:v>125</x:v>
      </x:c>
      <x:c r="P567" s="16" t="n">
        <x:v>125</x:v>
      </x:c>
      <x:c r="Q567" s="16"/>
      <x:c r="R567" s="16"/>
      <x:c r="S567" s="16" t="str"/>
      <x:c r="T567" s="16" t="str">
        <x:v>https://asia.pokemon-card.com/tw/card-search/?pageNo=4 ; https://bulbapedia.bulbagarden.net/wiki/Pok%C3%A9mon_in_Taiwan ; https://asia.pokemon-card.com/tw/card-search/</x:v>
      </x:c>
      <x:c r="U567" s="16" t="str">
        <x:v>NO — review only</x:v>
      </x:c>
    </x:row>
    <x:row r="568" ht="54" customHeight="1">
      <x:c r="A568" s="16" t="str">
        <x:v>zh-TW-35e579fae35b</x:v>
      </x:c>
      <x:c r="B568" s="16" t="str">
        <x:v>zh-TW</x:v>
      </x:c>
      <x:c r="C568" s="16" t="str">
        <x:v>V Start Deck: Charizard</x:v>
      </x:c>
      <x:c r="D568" s="16" t="str">
        <x:v>V初階牌組 噴火龍</x:v>
      </x:c>
      <x:c r="E568" s="16" t="str">
        <x:v>Sword &amp; Shield</x:v>
      </x:c>
      <x:c r="F568" s="16" t="str">
        <x:v>Product / deck</x:v>
      </x:c>
      <x:c r="G568" s="16" t="str">
        <x:v>TW-VSD-CHARIZARD</x:v>
      </x:c>
      <x:c r="H568" s="16" t="str">
        <x:v>Stackr internal identifier for V Start Deck: Charizard</x:v>
      </x:c>
      <x:c r="I568" s="16" t="str">
        <x:v>2022-11-04</x:v>
      </x:c>
      <x:c r="J568" s="16" t="str">
        <x:v>day</x:v>
      </x:c>
      <x:c r="K568" s="16" t="str">
        <x:v>Taiwan date; other regional dates may differ</x:v>
      </x:c>
      <x:c r="L568" s="16"/>
      <x:c r="M568" s="16"/>
      <x:c r="N568" s="16"/>
      <x:c r="O568" s="16" t="n">
        <x:v>21</x:v>
      </x:c>
      <x:c r="P568" s="16" t="n">
        <x:v>21</x:v>
      </x:c>
      <x:c r="Q568" s="16"/>
      <x:c r="R568" s="16"/>
      <x:c r="S568" s="16" t="str"/>
      <x:c r="T568" s="16" t="str">
        <x:v>https://asia.pokemon-card.com/tw/card-search/ ; https://asia.pokemon-card.com/tw/card-search/ ; https://bulbapedia.bulbagarden.net/wiki/Pok%C3%A9mon_in_Taiwan</x:v>
      </x:c>
      <x:c r="U568" s="16" t="str">
        <x:v>NO — review only</x:v>
      </x:c>
    </x:row>
    <x:row r="569" ht="54" customHeight="1">
      <x:c r="A569" s="16" t="str">
        <x:v>zh-TW-a438f4fbf85e</x:v>
      </x:c>
      <x:c r="B569" s="16" t="str">
        <x:v>zh-TW</x:v>
      </x:c>
      <x:c r="C569" s="16" t="str">
        <x:v>V Start Deck: Mewtwo</x:v>
      </x:c>
      <x:c r="D569" s="16" t="str">
        <x:v>V初階牌組 超夢</x:v>
      </x:c>
      <x:c r="E569" s="16" t="str">
        <x:v>Sword &amp; Shield</x:v>
      </x:c>
      <x:c r="F569" s="16" t="str">
        <x:v>Product / deck</x:v>
      </x:c>
      <x:c r="G569" s="16" t="str">
        <x:v>TW-VSD-MEWTWO</x:v>
      </x:c>
      <x:c r="H569" s="16" t="str">
        <x:v>Stackr internal identifier for V Start Deck: Mewtwo</x:v>
      </x:c>
      <x:c r="I569" s="16" t="str">
        <x:v>2022-11-04</x:v>
      </x:c>
      <x:c r="J569" s="16" t="str">
        <x:v>day</x:v>
      </x:c>
      <x:c r="K569" s="16" t="str">
        <x:v>Taiwan date; other regional dates may differ</x:v>
      </x:c>
      <x:c r="L569" s="16"/>
      <x:c r="M569" s="16"/>
      <x:c r="N569" s="16"/>
      <x:c r="O569" s="16" t="n">
        <x:v>22</x:v>
      </x:c>
      <x:c r="P569" s="16" t="n">
        <x:v>22</x:v>
      </x:c>
      <x:c r="Q569" s="16"/>
      <x:c r="R569" s="16"/>
      <x:c r="S569" s="16" t="str"/>
      <x:c r="T569" s="16" t="str">
        <x:v>https://asia.pokemon-card.com/tw/card-search/ ; https://asia.pokemon-card.com/tw/card-search/ ; https://bulbapedia.bulbagarden.net/wiki/Pok%C3%A9mon_in_Taiwan</x:v>
      </x:c>
      <x:c r="U569" s="16" t="str">
        <x:v>NO — review only</x:v>
      </x:c>
    </x:row>
    <x:row r="570" ht="54" customHeight="1">
      <x:c r="A570" s="16" t="str">
        <x:v>zh-TW-698096b84e15</x:v>
      </x:c>
      <x:c r="B570" s="16" t="str">
        <x:v>zh-TW</x:v>
      </x:c>
      <x:c r="C570" s="16" t="str">
        <x:v>V Start Deck: Pikachu</x:v>
      </x:c>
      <x:c r="D570" s="16" t="str">
        <x:v>V初階牌組 皮卡丘</x:v>
      </x:c>
      <x:c r="E570" s="16" t="str">
        <x:v>Sword &amp; Shield</x:v>
      </x:c>
      <x:c r="F570" s="16" t="str">
        <x:v>Product / deck</x:v>
      </x:c>
      <x:c r="G570" s="16" t="str">
        <x:v>TW-VSD-PIKACHU</x:v>
      </x:c>
      <x:c r="H570" s="16" t="str">
        <x:v>Stackr internal identifier for V Start Deck: Pikachu</x:v>
      </x:c>
      <x:c r="I570" s="16" t="str">
        <x:v>2022-11-04</x:v>
      </x:c>
      <x:c r="J570" s="16" t="str">
        <x:v>day</x:v>
      </x:c>
      <x:c r="K570" s="16" t="str">
        <x:v>Taiwan date; other regional dates may differ</x:v>
      </x:c>
      <x:c r="L570" s="16"/>
      <x:c r="M570" s="16"/>
      <x:c r="N570" s="16"/>
      <x:c r="O570" s="16" t="n">
        <x:v>22</x:v>
      </x:c>
      <x:c r="P570" s="16" t="n">
        <x:v>22</x:v>
      </x:c>
      <x:c r="Q570" s="16"/>
      <x:c r="R570" s="16"/>
      <x:c r="S570" s="16" t="str"/>
      <x:c r="T570" s="16" t="str">
        <x:v>https://asia.pokemon-card.com/tw/card-search/ ; https://asia.pokemon-card.com/tw/card-search/ ; https://bulbapedia.bulbagarden.net/wiki/Pok%C3%A9mon_in_Taiwan</x:v>
      </x:c>
      <x:c r="U570" s="16" t="str">
        <x:v>NO — review only</x:v>
      </x:c>
    </x:row>
    <x:row r="571" ht="54" customHeight="1">
      <x:c r="A571" s="16" t="str">
        <x:v>zh-TW-f19bf711ab15</x:v>
      </x:c>
      <x:c r="B571" s="16" t="str">
        <x:v>zh-TW</x:v>
      </x:c>
      <x:c r="C571" s="16" t="str">
        <x:v>VSTAR Universe</x:v>
      </x:c>
      <x:c r="D571" s="16" t="str">
        <x:v>天地萬物VSTAR</x:v>
      </x:c>
      <x:c r="E571" s="16" t="str">
        <x:v>Sword &amp; Shield</x:v>
      </x:c>
      <x:c r="F571" s="16" t="str">
        <x:v>Card set / collection</x:v>
      </x:c>
      <x:c r="G571" s="16" t="str">
        <x:v>S12a</x:v>
      </x:c>
      <x:c r="H571" s="16" t="str">
        <x:v>Official product-page identifier; language-scoped</x:v>
      </x:c>
      <x:c r="I571" s="16" t="str">
        <x:v>2022-12-16</x:v>
      </x:c>
      <x:c r="J571" s="16" t="str">
        <x:v>day</x:v>
      </x:c>
      <x:c r="K571" s="16" t="str">
        <x:v>Taiwan date; other regional dates may differ</x:v>
      </x:c>
      <x:c r="L571" s="16"/>
      <x:c r="M571" s="16"/>
      <x:c r="N571" s="16"/>
      <x:c r="O571" s="16" t="n">
        <x:v>262</x:v>
      </x:c>
      <x:c r="P571" s="16" t="n">
        <x:v>262</x:v>
      </x:c>
      <x:c r="Q571" s="16"/>
      <x:c r="R571" s="16"/>
      <x:c r="S571" s="16" t="str"/>
      <x:c r="T571" s="16" t="str">
        <x:v>https://bulbapedia.bulbagarden.net/wiki/Pok%C3%A9mon_in_Taiwan ; https://asia.pokemon-card.com/tw/card-search/</x:v>
      </x:c>
      <x:c r="U571" s="16" t="str">
        <x:v>NO — review only</x:v>
      </x:c>
    </x:row>
    <x:row r="572" ht="54" customHeight="1">
      <x:c r="A572" s="16" t="str">
        <x:v>zh-TW-6213b9de84cd</x:v>
      </x:c>
      <x:c r="B572" s="16" t="str">
        <x:v>zh-TW</x:v>
      </x:c>
      <x:c r="C572" s="16" t="str">
        <x:v>Special Deck Set: Charizard VSTAR vs Rayquaza VMAX</x:v>
      </x:c>
      <x:c r="D572" s="16" t="str">
        <x:v>特別牌組組合 噴火龍VSTAR vs 烈空坐VMAX</x:v>
      </x:c>
      <x:c r="E572" s="16" t="str">
        <x:v>Sword &amp; Shield</x:v>
      </x:c>
      <x:c r="F572" s="16" t="str">
        <x:v>Product / deck</x:v>
      </x:c>
      <x:c r="G572" s="16" t="str">
        <x:v>SO</x:v>
      </x:c>
      <x:c r="H572" s="16" t="str">
        <x:v>Official Taiwan catalogue filter identifier (expansionCodes); printed mark not independently checked</x:v>
      </x:c>
      <x:c r="I572" s="16" t="str">
        <x:v>2023-01-13</x:v>
      </x:c>
      <x:c r="J572" s="16" t="str">
        <x:v>day</x:v>
      </x:c>
      <x:c r="K572" s="16" t="str">
        <x:v>Taiwan date; other regional dates may differ</x:v>
      </x:c>
      <x:c r="L572" s="16"/>
      <x:c r="M572" s="16"/>
      <x:c r="N572" s="16"/>
      <x:c r="O572" s="16" t="n">
        <x:v>32</x:v>
      </x:c>
      <x:c r="P572" s="16" t="n">
        <x:v>32</x:v>
      </x:c>
      <x:c r="Q572" s="16"/>
      <x:c r="R572" s="16"/>
      <x:c r="S572" s="16" t="str"/>
      <x:c r="T572" s="16" t="str">
        <x:v>https://asia.pokemon-card.com/tw/card-search/?pageNo=4 ; https://asia.pokemon-card.com/tw/card-search/ ; https://bulbapedia.bulbagarden.net/wiki/Pok%C3%A9mon_in_Taiwan</x:v>
      </x:c>
      <x:c r="U572" s="16" t="str">
        <x:v>NO — review only</x:v>
      </x:c>
    </x:row>
    <x:row r="573" ht="54" customHeight="1">
      <x:c r="A573" s="16" t="str">
        <x:v>zh-TW-15c77b4e7ab4</x:v>
      </x:c>
      <x:c r="B573" s="16" t="str">
        <x:v>zh-TW</x:v>
      </x:c>
      <x:c r="C573" s="16" t="str">
        <x:v>Scarlet ex</x:v>
      </x:c>
      <x:c r="D573" s="16" t="str">
        <x:v>朱ex</x:v>
      </x:c>
      <x:c r="E573" s="16" t="str">
        <x:v>Scarlet &amp; Violet</x:v>
      </x:c>
      <x:c r="F573" s="16" t="str">
        <x:v>Card set / collection</x:v>
      </x:c>
      <x:c r="G573" s="16" t="str">
        <x:v>SV1S</x:v>
      </x:c>
      <x:c r="H573" s="16" t="str">
        <x:v>Official Taiwan catalogue filter identifier (expansionCodes); printed mark not independently checked</x:v>
      </x:c>
      <x:c r="I573" s="16" t="str">
        <x:v>2023-02-03</x:v>
      </x:c>
      <x:c r="J573" s="16" t="str">
        <x:v>day</x:v>
      </x:c>
      <x:c r="K573" s="16" t="str">
        <x:v>Taiwan date; other regional dates may differ</x:v>
      </x:c>
      <x:c r="L573" s="16"/>
      <x:c r="M573" s="16"/>
      <x:c r="N573" s="16"/>
      <x:c r="O573" s="16" t="n">
        <x:v>108</x:v>
      </x:c>
      <x:c r="P573" s="16" t="n">
        <x:v>108</x:v>
      </x:c>
      <x:c r="Q573" s="16"/>
      <x:c r="R573" s="16"/>
      <x:c r="S573" s="16" t="str"/>
      <x:c r="T573" s="16" t="str">
        <x:v>https://asia.pokemon-card.com/tw/card-search/?pageNo=3 ; https://bulbapedia.bulbagarden.net/wiki/Pok%C3%A9mon_in_Taiwan ; https://asia.pokemon-card.com/tw/card-search/</x:v>
      </x:c>
      <x:c r="U573" s="16" t="str">
        <x:v>NO — review only</x:v>
      </x:c>
    </x:row>
    <x:row r="574" ht="54" customHeight="1">
      <x:c r="A574" s="16" t="str">
        <x:v>zh-TW-1431bed2cddd</x:v>
      </x:c>
      <x:c r="B574" s="16" t="str">
        <x:v>zh-TW</x:v>
      </x:c>
      <x:c r="C574" s="16" t="str">
        <x:v>Starter Set ex: Fuecoco &amp; Ampharos ex</x:v>
      </x:c>
      <x:c r="D574" s="16" t="str">
        <x:v>起始組合ex 呆火鱷&amp;電龍 ex</x:v>
      </x:c>
      <x:c r="E574" s="16" t="str">
        <x:v>Scarlet &amp; Violet</x:v>
      </x:c>
      <x:c r="F574" s="16" t="str">
        <x:v>Product / deck</x:v>
      </x:c>
      <x:c r="G574" s="16" t="str">
        <x:v>TW-SSEX-FUECOCO</x:v>
      </x:c>
      <x:c r="H574" s="16" t="str">
        <x:v>Stackr internal identifier for Starter Set ex: Fuecoco &amp; Ampharos ex</x:v>
      </x:c>
      <x:c r="I574" s="16" t="str">
        <x:v>2023-02-03</x:v>
      </x:c>
      <x:c r="J574" s="16" t="str">
        <x:v>day</x:v>
      </x:c>
      <x:c r="K574" s="16" t="str">
        <x:v>Taiwan date; other regional dates may differ</x:v>
      </x:c>
      <x:c r="L574" s="16"/>
      <x:c r="M574" s="16"/>
      <x:c r="N574" s="16"/>
      <x:c r="O574" s="16" t="n">
        <x:v>24</x:v>
      </x:c>
      <x:c r="P574" s="16" t="n">
        <x:v>24</x:v>
      </x:c>
      <x:c r="Q574" s="16"/>
      <x:c r="R574" s="16"/>
      <x:c r="S574" s="16" t="str"/>
      <x:c r="T574" s="16" t="str">
        <x:v>https://asia.pokemon-card.com/tw/card-search/ ; https://asia.pokemon-card.com/tw/card-search/ ; https://bulbapedia.bulbagarden.net/wiki/Pok%C3%A9mon_in_Taiwan</x:v>
      </x:c>
      <x:c r="U574" s="16" t="str">
        <x:v>NO — review only</x:v>
      </x:c>
    </x:row>
    <x:row r="575" ht="54" customHeight="1">
      <x:c r="A575" s="16" t="str">
        <x:v>zh-TW-0e91100f19e4</x:v>
      </x:c>
      <x:c r="B575" s="16" t="str">
        <x:v>zh-TW</x:v>
      </x:c>
      <x:c r="C575" s="16" t="str">
        <x:v>Starter Set ex: Quaxly &amp; Mimikyu ex</x:v>
      </x:c>
      <x:c r="D575" s="16" t="str">
        <x:v>起始組合ex 潤水鴨&amp;謎擬Ｑ ex</x:v>
      </x:c>
      <x:c r="E575" s="16" t="str">
        <x:v>Scarlet &amp; Violet</x:v>
      </x:c>
      <x:c r="F575" s="16" t="str">
        <x:v>Product / deck</x:v>
      </x:c>
      <x:c r="G575" s="16" t="str">
        <x:v>TW-SSEX-QUAXLY</x:v>
      </x:c>
      <x:c r="H575" s="16" t="str">
        <x:v>Stackr internal identifier for Starter Set ex: Quaxly &amp; Mimikyu ex</x:v>
      </x:c>
      <x:c r="I575" s="16" t="str">
        <x:v>2023-02-03</x:v>
      </x:c>
      <x:c r="J575" s="16" t="str">
        <x:v>day</x:v>
      </x:c>
      <x:c r="K575" s="16" t="str">
        <x:v>Taiwan date; other regional dates may differ</x:v>
      </x:c>
      <x:c r="L575" s="16"/>
      <x:c r="M575" s="16"/>
      <x:c r="N575" s="16"/>
      <x:c r="O575" s="16" t="n">
        <x:v>26</x:v>
      </x:c>
      <x:c r="P575" s="16" t="n">
        <x:v>26</x:v>
      </x:c>
      <x:c r="Q575" s="16"/>
      <x:c r="R575" s="16"/>
      <x:c r="S575" s="16" t="str"/>
      <x:c r="T575" s="16" t="str">
        <x:v>https://asia.pokemon-card.com/tw/card-search/ ; https://asia.pokemon-card.com/tw/card-search/ ; https://bulbapedia.bulbagarden.net/wiki/Pok%C3%A9mon_in_Taiwan</x:v>
      </x:c>
      <x:c r="U575" s="16" t="str">
        <x:v>NO — review only</x:v>
      </x:c>
    </x:row>
    <x:row r="576" ht="54" customHeight="1">
      <x:c r="A576" s="16" t="str">
        <x:v>zh-TW-097b4570ee69</x:v>
      </x:c>
      <x:c r="B576" s="16" t="str">
        <x:v>zh-TW</x:v>
      </x:c>
      <x:c r="C576" s="16" t="str">
        <x:v>Starter Set ex: Sprigatito &amp; Lucario ex</x:v>
      </x:c>
      <x:c r="D576" s="16" t="str">
        <x:v>起始組合ex 新葉喵&amp;路卡利歐 ex</x:v>
      </x:c>
      <x:c r="E576" s="16" t="str">
        <x:v>Scarlet &amp; Violet</x:v>
      </x:c>
      <x:c r="F576" s="16" t="str">
        <x:v>Product / deck</x:v>
      </x:c>
      <x:c r="G576" s="16" t="str">
        <x:v>SVAM</x:v>
      </x:c>
      <x:c r="H576" s="16" t="str">
        <x:v>Official Taiwan catalogue filter identifier (expansionCodes); printed mark not independently checked</x:v>
      </x:c>
      <x:c r="I576" s="16" t="str">
        <x:v>2023-02-03</x:v>
      </x:c>
      <x:c r="J576" s="16" t="str">
        <x:v>day</x:v>
      </x:c>
      <x:c r="K576" s="16" t="str">
        <x:v>Taiwan date; other regional dates may differ</x:v>
      </x:c>
      <x:c r="L576" s="16"/>
      <x:c r="M576" s="16"/>
      <x:c r="N576" s="16"/>
      <x:c r="O576" s="16" t="n">
        <x:v>25</x:v>
      </x:c>
      <x:c r="P576" s="16" t="n">
        <x:v>25</x:v>
      </x:c>
      <x:c r="Q576" s="16"/>
      <x:c r="R576" s="16"/>
      <x:c r="S576" s="16" t="str"/>
      <x:c r="T576" s="16" t="str">
        <x:v>https://asia.pokemon-card.com/tw/card-search/?pageNo=4 ; https://asia.pokemon-card.com/tw/card-search/ ; https://bulbapedia.bulbagarden.net/wiki/Pok%C3%A9mon_in_Taiwan</x:v>
      </x:c>
      <x:c r="U576" s="16" t="str">
        <x:v>NO — review only</x:v>
      </x:c>
    </x:row>
    <x:row r="577" ht="54" customHeight="1">
      <x:c r="A577" s="16" t="str">
        <x:v>zh-TW-88527930c211</x:v>
      </x:c>
      <x:c r="B577" s="16" t="str">
        <x:v>zh-TW</x:v>
      </x:c>
      <x:c r="C577" s="16" t="str">
        <x:v>Violet ex</x:v>
      </x:c>
      <x:c r="D577" s="16" t="str">
        <x:v>紫ex</x:v>
      </x:c>
      <x:c r="E577" s="16" t="str">
        <x:v>Scarlet &amp; Violet</x:v>
      </x:c>
      <x:c r="F577" s="16" t="str">
        <x:v>Card set / collection</x:v>
      </x:c>
      <x:c r="G577" s="16" t="str">
        <x:v>SV1V</x:v>
      </x:c>
      <x:c r="H577" s="16" t="str">
        <x:v>Established Scarlet &amp; Violet series code for Violet ex in Traditional Chinese</x:v>
      </x:c>
      <x:c r="I577" s="16" t="str">
        <x:v>2023-02-03</x:v>
      </x:c>
      <x:c r="J577" s="16" t="str">
        <x:v>day</x:v>
      </x:c>
      <x:c r="K577" s="16" t="str">
        <x:v>Taiwan date; other regional dates may differ</x:v>
      </x:c>
      <x:c r="L577" s="16"/>
      <x:c r="M577" s="16"/>
      <x:c r="N577" s="16"/>
      <x:c r="O577" s="16" t="n">
        <x:v>108</x:v>
      </x:c>
      <x:c r="P577" s="16" t="n">
        <x:v>108</x:v>
      </x:c>
      <x:c r="Q577" s="16"/>
      <x:c r="R577" s="16"/>
      <x:c r="S577" s="16" t="str"/>
      <x:c r="T577" s="16" t="str">
        <x:v>https://bulbapedia.bulbagarden.net/wiki/Scarlet_%26_Violet_Era_%28TCG%29 ; https://bulbapedia.bulbagarden.net/wiki/Pok%C3%A9mon_in_Taiwan ; https://asia.pokemon-card.com/tw/card-search/</x:v>
      </x:c>
      <x:c r="U577" s="16" t="str">
        <x:v>NO — review only</x:v>
      </x:c>
    </x:row>
    <x:row r="578" ht="54" customHeight="1">
      <x:c r="A578" s="16" t="str">
        <x:v>zh-TW-ad64ada63d4e</x:v>
      </x:c>
      <x:c r="B578" s="16" t="str">
        <x:v>zh-TW</x:v>
      </x:c>
      <x:c r="C578" s="16" t="str">
        <x:v>Premium Trainer Box ex</x:v>
      </x:c>
      <x:c r="D578" s="16" t="str">
        <x:v>頂級訓練家收藏箱ex</x:v>
      </x:c>
      <x:c r="E578" s="16" t="str">
        <x:v>Scarlet &amp; Violet</x:v>
      </x:c>
      <x:c r="F578" s="16" t="str">
        <x:v>Product / deck</x:v>
      </x:c>
      <x:c r="G578" s="16" t="str">
        <x:v>SVB</x:v>
      </x:c>
      <x:c r="H578" s="16" t="str">
        <x:v>Official Taiwan catalogue filter identifier (expansionCodes); printed mark not independently checked</x:v>
      </x:c>
      <x:c r="I578" s="16" t="str">
        <x:v>2023-03-03</x:v>
      </x:c>
      <x:c r="J578" s="16" t="str">
        <x:v>day</x:v>
      </x:c>
      <x:c r="K578" s="16" t="str">
        <x:v>Taiwan date; other regional dates may differ</x:v>
      </x:c>
      <x:c r="L578" s="16"/>
      <x:c r="M578" s="16"/>
      <x:c r="N578" s="16"/>
      <x:c r="O578" s="16" t="n">
        <x:v>36</x:v>
      </x:c>
      <x:c r="P578" s="16" t="n">
        <x:v>36</x:v>
      </x:c>
      <x:c r="Q578" s="16"/>
      <x:c r="R578" s="16"/>
      <x:c r="S578" s="16" t="str"/>
      <x:c r="T578" s="16" t="str">
        <x:v>https://asia.pokemon-card.com/tw/card-search/?pageNo=3 ; https://asia.pokemon-card.com/tw/card-search/ ; https://bulbapedia.bulbagarden.net/wiki/Pok%C3%A9mon_in_Taiwan</x:v>
      </x:c>
      <x:c r="U578" s="16" t="str">
        <x:v>NO — review only</x:v>
      </x:c>
    </x:row>
    <x:row r="579" ht="54" customHeight="1">
      <x:c r="A579" s="16" t="str">
        <x:v>zh-TW-a9afe84246a2</x:v>
      </x:c>
      <x:c r="B579" s="16" t="str">
        <x:v>zh-TW</x:v>
      </x:c>
      <x:c r="C579" s="16" t="str">
        <x:v>Triplet Beat</x:v>
      </x:c>
      <x:c r="D579" s="16" t="str">
        <x:v>三連音爆</x:v>
      </x:c>
      <x:c r="E579" s="16" t="str">
        <x:v>Scarlet &amp; Violet</x:v>
      </x:c>
      <x:c r="F579" s="16" t="str">
        <x:v>Card set / collection</x:v>
      </x:c>
      <x:c r="G579" s="16" t="str">
        <x:v>SV1a</x:v>
      </x:c>
      <x:c r="H579" s="16" t="str">
        <x:v>Official Taiwan catalogue filter identifier (expansionCodes); printed mark not independently checked</x:v>
      </x:c>
      <x:c r="I579" s="16" t="str">
        <x:v>2023-03-24</x:v>
      </x:c>
      <x:c r="J579" s="16" t="str">
        <x:v>day</x:v>
      </x:c>
      <x:c r="K579" s="16" t="str">
        <x:v>Taiwan date; other regional dates may differ</x:v>
      </x:c>
      <x:c r="L579" s="16"/>
      <x:c r="M579" s="16"/>
      <x:c r="N579" s="16"/>
      <x:c r="O579" s="16" t="n">
        <x:v>103</x:v>
      </x:c>
      <x:c r="P579" s="16" t="n">
        <x:v>103</x:v>
      </x:c>
      <x:c r="Q579" s="16"/>
      <x:c r="R579" s="16"/>
      <x:c r="S579" s="16" t="str"/>
      <x:c r="T579" s="16" t="str">
        <x:v>https://asia.pokemon-card.com/tw/card-search/?pageNo=3 ; https://bulbapedia.bulbagarden.net/wiki/Pok%C3%A9mon_in_Taiwan ; https://asia.pokemon-card.com/tw/card-search/</x:v>
      </x:c>
      <x:c r="U579" s="16" t="str">
        <x:v>NO — review only</x:v>
      </x:c>
    </x:row>
    <x:row r="580" ht="54" customHeight="1">
      <x:c r="A580" s="16" t="str">
        <x:v>zh-TW-294bff0baa30</x:v>
      </x:c>
      <x:c r="B580" s="16" t="str">
        <x:v>zh-TW</x:v>
      </x:c>
      <x:c r="C580" s="16" t="str">
        <x:v>Clay Burst</x:v>
      </x:c>
      <x:c r="D580" s="16" t="str">
        <x:v>碟旋暴擊</x:v>
      </x:c>
      <x:c r="E580" s="16" t="str">
        <x:v>Scarlet &amp; Violet</x:v>
      </x:c>
      <x:c r="F580" s="16" t="str">
        <x:v>Card set / collection</x:v>
      </x:c>
      <x:c r="G580" s="16" t="str">
        <x:v>SV2D</x:v>
      </x:c>
      <x:c r="H580" s="16" t="str">
        <x:v>Official Taiwan catalogue filter identifier (expansionCodes); printed mark not independently checked</x:v>
      </x:c>
      <x:c r="I580" s="16" t="str">
        <x:v>2023-04-28</x:v>
      </x:c>
      <x:c r="J580" s="16" t="str">
        <x:v>day</x:v>
      </x:c>
      <x:c r="K580" s="16" t="str">
        <x:v>Taiwan date; other regional dates may differ</x:v>
      </x:c>
      <x:c r="L580" s="16"/>
      <x:c r="M580" s="16"/>
      <x:c r="N580" s="16"/>
      <x:c r="O580" s="16" t="n">
        <x:v>99</x:v>
      </x:c>
      <x:c r="P580" s="16" t="n">
        <x:v>99</x:v>
      </x:c>
      <x:c r="Q580" s="16"/>
      <x:c r="R580" s="16"/>
      <x:c r="S580" s="16" t="str"/>
      <x:c r="T580" s="16" t="str">
        <x:v>https://asia.pokemon-card.com/tw/card-search/?pageNo=3 ; https://bulbapedia.bulbagarden.net/wiki/Pok%C3%A9mon_in_Taiwan ; https://asia.pokemon-card.com/tw/card-search/</x:v>
      </x:c>
      <x:c r="U580" s="16" t="str">
        <x:v>NO — review only</x:v>
      </x:c>
    </x:row>
    <x:row r="581" ht="54" customHeight="1">
      <x:c r="A581" s="16" t="str">
        <x:v>zh-TW-2d7f316f10e4</x:v>
      </x:c>
      <x:c r="B581" s="16" t="str">
        <x:v>zh-TW</x:v>
      </x:c>
      <x:c r="C581" s="16" t="str">
        <x:v>Snow Hazard</x:v>
      </x:c>
      <x:c r="D581" s="16" t="str">
        <x:v>冰雪險境</x:v>
      </x:c>
      <x:c r="E581" s="16" t="str">
        <x:v>Scarlet &amp; Violet</x:v>
      </x:c>
      <x:c r="F581" s="16" t="str">
        <x:v>Card set / collection</x:v>
      </x:c>
      <x:c r="G581" s="16" t="str">
        <x:v>SV2P</x:v>
      </x:c>
      <x:c r="H581" s="16" t="str">
        <x:v>Official Taiwan catalogue filter identifier (expansionCodes); printed mark not independently checked</x:v>
      </x:c>
      <x:c r="I581" s="16" t="str">
        <x:v>2023-04-28</x:v>
      </x:c>
      <x:c r="J581" s="16" t="str">
        <x:v>day</x:v>
      </x:c>
      <x:c r="K581" s="16" t="str">
        <x:v>Taiwan date; other regional dates may differ</x:v>
      </x:c>
      <x:c r="L581" s="16"/>
      <x:c r="M581" s="16"/>
      <x:c r="N581" s="16"/>
      <x:c r="O581" s="16" t="n">
        <x:v>99</x:v>
      </x:c>
      <x:c r="P581" s="16" t="n">
        <x:v>99</x:v>
      </x:c>
      <x:c r="Q581" s="16"/>
      <x:c r="R581" s="16"/>
      <x:c r="S581" s="16" t="str"/>
      <x:c r="T581" s="16" t="str">
        <x:v>https://asia.pokemon-card.com/tw/card-search/?pageNo=3 ; https://bulbapedia.bulbagarden.net/wiki/Pok%C3%A9mon_in_Taiwan ; https://asia.pokemon-card.com/tw/card-search/</x:v>
      </x:c>
      <x:c r="U581" s="16" t="str">
        <x:v>NO — review only</x:v>
      </x:c>
    </x:row>
    <x:row r="582" ht="54" customHeight="1">
      <x:c r="A582" s="16" t="str">
        <x:v>zh-TW-51bdd451cf9e</x:v>
      </x:c>
      <x:c r="B582" s="16" t="str">
        <x:v>zh-TW</x:v>
      </x:c>
      <x:c r="C582" s="16" t="str">
        <x:v>Starter Set ex: Pikachu Special Set</x:v>
      </x:c>
      <x:c r="D582" s="16" t="str">
        <x:v>起始組合ex 皮卡丘特別組合</x:v>
      </x:c>
      <x:c r="E582" s="16" t="str">
        <x:v>Scarlet &amp; Violet</x:v>
      </x:c>
      <x:c r="F582" s="16" t="str">
        <x:v>Product / deck</x:v>
      </x:c>
      <x:c r="G582" s="16" t="str">
        <x:v>SVC</x:v>
      </x:c>
      <x:c r="H582" s="16" t="str">
        <x:v>Official Taiwan catalogue filter identifier (expansionCodes); printed mark not independently checked</x:v>
      </x:c>
      <x:c r="I582" s="16" t="str">
        <x:v>2023-04-28</x:v>
      </x:c>
      <x:c r="J582" s="16" t="str">
        <x:v>day</x:v>
      </x:c>
      <x:c r="K582" s="16" t="str">
        <x:v>Taiwan date; other regional dates may differ</x:v>
      </x:c>
      <x:c r="L582" s="16"/>
      <x:c r="M582" s="16"/>
      <x:c r="N582" s="16"/>
      <x:c r="O582" s="16" t="n">
        <x:v>22</x:v>
      </x:c>
      <x:c r="P582" s="16" t="n">
        <x:v>22</x:v>
      </x:c>
      <x:c r="Q582" s="16"/>
      <x:c r="R582" s="16"/>
      <x:c r="S582" s="16" t="str"/>
      <x:c r="T582" s="16" t="str">
        <x:v>https://asia.pokemon-card.com/tw/card-search/?pageNo=3 ; https://asia.pokemon-card.com/tw/card-search/ ; https://bulbapedia.bulbagarden.net/wiki/Pok%C3%A9mon_in_Taiwan</x:v>
      </x:c>
      <x:c r="U582" s="16" t="str">
        <x:v>NO — review only</x:v>
      </x:c>
    </x:row>
    <x:row r="583" ht="54" customHeight="1">
      <x:c r="A583" s="16" t="str">
        <x:v>zh-TW-2bde775c2fe4</x:v>
      </x:c>
      <x:c r="B583" s="16" t="str">
        <x:v>zh-TW</x:v>
      </x:c>
      <x:c r="C583" s="16" t="str">
        <x:v>ex Special Set</x:v>
      </x:c>
      <x:c r="D583" s="16" t="str">
        <x:v>ex特別組合</x:v>
      </x:c>
      <x:c r="E583" s="16" t="str">
        <x:v>Scarlet &amp; Violet</x:v>
      </x:c>
      <x:c r="F583" s="16" t="str">
        <x:v>Product / deck</x:v>
      </x:c>
      <x:c r="G583" s="16" t="str">
        <x:v>SVP1</x:v>
      </x:c>
      <x:c r="H583" s="16" t="str">
        <x:v>Official Taiwan catalogue filter identifier (expansionCodes); printed mark not independently checked</x:v>
      </x:c>
      <x:c r="I583" s="16" t="str">
        <x:v>2023-06-02</x:v>
      </x:c>
      <x:c r="J583" s="16" t="str">
        <x:v>day</x:v>
      </x:c>
      <x:c r="K583" s="16" t="str">
        <x:v>Taiwan date; other regional dates may differ</x:v>
      </x:c>
      <x:c r="L583" s="16"/>
      <x:c r="M583" s="16"/>
      <x:c r="N583" s="16"/>
      <x:c r="O583" s="16" t="n">
        <x:v>7</x:v>
      </x:c>
      <x:c r="P583" s="16" t="n">
        <x:v>7</x:v>
      </x:c>
      <x:c r="Q583" s="16"/>
      <x:c r="R583" s="16"/>
      <x:c r="S583" s="16" t="str"/>
      <x:c r="T583" s="16" t="str">
        <x:v>https://asia.pokemon-card.com/tw/card-search/?pageNo=3 ; https://asia.pokemon-card.com/tw/card-search/ ; https://bulbapedia.bulbagarden.net/wiki/Pok%C3%A9mon_in_Taiwan</x:v>
      </x:c>
      <x:c r="U583" s="16" t="str">
        <x:v>NO — review only</x:v>
      </x:c>
    </x:row>
    <x:row r="584" ht="54" customHeight="1">
      <x:c r="A584" s="16" t="str">
        <x:v>zh-TW-0e83523e5e22</x:v>
      </x:c>
      <x:c r="B584" s="16" t="str">
        <x:v>zh-TW</x:v>
      </x:c>
      <x:c r="C584" s="16" t="str">
        <x:v>Pokémon Card 151</x:v>
      </x:c>
      <x:c r="D584" s="16" t="str">
        <x:v>寶可夢卡牌151</x:v>
      </x:c>
      <x:c r="E584" s="16" t="str">
        <x:v>Scarlet &amp; Violet</x:v>
      </x:c>
      <x:c r="F584" s="16" t="str">
        <x:v>Card set / collection</x:v>
      </x:c>
      <x:c r="G584" s="16" t="str">
        <x:v>SV2a</x:v>
      </x:c>
      <x:c r="H584" s="16" t="str">
        <x:v>Official product-page identifier; language-scoped</x:v>
      </x:c>
      <x:c r="I584" s="16" t="str">
        <x:v>2023-06-30</x:v>
      </x:c>
      <x:c r="J584" s="16" t="str">
        <x:v>day</x:v>
      </x:c>
      <x:c r="K584" s="16" t="str">
        <x:v>Taiwan date; other regional dates may differ</x:v>
      </x:c>
      <x:c r="L584" s="16" t="n">
        <x:v>165</x:v>
      </x:c>
      <x:c r="M584" s="16" t="n">
        <x:v>45</x:v>
      </x:c>
      <x:c r="N584" s="16"/>
      <x:c r="O584" s="16" t="n">
        <x:v>210</x:v>
      </x:c>
      <x:c r="P584" s="16" t="n">
        <x:v>210</x:v>
      </x:c>
      <x:c r="Q584" s="16" t="str">
        <x:v>210/165</x:v>
      </x:c>
      <x:c r="R584" s="16"/>
      <x:c r="S584" s="16"/>
      <x:c r="T584" s="16"/>
      <x:c r="U584" s="16" t="str">
        <x:v>NO — review only</x:v>
      </x:c>
    </x:row>
    <x:row r="585" ht="54" customHeight="1">
      <x:c r="A585" s="16" t="str">
        <x:v>zh-TW-16c34ed22967</x:v>
      </x:c>
      <x:c r="B585" s="16" t="str">
        <x:v>zh-TW</x:v>
      </x:c>
      <x:c r="C585" s="16" t="str">
        <x:v>ex Start Decks</x:v>
      </x:c>
      <x:c r="D585" s="16" t="str">
        <x:v>ex初階牌組</x:v>
      </x:c>
      <x:c r="E585" s="16" t="str">
        <x:v>Scarlet &amp; Violet</x:v>
      </x:c>
      <x:c r="F585" s="16" t="str">
        <x:v>Product / deck</x:v>
      </x:c>
      <x:c r="G585" s="16" t="str">
        <x:v>SVD</x:v>
      </x:c>
      <x:c r="H585" s="16" t="str">
        <x:v>Official Taiwan catalogue filter identifier (expansionCodes); printed mark not independently checked</x:v>
      </x:c>
      <x:c r="I585" s="16" t="str">
        <x:v>2023-07-21</x:v>
      </x:c>
      <x:c r="J585" s="16" t="str">
        <x:v>day</x:v>
      </x:c>
      <x:c r="K585" s="16" t="str">
        <x:v>Taiwan date; other regional dates may differ</x:v>
      </x:c>
      <x:c r="L585" s="16"/>
      <x:c r="M585" s="16"/>
      <x:c r="N585" s="16"/>
      <x:c r="O585" s="16" t="n">
        <x:v>147</x:v>
      </x:c>
      <x:c r="P585" s="16" t="n">
        <x:v>147</x:v>
      </x:c>
      <x:c r="Q585" s="16"/>
      <x:c r="R585" s="16"/>
      <x:c r="S585" s="16" t="str"/>
      <x:c r="T585" s="16" t="str">
        <x:v>https://asia.pokemon-card.com/tw/card-search/?pageNo=3 ; https://asia.pokemon-card.com/tw/card-search/ ; https://bulbapedia.bulbagarden.net/wiki/Pok%C3%A9mon_in_Taiwan</x:v>
      </x:c>
      <x:c r="U585" s="16" t="str">
        <x:v>NO — review only</x:v>
      </x:c>
    </x:row>
    <x:row r="586" ht="54" customHeight="1">
      <x:c r="A586" s="16" t="str">
        <x:v>zh-TW-17bf7041d61f</x:v>
      </x:c>
      <x:c r="B586" s="16" t="str">
        <x:v>zh-TW</x:v>
      </x:c>
      <x:c r="C586" s="16" t="str">
        <x:v>Deck Build Box Ruler of the Black Flame</x:v>
      </x:c>
      <x:c r="D586" s="16" t="str">
        <x:v>牌組構築BOX 黯焰支配者</x:v>
      </x:c>
      <x:c r="E586" s="16" t="str">
        <x:v>Scarlet &amp; Violet</x:v>
      </x:c>
      <x:c r="F586" s="16" t="str">
        <x:v>Product / deck</x:v>
      </x:c>
      <x:c r="G586" s="16" t="str">
        <x:v>SVF</x:v>
      </x:c>
      <x:c r="H586" s="16" t="str">
        <x:v>Official Taiwan catalogue filter identifier (expansionCodes); printed mark not independently checked</x:v>
      </x:c>
      <x:c r="I586" s="16" t="str">
        <x:v>2023-08-11</x:v>
      </x:c>
      <x:c r="J586" s="16" t="str">
        <x:v>day</x:v>
      </x:c>
      <x:c r="K586" s="16" t="str">
        <x:v>Taiwan date; other regional dates may differ</x:v>
      </x:c>
      <x:c r="L586" s="16"/>
      <x:c r="M586" s="16"/>
      <x:c r="N586" s="16"/>
      <x:c r="O586" s="16" t="n">
        <x:v>46</x:v>
      </x:c>
      <x:c r="P586" s="16" t="n">
        <x:v>46</x:v>
      </x:c>
      <x:c r="Q586" s="16"/>
      <x:c r="R586" s="16"/>
      <x:c r="S586" s="16" t="str"/>
      <x:c r="T586" s="16" t="str">
        <x:v>https://asia.pokemon-card.com/tw/card-search/?pageNo=3 ; https://asia.pokemon-card.com/tw/card-search/ ; https://bulbapedia.bulbagarden.net/wiki/Pok%C3%A9mon_in_Taiwan</x:v>
      </x:c>
      <x:c r="U586" s="16" t="str">
        <x:v>NO — review only</x:v>
      </x:c>
    </x:row>
    <x:row r="587" ht="54" customHeight="1">
      <x:c r="A587" s="16" t="str">
        <x:v>zh-TW-97582d8a2d7c</x:v>
      </x:c>
      <x:c r="B587" s="16" t="str">
        <x:v>zh-TW</x:v>
      </x:c>
      <x:c r="C587" s="16" t="str">
        <x:v>Ruler of the Black Flame</x:v>
      </x:c>
      <x:c r="D587" s="16" t="str">
        <x:v>黯焰支配者</x:v>
      </x:c>
      <x:c r="E587" s="16" t="str">
        <x:v>Scarlet &amp; Violet</x:v>
      </x:c>
      <x:c r="F587" s="16" t="str">
        <x:v>Card set / collection</x:v>
      </x:c>
      <x:c r="G587" s="16" t="str">
        <x:v>SV3</x:v>
      </x:c>
      <x:c r="H587" s="16" t="str">
        <x:v>Official product-page identifier; language-scoped</x:v>
      </x:c>
      <x:c r="I587" s="16" t="str">
        <x:v>2023-08-11</x:v>
      </x:c>
      <x:c r="J587" s="16" t="str">
        <x:v>day</x:v>
      </x:c>
      <x:c r="K587" s="16" t="str">
        <x:v>Taiwan date; other regional dates may differ</x:v>
      </x:c>
      <x:c r="L587" s="16"/>
      <x:c r="M587" s="16"/>
      <x:c r="N587" s="16"/>
      <x:c r="O587" s="16" t="n">
        <x:v>141</x:v>
      </x:c>
      <x:c r="P587" s="16" t="n">
        <x:v>141</x:v>
      </x:c>
      <x:c r="Q587" s="16"/>
      <x:c r="R587" s="16"/>
      <x:c r="S587" s="16" t="str"/>
      <x:c r="T587" s="16" t="str">
        <x:v>https://bulbapedia.bulbagarden.net/wiki/Pok%C3%A9mon_in_Taiwan ; https://asia.pokemon-card.com/tw/card-search/</x:v>
      </x:c>
      <x:c r="U587" s="16" t="str">
        <x:v>NO — review only</x:v>
      </x:c>
    </x:row>
    <x:row r="588" ht="54" customHeight="1">
      <x:c r="A588" s="16" t="str">
        <x:v>zh-TW-a993463f10a7</x:v>
      </x:c>
      <x:c r="B588" s="16" t="str">
        <x:v>zh-TW</x:v>
      </x:c>
      <x:c r="C588" s="16" t="str">
        <x:v>Raging Surf</x:v>
      </x:c>
      <x:c r="D588" s="16" t="str">
        <x:v>激狂駭浪</x:v>
      </x:c>
      <x:c r="E588" s="16" t="str">
        <x:v>Scarlet &amp; Violet</x:v>
      </x:c>
      <x:c r="F588" s="16" t="str">
        <x:v>Card set / collection</x:v>
      </x:c>
      <x:c r="G588" s="16" t="str">
        <x:v>SV3a</x:v>
      </x:c>
      <x:c r="H588" s="16" t="str">
        <x:v>Official Taiwan catalogue filter identifier (expansionCodes); printed mark not independently checked</x:v>
      </x:c>
      <x:c r="I588" s="16" t="str">
        <x:v>2023-09-29</x:v>
      </x:c>
      <x:c r="J588" s="16" t="str">
        <x:v>day</x:v>
      </x:c>
      <x:c r="K588" s="16" t="str">
        <x:v>Taiwan date; other regional dates may differ</x:v>
      </x:c>
      <x:c r="L588" s="16"/>
      <x:c r="M588" s="16"/>
      <x:c r="N588" s="16"/>
      <x:c r="O588" s="16" t="n">
        <x:v>92</x:v>
      </x:c>
      <x:c r="P588" s="16" t="n">
        <x:v>92</x:v>
      </x:c>
      <x:c r="Q588" s="16"/>
      <x:c r="R588" s="16"/>
      <x:c r="S588" s="16" t="str"/>
      <x:c r="T588" s="16" t="str">
        <x:v>https://asia.pokemon-card.com/tw/card-search/?pageNo=3 ; https://bulbapedia.bulbagarden.net/wiki/Pok%C3%A9mon_in_Taiwan ; https://asia.pokemon-card.com/tw/card-search/</x:v>
      </x:c>
      <x:c r="U588" s="16" t="str">
        <x:v>NO — review only</x:v>
      </x:c>
    </x:row>
    <x:row r="589" ht="54" customHeight="1">
      <x:c r="A589" s="16" t="str">
        <x:v>zh-TW-dd10ca3114e3</x:v>
      </x:c>
      <x:c r="B589" s="16" t="str">
        <x:v>zh-TW</x:v>
      </x:c>
      <x:c r="C589" s="16" t="str">
        <x:v>Starter Set: Tera Mewtwo ex</x:v>
      </x:c>
      <x:c r="D589" s="16" t="str">
        <x:v>起始組合 太晶 超夢ex</x:v>
      </x:c>
      <x:c r="E589" s="16" t="str">
        <x:v>Scarlet &amp; Violet</x:v>
      </x:c>
      <x:c r="F589" s="16" t="str">
        <x:v>Product / deck</x:v>
      </x:c>
      <x:c r="G589" s="16" t="str">
        <x:v>SVEM</x:v>
      </x:c>
      <x:c r="H589" s="16" t="str">
        <x:v>Official Taiwan catalogue filter identifier (expansionCodes); printed mark not independently checked</x:v>
      </x:c>
      <x:c r="I589" s="16" t="str">
        <x:v>2023-09-29</x:v>
      </x:c>
      <x:c r="J589" s="16" t="str">
        <x:v>day</x:v>
      </x:c>
      <x:c r="K589" s="16" t="str">
        <x:v>Taiwan date; other regional dates may differ</x:v>
      </x:c>
      <x:c r="L589" s="16"/>
      <x:c r="M589" s="16"/>
      <x:c r="N589" s="16"/>
      <x:c r="O589" s="16" t="n">
        <x:v>21</x:v>
      </x:c>
      <x:c r="P589" s="16" t="n">
        <x:v>21</x:v>
      </x:c>
      <x:c r="Q589" s="16"/>
      <x:c r="R589" s="16"/>
      <x:c r="S589" s="16" t="str"/>
      <x:c r="T589" s="16" t="str">
        <x:v>https://asia.pokemon-card.com/tw/card-search/?pageNo=3 ; https://asia.pokemon-card.com/tw/card-search/ ; https://bulbapedia.bulbagarden.net/wiki/Pok%C3%A9mon_in_Taiwan</x:v>
      </x:c>
      <x:c r="U589" s="16" t="str">
        <x:v>NO — review only</x:v>
      </x:c>
    </x:row>
    <x:row r="590" ht="54" customHeight="1">
      <x:c r="A590" s="16" t="str">
        <x:v>zh-TW-223009b1f580</x:v>
      </x:c>
      <x:c r="B590" s="16" t="str">
        <x:v>zh-TW</x:v>
      </x:c>
      <x:c r="C590" s="16" t="str">
        <x:v>Starter Set: Tera Skeledirge ex</x:v>
      </x:c>
      <x:c r="D590" s="16" t="str">
        <x:v>起始組合 太晶 骨紋巨聲鱷ex</x:v>
      </x:c>
      <x:c r="E590" s="16" t="str">
        <x:v>Scarlet &amp; Violet</x:v>
      </x:c>
      <x:c r="F590" s="16" t="str">
        <x:v>Product / deck</x:v>
      </x:c>
      <x:c r="G590" s="16" t="str">
        <x:v>SVEL</x:v>
      </x:c>
      <x:c r="H590" s="16" t="str">
        <x:v>Official Taiwan catalogue filter identifier (expansionCodes); printed mark not independently checked</x:v>
      </x:c>
      <x:c r="I590" s="16" t="str">
        <x:v>2023-09-29</x:v>
      </x:c>
      <x:c r="J590" s="16" t="str">
        <x:v>day</x:v>
      </x:c>
      <x:c r="K590" s="16" t="str">
        <x:v>Taiwan date; other regional dates may differ</x:v>
      </x:c>
      <x:c r="L590" s="16"/>
      <x:c r="M590" s="16"/>
      <x:c r="N590" s="16"/>
      <x:c r="O590" s="16" t="n">
        <x:v>21</x:v>
      </x:c>
      <x:c r="P590" s="16" t="n">
        <x:v>21</x:v>
      </x:c>
      <x:c r="Q590" s="16"/>
      <x:c r="R590" s="16"/>
      <x:c r="S590" s="16" t="str"/>
      <x:c r="T590" s="16" t="str">
        <x:v>https://asia.pokemon-card.com/tw/card-search/?pageNo=3 ; https://asia.pokemon-card.com/tw/card-search/ ; https://bulbapedia.bulbagarden.net/wiki/Pok%C3%A9mon_in_Taiwan</x:v>
      </x:c>
      <x:c r="U590" s="16" t="str">
        <x:v>NO — review only</x:v>
      </x:c>
    </x:row>
    <x:row r="591" ht="54" customHeight="1">
      <x:c r="A591" s="16" t="str">
        <x:v>zh-TW-6b7f80cfa785</x:v>
      </x:c>
      <x:c r="B591" s="16" t="str">
        <x:v>zh-TW</x:v>
      </x:c>
      <x:c r="C591" s="16" t="str">
        <x:v>Ancient Roar</x:v>
      </x:c>
      <x:c r="D591" s="16" t="str">
        <x:v>古代咆哮</x:v>
      </x:c>
      <x:c r="E591" s="16" t="str">
        <x:v>Scarlet &amp; Violet</x:v>
      </x:c>
      <x:c r="F591" s="16" t="str">
        <x:v>Card set / collection</x:v>
      </x:c>
      <x:c r="G591" s="16" t="str">
        <x:v>SV4K</x:v>
      </x:c>
      <x:c r="H591" s="16" t="str">
        <x:v>Official Taiwan catalogue filter identifier (expansionCodes); printed mark not independently checked</x:v>
      </x:c>
      <x:c r="I591" s="16" t="str">
        <x:v>2023-11-10</x:v>
      </x:c>
      <x:c r="J591" s="16" t="str">
        <x:v>day</x:v>
      </x:c>
      <x:c r="K591" s="16" t="str">
        <x:v>Taiwan date; other regional dates may differ</x:v>
      </x:c>
      <x:c r="L591" s="16"/>
      <x:c r="M591" s="16"/>
      <x:c r="N591" s="16"/>
      <x:c r="O591" s="16" t="n">
        <x:v>95</x:v>
      </x:c>
      <x:c r="P591" s="16" t="n">
        <x:v>95</x:v>
      </x:c>
      <x:c r="Q591" s="16"/>
      <x:c r="R591" s="16"/>
      <x:c r="S591" s="16" t="str"/>
      <x:c r="T591" s="16" t="str">
        <x:v>https://asia.pokemon-card.com/tw/card-search/?pageNo=3 ; https://bulbapedia.bulbagarden.net/wiki/Pok%C3%A9mon_in_Taiwan ; https://asia.pokemon-card.com/tw/card-search/</x:v>
      </x:c>
      <x:c r="U591" s="16" t="str">
        <x:v>NO — review only</x:v>
      </x:c>
    </x:row>
    <x:row r="592" ht="54" customHeight="1">
      <x:c r="A592" s="16" t="str">
        <x:v>zh-TW-f036e3380424</x:v>
      </x:c>
      <x:c r="B592" s="16" t="str">
        <x:v>zh-TW</x:v>
      </x:c>
      <x:c r="C592" s="16" t="str">
        <x:v>Future Flash</x:v>
      </x:c>
      <x:c r="D592" s="16" t="str">
        <x:v>未來閃光</x:v>
      </x:c>
      <x:c r="E592" s="16" t="str">
        <x:v>Scarlet &amp; Violet</x:v>
      </x:c>
      <x:c r="F592" s="16" t="str">
        <x:v>Card set / collection</x:v>
      </x:c>
      <x:c r="G592" s="16" t="str">
        <x:v>SV4M</x:v>
      </x:c>
      <x:c r="H592" s="16" t="str">
        <x:v>Official Taiwan catalogue filter identifier (expansionCodes); printed mark not independently checked</x:v>
      </x:c>
      <x:c r="I592" s="16" t="str">
        <x:v>2023-11-10</x:v>
      </x:c>
      <x:c r="J592" s="16" t="str">
        <x:v>day</x:v>
      </x:c>
      <x:c r="K592" s="16" t="str">
        <x:v>Taiwan date; other regional dates may differ</x:v>
      </x:c>
      <x:c r="L592" s="16"/>
      <x:c r="M592" s="16"/>
      <x:c r="N592" s="16"/>
      <x:c r="O592" s="16" t="n">
        <x:v>95</x:v>
      </x:c>
      <x:c r="P592" s="16" t="n">
        <x:v>95</x:v>
      </x:c>
      <x:c r="Q592" s="16"/>
      <x:c r="R592" s="16"/>
      <x:c r="S592" s="16" t="str"/>
      <x:c r="T592" s="16" t="str">
        <x:v>https://asia.pokemon-card.com/tw/card-search/?pageNo=3 ; https://bulbapedia.bulbagarden.net/wiki/Pok%C3%A9mon_in_Taiwan ; https://asia.pokemon-card.com/tw/card-search/</x:v>
      </x:c>
      <x:c r="U592" s="16" t="str">
        <x:v>NO — review only</x:v>
      </x:c>
    </x:row>
    <x:row r="593" ht="54" customHeight="1">
      <x:c r="A593" s="16" t="str">
        <x:v>zh-TW-e7000c380e86</x:v>
      </x:c>
      <x:c r="B593" s="16" t="str">
        <x:v>zh-TW</x:v>
      </x:c>
      <x:c r="C593" s="16" t="str">
        <x:v>Shiny Treasure ex</x:v>
      </x:c>
      <x:c r="D593" s="16" t="str">
        <x:v>閃色寶藏ex</x:v>
      </x:c>
      <x:c r="E593" s="16" t="str">
        <x:v>Scarlet &amp; Violet</x:v>
      </x:c>
      <x:c r="F593" s="16" t="str">
        <x:v>Card set / collection</x:v>
      </x:c>
      <x:c r="G593" s="16" t="str">
        <x:v>SV4a</x:v>
      </x:c>
      <x:c r="H593" s="16" t="str">
        <x:v>Official product-page identifier; language-scoped</x:v>
      </x:c>
      <x:c r="I593" s="16" t="str">
        <x:v>2023-12-22</x:v>
      </x:c>
      <x:c r="J593" s="16" t="str">
        <x:v>day</x:v>
      </x:c>
      <x:c r="K593" s="16" t="str">
        <x:v>Taiwan date; other regional dates may differ</x:v>
      </x:c>
      <x:c r="L593" s="16" t="n">
        <x:v>190</x:v>
      </x:c>
      <x:c r="M593" s="16" t="n">
        <x:v>170</x:v>
      </x:c>
      <x:c r="N593" s="16"/>
      <x:c r="O593" s="16" t="n">
        <x:v>360</x:v>
      </x:c>
      <x:c r="P593" s="16" t="n">
        <x:v>360</x:v>
      </x:c>
      <x:c r="Q593" s="16" t="str">
        <x:v>360/190</x:v>
      </x:c>
      <x:c r="R593" s="16"/>
      <x:c r="S593" s="16"/>
      <x:c r="T593" s="16"/>
      <x:c r="U593" s="16" t="str">
        <x:v>NO — review only</x:v>
      </x:c>
    </x:row>
    <x:row r="594" ht="54" customHeight="1">
      <x:c r="A594" s="16" t="str">
        <x:v>zh-TW-59408e931538</x:v>
      </x:c>
      <x:c r="B594" s="16" t="str">
        <x:v>zh-TW</x:v>
      </x:c>
      <x:c r="C594" s="16" t="str">
        <x:v>Cyber Judge</x:v>
      </x:c>
      <x:c r="D594" s="16" t="str">
        <x:v>異度審判</x:v>
      </x:c>
      <x:c r="E594" s="16" t="str">
        <x:v>Scarlet &amp; Violet</x:v>
      </x:c>
      <x:c r="F594" s="16" t="str">
        <x:v>Card set / collection</x:v>
      </x:c>
      <x:c r="G594" s="16" t="str">
        <x:v>SV5M</x:v>
      </x:c>
      <x:c r="H594" s="16" t="str">
        <x:v>Official Taiwan catalogue filter identifier (expansionCodes); printed mark not independently checked</x:v>
      </x:c>
      <x:c r="I594" s="16" t="str">
        <x:v>2024-02-02</x:v>
      </x:c>
      <x:c r="J594" s="16" t="str">
        <x:v>day</x:v>
      </x:c>
      <x:c r="K594" s="16" t="str">
        <x:v>Taiwan date; other regional dates may differ</x:v>
      </x:c>
      <x:c r="L594" s="16"/>
      <x:c r="M594" s="16"/>
      <x:c r="N594" s="16"/>
      <x:c r="O594" s="16" t="n">
        <x:v>100</x:v>
      </x:c>
      <x:c r="P594" s="16" t="n">
        <x:v>100</x:v>
      </x:c>
      <x:c r="Q594" s="16"/>
      <x:c r="R594" s="16"/>
      <x:c r="S594" s="16" t="str"/>
      <x:c r="T594" s="16" t="str">
        <x:v>https://asia.pokemon-card.com/tw/card-search/?pageNo=3 ; https://bulbapedia.bulbagarden.net/wiki/Pok%C3%A9mon_in_Taiwan ; https://asia.pokemon-card.com/tw/card-search/</x:v>
      </x:c>
      <x:c r="U594" s="16" t="str">
        <x:v>NO — review only</x:v>
      </x:c>
    </x:row>
    <x:row r="595" ht="54" customHeight="1">
      <x:c r="A595" s="16" t="str">
        <x:v>zh-TW-ce9c29c7e2f0</x:v>
      </x:c>
      <x:c r="B595" s="16" t="str">
        <x:v>zh-TW</x:v>
      </x:c>
      <x:c r="C595" s="16" t="str">
        <x:v>Starter Set: Ancient Koraidon ex</x:v>
      </x:c>
      <x:c r="D595" s="16" t="str">
        <x:v>起始組合 古代故勒頓ex</x:v>
      </x:c>
      <x:c r="E595" s="16" t="str">
        <x:v>Scarlet &amp; Violet</x:v>
      </x:c>
      <x:c r="F595" s="16" t="str">
        <x:v>Product / deck</x:v>
      </x:c>
      <x:c r="G595" s="16" t="str">
        <x:v>SVHK</x:v>
      </x:c>
      <x:c r="H595" s="16" t="str">
        <x:v>Official Taiwan catalogue filter identifier (expansionCodes); printed mark not independently checked</x:v>
      </x:c>
      <x:c r="I595" s="16" t="str">
        <x:v>2024-02-02</x:v>
      </x:c>
      <x:c r="J595" s="16" t="str">
        <x:v>day</x:v>
      </x:c>
      <x:c r="K595" s="16" t="str">
        <x:v>Taiwan date; other regional dates may differ</x:v>
      </x:c>
      <x:c r="L595" s="16"/>
      <x:c r="M595" s="16"/>
      <x:c r="N595" s="16"/>
      <x:c r="O595" s="16" t="n">
        <x:v>24</x:v>
      </x:c>
      <x:c r="P595" s="16" t="n">
        <x:v>24</x:v>
      </x:c>
      <x:c r="Q595" s="16"/>
      <x:c r="R595" s="16"/>
      <x:c r="S595" s="16" t="str"/>
      <x:c r="T595" s="16" t="str">
        <x:v>https://asia.pokemon-card.com/tw/card-search/?pageNo=3 ; https://asia.pokemon-card.com/tw/card-search/ ; https://bulbapedia.bulbagarden.net/wiki/Pok%C3%A9mon_in_Taiwan</x:v>
      </x:c>
      <x:c r="U595" s="16" t="str">
        <x:v>NO — review only</x:v>
      </x:c>
    </x:row>
    <x:row r="596" ht="54" customHeight="1">
      <x:c r="A596" s="16" t="str">
        <x:v>zh-TW-016cca521d10</x:v>
      </x:c>
      <x:c r="B596" s="16" t="str">
        <x:v>zh-TW</x:v>
      </x:c>
      <x:c r="C596" s="16" t="str">
        <x:v>Starter Set: Future Miraidon ex</x:v>
      </x:c>
      <x:c r="D596" s="16" t="str">
        <x:v>起始組合 未來密勒頓ex</x:v>
      </x:c>
      <x:c r="E596" s="16" t="str">
        <x:v>Scarlet &amp; Violet</x:v>
      </x:c>
      <x:c r="F596" s="16" t="str">
        <x:v>Product / deck</x:v>
      </x:c>
      <x:c r="G596" s="16" t="str">
        <x:v>SVHM</x:v>
      </x:c>
      <x:c r="H596" s="16" t="str">
        <x:v>Official Taiwan catalogue filter identifier (expansionCodes); printed mark not independently checked</x:v>
      </x:c>
      <x:c r="I596" s="16" t="str">
        <x:v>2024-02-02</x:v>
      </x:c>
      <x:c r="J596" s="16" t="str">
        <x:v>day</x:v>
      </x:c>
      <x:c r="K596" s="16" t="str">
        <x:v>Taiwan date; other regional dates may differ</x:v>
      </x:c>
      <x:c r="L596" s="16"/>
      <x:c r="M596" s="16"/>
      <x:c r="N596" s="16"/>
      <x:c r="O596" s="16" t="n">
        <x:v>24</x:v>
      </x:c>
      <x:c r="P596" s="16" t="n">
        <x:v>24</x:v>
      </x:c>
      <x:c r="Q596" s="16"/>
      <x:c r="R596" s="16"/>
      <x:c r="S596" s="16" t="str"/>
      <x:c r="T596" s="16" t="str">
        <x:v>https://asia.pokemon-card.com/tw/card-search/?pageNo=3 ; https://asia.pokemon-card.com/tw/card-search/ ; https://bulbapedia.bulbagarden.net/wiki/Pok%C3%A9mon_in_Taiwan</x:v>
      </x:c>
      <x:c r="U596" s="16" t="str">
        <x:v>NO — review only</x:v>
      </x:c>
    </x:row>
    <x:row r="597" ht="54" customHeight="1">
      <x:c r="A597" s="16" t="str">
        <x:v>zh-TW-b6835058e99c</x:v>
      </x:c>
      <x:c r="B597" s="16" t="str">
        <x:v>zh-TW</x:v>
      </x:c>
      <x:c r="C597" s="16" t="str">
        <x:v>Wild Force</x:v>
      </x:c>
      <x:c r="D597" s="16" t="str">
        <x:v>狂野之力</x:v>
      </x:c>
      <x:c r="E597" s="16" t="str">
        <x:v>Scarlet &amp; Violet</x:v>
      </x:c>
      <x:c r="F597" s="16" t="str">
        <x:v>Card set / collection</x:v>
      </x:c>
      <x:c r="G597" s="16" t="str">
        <x:v>SV5K</x:v>
      </x:c>
      <x:c r="H597" s="16" t="str">
        <x:v>Official Taiwan catalogue filter identifier (expansionCodes); printed mark not independently checked</x:v>
      </x:c>
      <x:c r="I597" s="16" t="str">
        <x:v>2024-02-02</x:v>
      </x:c>
      <x:c r="J597" s="16" t="str">
        <x:v>day</x:v>
      </x:c>
      <x:c r="K597" s="16" t="str">
        <x:v>Taiwan date; other regional dates may differ</x:v>
      </x:c>
      <x:c r="L597" s="16"/>
      <x:c r="M597" s="16"/>
      <x:c r="N597" s="16"/>
      <x:c r="O597" s="16" t="n">
        <x:v>100</x:v>
      </x:c>
      <x:c r="P597" s="16" t="n">
        <x:v>100</x:v>
      </x:c>
      <x:c r="Q597" s="16"/>
      <x:c r="R597" s="16"/>
      <x:c r="S597" s="16" t="str"/>
      <x:c r="T597" s="16" t="str">
        <x:v>https://asia.pokemon-card.com/tw/card-search/?pageNo=2 ; https://bulbapedia.bulbagarden.net/wiki/Pok%C3%A9mon_in_Taiwan ; https://asia.pokemon-card.com/tw/card-search/</x:v>
      </x:c>
      <x:c r="U597" s="16" t="str">
        <x:v>NO — review only</x:v>
      </x:c>
    </x:row>
    <x:row r="598" ht="54" customHeight="1">
      <x:c r="A598" s="16" t="str">
        <x:v>zh-TW-8fe572a829b0</x:v>
      </x:c>
      <x:c r="B598" s="16" t="str">
        <x:v>zh-TW</x:v>
      </x:c>
      <x:c r="C598" s="16" t="str">
        <x:v>Crimson Haze</x:v>
      </x:c>
      <x:c r="D598" s="16" t="str">
        <x:v>緋紅薄霧</x:v>
      </x:c>
      <x:c r="E598" s="16" t="str">
        <x:v>Scarlet &amp; Violet</x:v>
      </x:c>
      <x:c r="F598" s="16" t="str">
        <x:v>Card set / collection</x:v>
      </x:c>
      <x:c r="G598" s="16" t="str">
        <x:v>SV5a</x:v>
      </x:c>
      <x:c r="H598" s="16" t="str">
        <x:v>Established Scarlet &amp; Violet series code for Crimson Haze in Traditional Chinese</x:v>
      </x:c>
      <x:c r="I598" s="16" t="str">
        <x:v>2024-04-03</x:v>
      </x:c>
      <x:c r="J598" s="16" t="str">
        <x:v>day</x:v>
      </x:c>
      <x:c r="K598" s="16" t="str">
        <x:v>Taiwan date; other regional dates may differ</x:v>
      </x:c>
      <x:c r="L598" s="16"/>
      <x:c r="M598" s="16"/>
      <x:c r="N598" s="16"/>
      <x:c r="O598" s="16" t="n">
        <x:v>96</x:v>
      </x:c>
      <x:c r="P598" s="16" t="n">
        <x:v>96</x:v>
      </x:c>
      <x:c r="Q598" s="16"/>
      <x:c r="R598" s="16"/>
      <x:c r="S598" s="16" t="str"/>
      <x:c r="T598" s="16" t="str">
        <x:v>https://asia.pokemon-card.com/tw/card-search/ ; https://bulbapedia.bulbagarden.net/wiki/Pok%C3%A9mon_in_Taiwan ; https://asia.pokemon-card.com/tw/card-search/</x:v>
      </x:c>
      <x:c r="U598" s="16" t="str">
        <x:v>NO — review only</x:v>
      </x:c>
    </x:row>
    <x:row r="599" ht="54" customHeight="1">
      <x:c r="A599" s="16" t="str">
        <x:v>zh-TW-98e99def19ee</x:v>
      </x:c>
      <x:c r="B599" s="16" t="str">
        <x:v>zh-TW</x:v>
      </x:c>
      <x:c r="C599" s="16" t="str">
        <x:v>Transformation Mask</x:v>
      </x:c>
      <x:c r="D599" s="16" t="str">
        <x:v>變幻假面</x:v>
      </x:c>
      <x:c r="E599" s="16" t="str">
        <x:v>Scarlet &amp; Violet</x:v>
      </x:c>
      <x:c r="F599" s="16" t="str">
        <x:v>Card set / collection</x:v>
      </x:c>
      <x:c r="G599" s="16" t="str">
        <x:v>SV6</x:v>
      </x:c>
      <x:c r="H599" s="16" t="str">
        <x:v>Official product-page identifier; language-scoped</x:v>
      </x:c>
      <x:c r="I599" s="16" t="str">
        <x:v>2024-05-10</x:v>
      </x:c>
      <x:c r="J599" s="16" t="str">
        <x:v>day</x:v>
      </x:c>
      <x:c r="K599" s="16" t="str">
        <x:v>Taiwan date; other regional dates may differ</x:v>
      </x:c>
      <x:c r="L599" s="16"/>
      <x:c r="M599" s="16"/>
      <x:c r="N599" s="16"/>
      <x:c r="O599" s="16" t="n">
        <x:v>133</x:v>
      </x:c>
      <x:c r="P599" s="16" t="n">
        <x:v>133</x:v>
      </x:c>
      <x:c r="Q599" s="16"/>
      <x:c r="R599" s="16"/>
      <x:c r="S599" s="16" t="str"/>
      <x:c r="T599" s="16" t="str">
        <x:v>https://bulbapedia.bulbagarden.net/wiki/Pok%C3%A9mon_in_Taiwan ; https://asia.pokemon-card.com/tw/card-search/</x:v>
      </x:c>
      <x:c r="U599" s="16" t="str">
        <x:v>NO — review only</x:v>
      </x:c>
    </x:row>
    <x:row r="600" ht="54" customHeight="1">
      <x:c r="A600" s="16" t="str">
        <x:v>zh-TW-04373519f7b5</x:v>
      </x:c>
      <x:c r="B600" s="16" t="str">
        <x:v>zh-TW</x:v>
      </x:c>
      <x:c r="C600" s="16" t="str">
        <x:v>Night Wanderer</x:v>
      </x:c>
      <x:c r="D600" s="16" t="str">
        <x:v>黑夜漫遊者</x:v>
      </x:c>
      <x:c r="E600" s="16" t="str">
        <x:v>Scarlet &amp; Violet</x:v>
      </x:c>
      <x:c r="F600" s="16" t="str">
        <x:v>Card set / collection</x:v>
      </x:c>
      <x:c r="G600" s="16" t="str">
        <x:v>SV6a</x:v>
      </x:c>
      <x:c r="H600" s="16" t="str">
        <x:v>Official Taiwan catalogue filter identifier (expansionCodes); printed mark not independently checked</x:v>
      </x:c>
      <x:c r="I600" s="16" t="str">
        <x:v>2024-06-21</x:v>
      </x:c>
      <x:c r="J600" s="16" t="str">
        <x:v>day</x:v>
      </x:c>
      <x:c r="K600" s="16" t="str">
        <x:v>Taiwan date; other regional dates may differ</x:v>
      </x:c>
      <x:c r="L600" s="16"/>
      <x:c r="M600" s="16"/>
      <x:c r="N600" s="16"/>
      <x:c r="O600" s="16" t="n">
        <x:v>94</x:v>
      </x:c>
      <x:c r="P600" s="16" t="n">
        <x:v>94</x:v>
      </x:c>
      <x:c r="Q600" s="16"/>
      <x:c r="R600" s="16"/>
      <x:c r="S600" s="16" t="str"/>
      <x:c r="T600" s="16" t="str">
        <x:v>https://asia.pokemon-card.com/tw/card-search/?pageNo=2 ; https://bulbapedia.bulbagarden.net/wiki/Pok%C3%A9mon_in_Taiwan ; https://asia.pokemon-card.com/tw/card-search/</x:v>
      </x:c>
      <x:c r="U600" s="16" t="str">
        <x:v>NO — review only</x:v>
      </x:c>
    </x:row>
    <x:row r="601" ht="54" customHeight="1">
      <x:c r="A601" s="16" t="str">
        <x:v>zh-TW-4de816b05a4e</x:v>
      </x:c>
      <x:c r="B601" s="16" t="str">
        <x:v>zh-TW</x:v>
      </x:c>
      <x:c r="C601" s="16" t="str">
        <x:v>Tactical Deck: Gardevoir ex</x:v>
      </x:c>
      <x:c r="D601" s="16" t="str">
        <x:v>戰術牌組 沙奈朵ex</x:v>
      </x:c>
      <x:c r="E601" s="16" t="str">
        <x:v>Scarlet &amp; Violet</x:v>
      </x:c>
      <x:c r="F601" s="16" t="str">
        <x:v>Product / deck</x:v>
      </x:c>
      <x:c r="G601" s="16" t="str">
        <x:v>TW-TD-GARDEVOIR</x:v>
      </x:c>
      <x:c r="H601" s="16" t="str">
        <x:v>Stackr internal identifier for Tactical Deck: Gardevoir ex</x:v>
      </x:c>
      <x:c r="I601" s="16" t="str">
        <x:v>2024-07-19</x:v>
      </x:c>
      <x:c r="J601" s="16" t="str">
        <x:v>day</x:v>
      </x:c>
      <x:c r="K601" s="16" t="str">
        <x:v>Taiwan date; other regional dates may differ</x:v>
      </x:c>
      <x:c r="L601" s="16"/>
      <x:c r="M601" s="16"/>
      <x:c r="N601" s="16"/>
      <x:c r="O601" s="16" t="n">
        <x:v>22</x:v>
      </x:c>
      <x:c r="P601" s="16" t="n">
        <x:v>22</x:v>
      </x:c>
      <x:c r="Q601" s="16"/>
      <x:c r="R601" s="16"/>
      <x:c r="S601" s="16" t="str"/>
      <x:c r="T601" s="16" t="str">
        <x:v>https://asia.pokemon-card.com/tw/card-search/ ; https://asia.pokemon-card.com/tw/card-search/ ; https://bulbapedia.bulbagarden.net/wiki/Pok%C3%A9mon_in_Taiwan</x:v>
      </x:c>
      <x:c r="U601" s="16" t="str">
        <x:v>NO — review only</x:v>
      </x:c>
    </x:row>
    <x:row r="602" ht="54" customHeight="1">
      <x:c r="A602" s="16" t="str">
        <x:v>zh-TW-c9078c8d0f32</x:v>
      </x:c>
      <x:c r="B602" s="16" t="str">
        <x:v>zh-TW</x:v>
      </x:c>
      <x:c r="C602" s="16" t="str">
        <x:v>Tactical Deck: Meowscarada ex</x:v>
      </x:c>
      <x:c r="D602" s="16" t="str">
        <x:v>戰術牌組 魔幻假面喵ex</x:v>
      </x:c>
      <x:c r="E602" s="16" t="str">
        <x:v>Scarlet &amp; Violet</x:v>
      </x:c>
      <x:c r="F602" s="16" t="str">
        <x:v>Product / deck</x:v>
      </x:c>
      <x:c r="G602" s="16" t="str">
        <x:v>TW-TD-MEOWSCARADA</x:v>
      </x:c>
      <x:c r="H602" s="16" t="str">
        <x:v>Stackr internal identifier for Tactical Deck: Meowscarada ex</x:v>
      </x:c>
      <x:c r="I602" s="16" t="str">
        <x:v>2024-07-19</x:v>
      </x:c>
      <x:c r="J602" s="16" t="str">
        <x:v>day</x:v>
      </x:c>
      <x:c r="K602" s="16" t="str">
        <x:v>Taiwan date; other regional dates may differ</x:v>
      </x:c>
      <x:c r="L602" s="16"/>
      <x:c r="M602" s="16"/>
      <x:c r="N602" s="16"/>
      <x:c r="O602" s="16" t="n">
        <x:v>22</x:v>
      </x:c>
      <x:c r="P602" s="16" t="n">
        <x:v>22</x:v>
      </x:c>
      <x:c r="Q602" s="16"/>
      <x:c r="R602" s="16"/>
      <x:c r="S602" s="16" t="str"/>
      <x:c r="T602" s="16" t="str">
        <x:v>https://asia.pokemon-card.com/tw/card-search/ ; https://asia.pokemon-card.com/tw/card-search/ ; https://bulbapedia.bulbagarden.net/wiki/Pok%C3%A9mon_in_Taiwan</x:v>
      </x:c>
      <x:c r="U602" s="16" t="str">
        <x:v>NO — review only</x:v>
      </x:c>
    </x:row>
    <x:row r="603" ht="54" customHeight="1">
      <x:c r="A603" s="16" t="str">
        <x:v>zh-TW-558de9471c94</x:v>
      </x:c>
      <x:c r="B603" s="16" t="str">
        <x:v>zh-TW</x:v>
      </x:c>
      <x:c r="C603" s="16" t="str">
        <x:v>Tactical Deck: Miraidon ex</x:v>
      </x:c>
      <x:c r="D603" s="16" t="str">
        <x:v>戰術牌組 密勒頓ex</x:v>
      </x:c>
      <x:c r="E603" s="16" t="str">
        <x:v>Scarlet &amp; Violet</x:v>
      </x:c>
      <x:c r="F603" s="16" t="str">
        <x:v>Product / deck</x:v>
      </x:c>
      <x:c r="G603" s="16" t="str">
        <x:v>TW-TD-MIRAIDON</x:v>
      </x:c>
      <x:c r="H603" s="16" t="str">
        <x:v>Stackr internal identifier for Tactical Deck: Miraidon ex</x:v>
      </x:c>
      <x:c r="I603" s="16" t="str">
        <x:v>2024-07-19</x:v>
      </x:c>
      <x:c r="J603" s="16" t="str">
        <x:v>day</x:v>
      </x:c>
      <x:c r="K603" s="16" t="str">
        <x:v>Taiwan date; other regional dates may differ</x:v>
      </x:c>
      <x:c r="L603" s="16"/>
      <x:c r="M603" s="16"/>
      <x:c r="N603" s="16"/>
      <x:c r="O603" s="16" t="n">
        <x:v>21</x:v>
      </x:c>
      <x:c r="P603" s="16" t="n">
        <x:v>21</x:v>
      </x:c>
      <x:c r="Q603" s="16"/>
      <x:c r="R603" s="16"/>
      <x:c r="S603" s="16" t="str"/>
      <x:c r="T603" s="16" t="str">
        <x:v>https://asia.pokemon-card.com/tw/card-search/ ; https://asia.pokemon-card.com/tw/card-search/ ; https://bulbapedia.bulbagarden.net/wiki/Pok%C3%A9mon_in_Taiwan</x:v>
      </x:c>
      <x:c r="U603" s="16" t="str">
        <x:v>NO — review only</x:v>
      </x:c>
    </x:row>
    <x:row r="604" ht="54" customHeight="1">
      <x:c r="A604" s="16" t="str">
        <x:v>zh-TW-15708abcba22</x:v>
      </x:c>
      <x:c r="B604" s="16" t="str">
        <x:v>zh-TW</x:v>
      </x:c>
      <x:c r="C604" s="16" t="str">
        <x:v>Tactical Deck: Scizor ex</x:v>
      </x:c>
      <x:c r="D604" s="16" t="str">
        <x:v>戰術牌組 巨鉗螳螂ex</x:v>
      </x:c>
      <x:c r="E604" s="16" t="str">
        <x:v>Scarlet &amp; Violet</x:v>
      </x:c>
      <x:c r="F604" s="16" t="str">
        <x:v>Product / deck</x:v>
      </x:c>
      <x:c r="G604" s="16" t="str">
        <x:v>TW-TD-SCIZOR</x:v>
      </x:c>
      <x:c r="H604" s="16" t="str">
        <x:v>Stackr internal identifier for Tactical Deck: Scizor ex</x:v>
      </x:c>
      <x:c r="I604" s="16" t="str">
        <x:v>2024-07-19</x:v>
      </x:c>
      <x:c r="J604" s="16" t="str">
        <x:v>day</x:v>
      </x:c>
      <x:c r="K604" s="16" t="str">
        <x:v>Taiwan date; other regional dates may differ</x:v>
      </x:c>
      <x:c r="L604" s="16"/>
      <x:c r="M604" s="16"/>
      <x:c r="N604" s="16"/>
      <x:c r="O604" s="16" t="n">
        <x:v>18</x:v>
      </x:c>
      <x:c r="P604" s="16" t="n">
        <x:v>18</x:v>
      </x:c>
      <x:c r="Q604" s="16"/>
      <x:c r="R604" s="16"/>
      <x:c r="S604" s="16" t="str"/>
      <x:c r="T604" s="16" t="str">
        <x:v>https://asia.pokemon-card.com/tw/card-search/ ; https://asia.pokemon-card.com/tw/card-search/ ; https://bulbapedia.bulbagarden.net/wiki/Pok%C3%A9mon_in_Taiwan</x:v>
      </x:c>
      <x:c r="U604" s="16" t="str">
        <x:v>NO — review only</x:v>
      </x:c>
    </x:row>
    <x:row r="605" ht="54" customHeight="1">
      <x:c r="A605" s="16" t="str">
        <x:v>zh-TW-d004bb41fcd7</x:v>
      </x:c>
      <x:c r="B605" s="16" t="str">
        <x:v>zh-TW</x:v>
      </x:c>
      <x:c r="C605" s="16" t="str">
        <x:v>Tactical Deck: Tera Charizard ex</x:v>
      </x:c>
      <x:c r="D605" s="16" t="str">
        <x:v>戰術牌組 太晶噴火龍ex</x:v>
      </x:c>
      <x:c r="E605" s="16" t="str">
        <x:v>Scarlet &amp; Violet</x:v>
      </x:c>
      <x:c r="F605" s="16" t="str">
        <x:v>Product / deck</x:v>
      </x:c>
      <x:c r="G605" s="16" t="str">
        <x:v>TW-TD-TCHAR</x:v>
      </x:c>
      <x:c r="H605" s="16" t="str">
        <x:v>Stackr internal identifier for Tactical Deck: Tera Charizard ex</x:v>
      </x:c>
      <x:c r="I605" s="16" t="str">
        <x:v>2024-07-19</x:v>
      </x:c>
      <x:c r="J605" s="16" t="str">
        <x:v>day</x:v>
      </x:c>
      <x:c r="K605" s="16" t="str">
        <x:v>Taiwan date; other regional dates may differ</x:v>
      </x:c>
      <x:c r="L605" s="16"/>
      <x:c r="M605" s="16"/>
      <x:c r="N605" s="16"/>
      <x:c r="O605" s="16" t="n">
        <x:v>21</x:v>
      </x:c>
      <x:c r="P605" s="16" t="n">
        <x:v>21</x:v>
      </x:c>
      <x:c r="Q605" s="16"/>
      <x:c r="R605" s="16"/>
      <x:c r="S605" s="16" t="str"/>
      <x:c r="T605" s="16" t="str">
        <x:v>https://asia.pokemon-card.com/tw/card-search/ ; https://asia.pokemon-card.com/tw/card-search/ ; https://bulbapedia.bulbagarden.net/wiki/Pok%C3%A9mon_in_Taiwan</x:v>
      </x:c>
      <x:c r="U605" s="16" t="str">
        <x:v>NO — review only</x:v>
      </x:c>
    </x:row>
    <x:row r="606" ht="54" customHeight="1">
      <x:c r="A606" s="16" t="str">
        <x:v>zh-TW-92dede729e8e</x:v>
      </x:c>
      <x:c r="B606" s="16" t="str">
        <x:v>zh-TW</x:v>
      </x:c>
      <x:c r="C606" s="16" t="str">
        <x:v>Tactical Deck: Tera Garchomp ex</x:v>
      </x:c>
      <x:c r="D606" s="16" t="str">
        <x:v>戰術牌組 太晶烈咬陸鯊ex</x:v>
      </x:c>
      <x:c r="E606" s="16" t="str">
        <x:v>Scarlet &amp; Violet</x:v>
      </x:c>
      <x:c r="F606" s="16" t="str">
        <x:v>Product / deck</x:v>
      </x:c>
      <x:c r="G606" s="16" t="str">
        <x:v>SVTG</x:v>
      </x:c>
      <x:c r="H606" s="16" t="str">
        <x:v>Official Taiwan catalogue filter identifier (expansionCodes); printed mark not independently checked</x:v>
      </x:c>
      <x:c r="I606" s="16" t="str">
        <x:v>2024-07-19</x:v>
      </x:c>
      <x:c r="J606" s="16" t="str">
        <x:v>day</x:v>
      </x:c>
      <x:c r="K606" s="16" t="str">
        <x:v>Taiwan date; other regional dates may differ</x:v>
      </x:c>
      <x:c r="L606" s="16"/>
      <x:c r="M606" s="16"/>
      <x:c r="N606" s="16"/>
      <x:c r="O606" s="16" t="n">
        <x:v>19</x:v>
      </x:c>
      <x:c r="P606" s="16" t="n">
        <x:v>19</x:v>
      </x:c>
      <x:c r="Q606" s="16"/>
      <x:c r="R606" s="16"/>
      <x:c r="S606" s="16" t="str"/>
      <x:c r="T606" s="16" t="str">
        <x:v>https://asia.pokemon-card.com/tw/card-search/?pageNo=2 ; https://asia.pokemon-card.com/tw/card-search/ ; https://bulbapedia.bulbagarden.net/wiki/Pok%C3%A9mon_in_Taiwan</x:v>
      </x:c>
      <x:c r="U606" s="16" t="str">
        <x:v>NO — review only</x:v>
      </x:c>
    </x:row>
    <x:row r="607" ht="54" customHeight="1">
      <x:c r="A607" s="16" t="str">
        <x:v>zh-TW-2a8a58fea56e</x:v>
      </x:c>
      <x:c r="B607" s="16" t="str">
        <x:v>zh-TW</x:v>
      </x:c>
      <x:c r="C607" s="16" t="str">
        <x:v>Stellar Miracle</x:v>
      </x:c>
      <x:c r="D607" s="16" t="str">
        <x:v>星晶奇跡</x:v>
      </x:c>
      <x:c r="E607" s="16" t="str">
        <x:v>Scarlet &amp; Violet</x:v>
      </x:c>
      <x:c r="F607" s="16" t="str">
        <x:v>Card set / collection</x:v>
      </x:c>
      <x:c r="G607" s="16" t="str">
        <x:v>SV7</x:v>
      </x:c>
      <x:c r="H607" s="16" t="str">
        <x:v>Official Taiwan catalogue filter identifier (expansionCodes); printed mark not independently checked</x:v>
      </x:c>
      <x:c r="I607" s="16" t="str">
        <x:v>2024-08-02</x:v>
      </x:c>
      <x:c r="J607" s="16" t="str">
        <x:v>day</x:v>
      </x:c>
      <x:c r="K607" s="16" t="str">
        <x:v>Taiwan date; other regional dates may differ</x:v>
      </x:c>
      <x:c r="L607" s="16"/>
      <x:c r="M607" s="16"/>
      <x:c r="N607" s="16"/>
      <x:c r="O607" s="16" t="n">
        <x:v>135</x:v>
      </x:c>
      <x:c r="P607" s="16" t="n">
        <x:v>135</x:v>
      </x:c>
      <x:c r="Q607" s="16"/>
      <x:c r="R607" s="16"/>
      <x:c r="S607" s="16" t="str"/>
      <x:c r="T607" s="16" t="str">
        <x:v>https://asia.pokemon-card.com/tw/card-search/?pageNo=2 ; https://bulbapedia.bulbagarden.net/wiki/Pok%C3%A9mon_in_Taiwan ; https://asia.pokemon-card.com/tw/card-search/</x:v>
      </x:c>
      <x:c r="U607" s="16" t="str">
        <x:v>NO — review only</x:v>
      </x:c>
    </x:row>
    <x:row r="608" ht="54" customHeight="1">
      <x:c r="A608" s="16" t="str">
        <x:v>zh-TW-241fc26dea17</x:v>
      </x:c>
      <x:c r="B608" s="16" t="str">
        <x:v>zh-TW</x:v>
      </x:c>
      <x:c r="C608" s="16" t="str">
        <x:v>Trainers Camp</x:v>
      </x:c>
      <x:c r="D608" s="16" t="str">
        <x:v>Trainers Camp</x:v>
      </x:c>
      <x:c r="E608" s="16" t="str">
        <x:v>Scarlet &amp; Violet</x:v>
      </x:c>
      <x:c r="F608" s="16" t="str">
        <x:v>Event / teaching programme</x:v>
      </x:c>
      <x:c r="G608" s="16" t="str">
        <x:v>TW-TRAINERS-CAMP</x:v>
      </x:c>
      <x:c r="H608" s="16" t="str">
        <x:v>Stackr internal identifier for Trainers Camp; not asserted as an official printed code</x:v>
      </x:c>
      <x:c r="I608" s="16" t="str">
        <x:v>2024-08-22</x:v>
      </x:c>
      <x:c r="J608" s="16" t="str">
        <x:v>day</x:v>
      </x:c>
      <x:c r="K608" s="16" t="str">
        <x:v>Taiwan date; other regional dates may differ</x:v>
      </x:c>
      <x:c r="L608" s="16"/>
      <x:c r="M608" s="16"/>
      <x:c r="N608" s="16"/>
      <x:c r="O608" s="16"/>
      <x:c r="P608" s="16"/>
      <x:c r="Q608" s="16"/>
      <x:c r="R608" s="16"/>
      <x:c r="S608" s="16" t="str">
        <x:v>reference_count_not_applicable, numbered_total_not_applicable</x:v>
      </x:c>
      <x:c r="T608" s="16" t="str">
        <x:v>https://asia.pokemon-card.com/tw/card-search/ ; https://asia.pokemon-card.com/tw/event/</x:v>
      </x:c>
      <x:c r="U608" s="16" t="str">
        <x:v>NO — review only</x:v>
      </x:c>
    </x:row>
    <x:row r="609" ht="54" customHeight="1">
      <x:c r="A609" s="16" t="str">
        <x:v>zh-TW-7ed5d482e561</x:v>
      </x:c>
      <x:c r="B609" s="16" t="str">
        <x:v>zh-TW</x:v>
      </x:c>
      <x:c r="C609" s="16" t="str">
        <x:v>Deck Build Box Paradise Dragona</x:v>
      </x:c>
      <x:c r="D609" s="16" t="str">
        <x:v>牌組構築BOX 樂園騰龍</x:v>
      </x:c>
      <x:c r="E609" s="16" t="str">
        <x:v>Scarlet &amp; Violet</x:v>
      </x:c>
      <x:c r="F609" s="16" t="str">
        <x:v>Product / deck</x:v>
      </x:c>
      <x:c r="G609" s="16" t="str">
        <x:v>SVK</x:v>
      </x:c>
      <x:c r="H609" s="16" t="str">
        <x:v>Official Taiwan catalogue filter identifier (expansionCodes); printed mark not independently checked</x:v>
      </x:c>
      <x:c r="I609" s="16" t="str">
        <x:v>2024-09-27</x:v>
      </x:c>
      <x:c r="J609" s="16" t="str">
        <x:v>day</x:v>
      </x:c>
      <x:c r="K609" s="16" t="str">
        <x:v>Taiwan date; other regional dates may differ</x:v>
      </x:c>
      <x:c r="L609" s="16"/>
      <x:c r="M609" s="16"/>
      <x:c r="N609" s="16"/>
      <x:c r="O609" s="16" t="n">
        <x:v>42</x:v>
      </x:c>
      <x:c r="P609" s="16" t="n">
        <x:v>42</x:v>
      </x:c>
      <x:c r="Q609" s="16"/>
      <x:c r="R609" s="16"/>
      <x:c r="S609" s="16" t="str"/>
      <x:c r="T609" s="16" t="str">
        <x:v>https://asia.pokemon-card.com/tw/card-search/?pageNo=2 ; https://asia.pokemon-card.com/tw/card-search/ ; https://bulbapedia.bulbagarden.net/wiki/Pok%C3%A9mon_in_Taiwan</x:v>
      </x:c>
      <x:c r="U609" s="16" t="str">
        <x:v>NO — review only</x:v>
      </x:c>
    </x:row>
    <x:row r="610" ht="54" customHeight="1">
      <x:c r="A610" s="16" t="str">
        <x:v>zh-TW-d3a71a0aa467</x:v>
      </x:c>
      <x:c r="B610" s="16" t="str">
        <x:v>zh-TW</x:v>
      </x:c>
      <x:c r="C610" s="16" t="str">
        <x:v>Paradise Dragona</x:v>
      </x:c>
      <x:c r="D610" s="16" t="str">
        <x:v>樂園騰龍</x:v>
      </x:c>
      <x:c r="E610" s="16" t="str">
        <x:v>Scarlet &amp; Violet</x:v>
      </x:c>
      <x:c r="F610" s="16" t="str">
        <x:v>Card set / collection</x:v>
      </x:c>
      <x:c r="G610" s="16" t="str">
        <x:v>SV7a</x:v>
      </x:c>
      <x:c r="H610" s="16" t="str">
        <x:v>Official Taiwan catalogue filter identifier (expansionCodes); printed mark not independently checked</x:v>
      </x:c>
      <x:c r="I610" s="16" t="str">
        <x:v>2024-09-27</x:v>
      </x:c>
      <x:c r="J610" s="16" t="str">
        <x:v>day</x:v>
      </x:c>
      <x:c r="K610" s="16" t="str">
        <x:v>Taiwan date; other regional dates may differ</x:v>
      </x:c>
      <x:c r="L610" s="16"/>
      <x:c r="M610" s="16"/>
      <x:c r="N610" s="16"/>
      <x:c r="O610" s="16" t="n">
        <x:v>94</x:v>
      </x:c>
      <x:c r="P610" s="16" t="n">
        <x:v>94</x:v>
      </x:c>
      <x:c r="Q610" s="16"/>
      <x:c r="R610" s="16"/>
      <x:c r="S610" s="16" t="str"/>
      <x:c r="T610" s="16" t="str">
        <x:v>https://asia.pokemon-card.com/tw/card-search/?pageNo=2 ; https://bulbapedia.bulbagarden.net/wiki/Pok%C3%A9mon_in_Taiwan ; https://asia.pokemon-card.com/tw/card-search/</x:v>
      </x:c>
      <x:c r="U610" s="16" t="str">
        <x:v>NO — review only</x:v>
      </x:c>
    </x:row>
    <x:row r="611" ht="54" customHeight="1">
      <x:c r="A611" s="16" t="str">
        <x:v>zh-TW-c86b9b559cbe</x:v>
      </x:c>
      <x:c r="B611" s="16" t="str">
        <x:v>zh-TW</x:v>
      </x:c>
      <x:c r="C611" s="16" t="str">
        <x:v>Stellar Tera ex Special Set: Ceruledge ex</x:v>
      </x:c>
      <x:c r="D611" s="16" t="str">
        <x:v>ex特別組合 太晶屬性：星晶 蒼炎刃鬼ex</x:v>
      </x:c>
      <x:c r="E611" s="16" t="str">
        <x:v>Scarlet &amp; Violet</x:v>
      </x:c>
      <x:c r="F611" s="16" t="str">
        <x:v>Product / deck</x:v>
      </x:c>
      <x:c r="G611" s="16" t="str">
        <x:v>TW-STEX-CERU</x:v>
      </x:c>
      <x:c r="H611" s="16" t="str">
        <x:v>Stackr internal identifier for Stellar Tera ex Special Set: Ceruledge ex</x:v>
      </x:c>
      <x:c r="I611" s="16" t="str">
        <x:v>2024-09-27</x:v>
      </x:c>
      <x:c r="J611" s="16" t="str">
        <x:v>day</x:v>
      </x:c>
      <x:c r="K611" s="16" t="str">
        <x:v>Taiwan date; other regional dates may differ</x:v>
      </x:c>
      <x:c r="L611" s="16"/>
      <x:c r="M611" s="16"/>
      <x:c r="N611" s="16"/>
      <x:c r="O611" s="16" t="n">
        <x:v>25</x:v>
      </x:c>
      <x:c r="P611" s="16" t="n">
        <x:v>25</x:v>
      </x:c>
      <x:c r="Q611" s="16"/>
      <x:c r="R611" s="16"/>
      <x:c r="S611" s="16" t="str"/>
      <x:c r="T611" s="16" t="str">
        <x:v>https://asia.pokemon-card.com/tw/card-search/ ; https://asia.pokemon-card.com/tw/card-search/ ; https://bulbapedia.bulbagarden.net/wiki/Pok%C3%A9mon_in_Taiwan</x:v>
      </x:c>
      <x:c r="U611" s="16" t="str">
        <x:v>NO — review only</x:v>
      </x:c>
    </x:row>
    <x:row r="612" ht="54" customHeight="1">
      <x:c r="A612" s="16" t="str">
        <x:v>zh-TW-1afd1f797fa7</x:v>
      </x:c>
      <x:c r="B612" s="16" t="str">
        <x:v>zh-TW</x:v>
      </x:c>
      <x:c r="C612" s="16" t="str">
        <x:v>Stellar Tera ex Special Set: Sylveon ex</x:v>
      </x:c>
      <x:c r="D612" s="16" t="str">
        <x:v>ex特別組合 太晶屬性：星晶 仙子伊布ex</x:v>
      </x:c>
      <x:c r="E612" s="16" t="str">
        <x:v>Scarlet &amp; Violet</x:v>
      </x:c>
      <x:c r="F612" s="16" t="str">
        <x:v>Product / deck</x:v>
      </x:c>
      <x:c r="G612" s="16" t="str">
        <x:v>TW-STEX-SYLV</x:v>
      </x:c>
      <x:c r="H612" s="16" t="str">
        <x:v>Stackr internal identifier for Stellar Tera ex Special Set: Sylveon ex</x:v>
      </x:c>
      <x:c r="I612" s="16" t="str">
        <x:v>2024-09-27</x:v>
      </x:c>
      <x:c r="J612" s="16" t="str">
        <x:v>day</x:v>
      </x:c>
      <x:c r="K612" s="16" t="str">
        <x:v>Taiwan date; other regional dates may differ</x:v>
      </x:c>
      <x:c r="L612" s="16"/>
      <x:c r="M612" s="16"/>
      <x:c r="N612" s="16"/>
      <x:c r="O612" s="16" t="n">
        <x:v>25</x:v>
      </x:c>
      <x:c r="P612" s="16" t="n">
        <x:v>25</x:v>
      </x:c>
      <x:c r="Q612" s="16"/>
      <x:c r="R612" s="16"/>
      <x:c r="S612" s="16" t="str"/>
      <x:c r="T612" s="16" t="str">
        <x:v>https://asia.pokemon-card.com/tw/card-search/ ; https://asia.pokemon-card.com/tw/card-search/ ; https://bulbapedia.bulbagarden.net/wiki/Pok%C3%A9mon_in_Taiwan</x:v>
      </x:c>
      <x:c r="U612" s="16" t="str">
        <x:v>NO — review only</x:v>
      </x:c>
    </x:row>
    <x:row r="613" ht="54" customHeight="1">
      <x:c r="A613" s="16" t="str">
        <x:v>zh-TW-9fcaa17761b6</x:v>
      </x:c>
      <x:c r="B613" s="16" t="str">
        <x:v>zh-TW</x:v>
      </x:c>
      <x:c r="C613" s="16" t="str">
        <x:v>Super Electric Breaker</x:v>
      </x:c>
      <x:c r="D613" s="16" t="str">
        <x:v>超電突圍</x:v>
      </x:c>
      <x:c r="E613" s="16" t="str">
        <x:v>Scarlet &amp; Violet</x:v>
      </x:c>
      <x:c r="F613" s="16" t="str">
        <x:v>Card set / collection</x:v>
      </x:c>
      <x:c r="G613" s="16" t="str">
        <x:v>SV8</x:v>
      </x:c>
      <x:c r="H613" s="16" t="str">
        <x:v>Official product-page identifier; language-scoped</x:v>
      </x:c>
      <x:c r="I613" s="16" t="str">
        <x:v>2024-10-25</x:v>
      </x:c>
      <x:c r="J613" s="16" t="str">
        <x:v>day</x:v>
      </x:c>
      <x:c r="K613" s="16" t="str">
        <x:v>Taiwan date; other regional dates may differ</x:v>
      </x:c>
      <x:c r="L613" s="16"/>
      <x:c r="M613" s="16"/>
      <x:c r="N613" s="16"/>
      <x:c r="O613" s="16" t="n">
        <x:v>138</x:v>
      </x:c>
      <x:c r="P613" s="16" t="n">
        <x:v>138</x:v>
      </x:c>
      <x:c r="Q613" s="16"/>
      <x:c r="R613" s="16"/>
      <x:c r="S613" s="16" t="str"/>
      <x:c r="T613" s="16" t="str">
        <x:v>https://bulbapedia.bulbagarden.net/wiki/Pok%C3%A9mon_in_Taiwan ; https://asia.pokemon-card.com/tw/card-search/</x:v>
      </x:c>
      <x:c r="U613" s="16" t="str">
        <x:v>NO — review only</x:v>
      </x:c>
    </x:row>
    <x:row r="614" ht="54" customHeight="1">
      <x:c r="A614" s="16" t="str">
        <x:v>zh-TW-88100117b37e</x:v>
      </x:c>
      <x:c r="B614" s="16" t="str">
        <x:v>zh-TW</x:v>
      </x:c>
      <x:c r="C614" s="16" t="str">
        <x:v>Double ex Start Deck Generations</x:v>
      </x:c>
      <x:c r="D614" s="16" t="str">
        <x:v>雙ex初階牌組 Generations</x:v>
      </x:c>
      <x:c r="E614" s="16" t="str">
        <x:v>Scarlet &amp; Violet</x:v>
      </x:c>
      <x:c r="F614" s="16" t="str">
        <x:v>Product / deck</x:v>
      </x:c>
      <x:c r="G614" s="16" t="str">
        <x:v>TW-SVC</x:v>
      </x:c>
      <x:c r="H614" s="16" t="str">
        <x:v>Stackr internal inventory alias; based on SVC family shorthand; not asserted as an official printed code</x:v>
      </x:c>
      <x:c r="I614" s="16" t="str">
        <x:v>2024-12-20</x:v>
      </x:c>
      <x:c r="J614" s="16" t="str">
        <x:v>day</x:v>
      </x:c>
      <x:c r="K614" s="16" t="str">
        <x:v>Taiwan date; other regional dates may differ</x:v>
      </x:c>
      <x:c r="L614" s="16"/>
      <x:c r="M614" s="16"/>
      <x:c r="N614" s="16"/>
      <x:c r="O614" s="16" t="n">
        <x:v>175</x:v>
      </x:c>
      <x:c r="P614" s="16" t="n">
        <x:v>175</x:v>
      </x:c>
      <x:c r="Q614" s="16"/>
      <x:c r="R614" s="16"/>
      <x:c r="S614" s="16" t="str"/>
      <x:c r="T614" s="16" t="str">
        <x:v>https://asia.pokemon-card.com/tw/card-search/ ; https://asia.pokemon-card.com/tw/card-search/ ; https://bulbapedia.bulbagarden.net/wiki/Pok%C3%A9mon_in_Taiwan</x:v>
      </x:c>
      <x:c r="U614" s="16" t="str">
        <x:v>NO — review only</x:v>
      </x:c>
    </x:row>
    <x:row r="615" ht="54" customHeight="1">
      <x:c r="A615" s="16" t="str">
        <x:v>zh-TW-49e639772529</x:v>
      </x:c>
      <x:c r="B615" s="16" t="str">
        <x:v>zh-TW</x:v>
      </x:c>
      <x:c r="C615" s="16" t="str">
        <x:v>Terastal Fest ex</x:v>
      </x:c>
      <x:c r="D615" s="16" t="str">
        <x:v>太晶慶典ex</x:v>
      </x:c>
      <x:c r="E615" s="16" t="str">
        <x:v>Scarlet &amp; Violet</x:v>
      </x:c>
      <x:c r="F615" s="16" t="str">
        <x:v>Card set / collection</x:v>
      </x:c>
      <x:c r="G615" s="16" t="str">
        <x:v>SV8a</x:v>
      </x:c>
      <x:c r="H615" s="16" t="str">
        <x:v>Official product-page identifier; language-scoped</x:v>
      </x:c>
      <x:c r="I615" s="16" t="str">
        <x:v>2024-12-20</x:v>
      </x:c>
      <x:c r="J615" s="16" t="str">
        <x:v>day</x:v>
      </x:c>
      <x:c r="K615" s="16" t="str">
        <x:v>Taiwan date; other regional dates may differ</x:v>
      </x:c>
      <x:c r="L615" s="16"/>
      <x:c r="M615" s="16"/>
      <x:c r="N615" s="16"/>
      <x:c r="O615" s="16" t="n">
        <x:v>237</x:v>
      </x:c>
      <x:c r="P615" s="16" t="n">
        <x:v>237</x:v>
      </x:c>
      <x:c r="Q615" s="16"/>
      <x:c r="R615" s="16"/>
      <x:c r="S615" s="16" t="str"/>
      <x:c r="T615" s="16" t="str">
        <x:v>https://bulbapedia.bulbagarden.net/wiki/Pok%C3%A9mon_in_Taiwan ; https://asia.pokemon-card.com/tw/card-search/</x:v>
      </x:c>
      <x:c r="U615" s="16" t="str">
        <x:v>NO — review only</x:v>
      </x:c>
    </x:row>
    <x:row r="616" ht="54" customHeight="1">
      <x:c r="A616" s="16" t="str">
        <x:v>zh-TW-ffcdd91b700e</x:v>
      </x:c>
      <x:c r="B616" s="16" t="str">
        <x:v>zh-TW</x:v>
      </x:c>
      <x:c r="C616" s="16" t="str">
        <x:v>Battle Partners</x:v>
      </x:c>
      <x:c r="D616" s="16" t="str">
        <x:v>對戰搭檔</x:v>
      </x:c>
      <x:c r="E616" s="16" t="str">
        <x:v>Scarlet &amp; Violet</x:v>
      </x:c>
      <x:c r="F616" s="16" t="str">
        <x:v>Card set / collection</x:v>
      </x:c>
      <x:c r="G616" s="16" t="str">
        <x:v>SV9</x:v>
      </x:c>
      <x:c r="H616" s="16" t="str">
        <x:v>Official product-page identifier; language-scoped</x:v>
      </x:c>
      <x:c r="I616" s="16" t="str">
        <x:v>2025-02-07</x:v>
      </x:c>
      <x:c r="J616" s="16" t="str">
        <x:v>day</x:v>
      </x:c>
      <x:c r="K616" s="16" t="str">
        <x:v>Taiwan date; other regional dates may differ</x:v>
      </x:c>
      <x:c r="L616" s="16"/>
      <x:c r="M616" s="16"/>
      <x:c r="N616" s="16"/>
      <x:c r="O616" s="16" t="n">
        <x:v>132</x:v>
      </x:c>
      <x:c r="P616" s="16" t="n">
        <x:v>132</x:v>
      </x:c>
      <x:c r="Q616" s="16"/>
      <x:c r="R616" s="16"/>
      <x:c r="S616" s="16" t="str"/>
      <x:c r="T616" s="16" t="str">
        <x:v>https://bulbapedia.bulbagarden.net/wiki/Pok%C3%A9mon_in_Taiwan ; https://asia.pokemon-card.com/tw/card-search/</x:v>
      </x:c>
      <x:c r="U616" s="16" t="str">
        <x:v>NO — review only</x:v>
      </x:c>
    </x:row>
    <x:row r="617" ht="54" customHeight="1">
      <x:c r="A617" s="16" t="str">
        <x:v>zh-TW-15f40046e9ad</x:v>
      </x:c>
      <x:c r="B617" s="16" t="str">
        <x:v>zh-TW</x:v>
      </x:c>
      <x:c r="C617" s="16" t="str">
        <x:v>Challenge Deck: Marnie's Morpeko &amp; Grimmsnarl ex</x:v>
      </x:c>
      <x:c r="D617" s="16" t="str">
        <x:v>挑戰牌組 瑪俐的莫魯貝可&amp;長毛巨魔ex</x:v>
      </x:c>
      <x:c r="E617" s="16" t="str">
        <x:v>Scarlet &amp; Violet</x:v>
      </x:c>
      <x:c r="F617" s="16" t="str">
        <x:v>Product / deck</x:v>
      </x:c>
      <x:c r="G617" s="16" t="str">
        <x:v>TW-SVF-M</x:v>
      </x:c>
      <x:c r="H617" s="16" t="str">
        <x:v>Stackr internal inventory alias; Marnie challenge-deck shorthand; not asserted as an official printed code</x:v>
      </x:c>
      <x:c r="I617" s="16" t="str">
        <x:v>2025-03-07</x:v>
      </x:c>
      <x:c r="J617" s="16" t="str">
        <x:v>day</x:v>
      </x:c>
      <x:c r="K617" s="16" t="str">
        <x:v>Taiwan date; other regional dates may differ</x:v>
      </x:c>
      <x:c r="L617" s="16"/>
      <x:c r="M617" s="16"/>
      <x:c r="N617" s="16"/>
      <x:c r="O617" s="16" t="n">
        <x:v>22</x:v>
      </x:c>
      <x:c r="P617" s="16" t="n">
        <x:v>22</x:v>
      </x:c>
      <x:c r="Q617" s="16"/>
      <x:c r="R617" s="16"/>
      <x:c r="S617" s="16" t="str"/>
      <x:c r="T617" s="16" t="str">
        <x:v>https://asia.pokemon-card.com/tw/card-search/ ; https://asia.pokemon-card.com/tw/card-search/ ; https://bulbapedia.bulbagarden.net/wiki/Pok%C3%A9mon_in_Taiwan</x:v>
      </x:c>
      <x:c r="U617" s="16" t="str">
        <x:v>NO — review only</x:v>
      </x:c>
    </x:row>
    <x:row r="618" ht="54" customHeight="1">
      <x:c r="A618" s="16" t="str">
        <x:v>zh-TW-2ffb668f198e</x:v>
      </x:c>
      <x:c r="B618" s="16" t="str">
        <x:v>zh-TW</x:v>
      </x:c>
      <x:c r="C618" s="16" t="str">
        <x:v>Challenge Deck: Steven's Beldum &amp; Metagross ex</x:v>
      </x:c>
      <x:c r="D618" s="16" t="str">
        <x:v>挑戰牌組 大吾的鐵啞鈴&amp;巨金怪ex</x:v>
      </x:c>
      <x:c r="E618" s="16" t="str">
        <x:v>Scarlet &amp; Violet</x:v>
      </x:c>
      <x:c r="F618" s="16" t="str">
        <x:v>Product / deck</x:v>
      </x:c>
      <x:c r="G618" s="16" t="str">
        <x:v>TW-SVF-S</x:v>
      </x:c>
      <x:c r="H618" s="16" t="str">
        <x:v>Stackr internal inventory alias; Steven challenge-deck shorthand; not asserted as an official printed code</x:v>
      </x:c>
      <x:c r="I618" s="16" t="str">
        <x:v>2025-03-07</x:v>
      </x:c>
      <x:c r="J618" s="16" t="str">
        <x:v>day</x:v>
      </x:c>
      <x:c r="K618" s="16" t="str">
        <x:v>Taiwan date; other regional dates may differ</x:v>
      </x:c>
      <x:c r="L618" s="16"/>
      <x:c r="M618" s="16"/>
      <x:c r="N618" s="16"/>
      <x:c r="O618" s="16" t="n">
        <x:v>21</x:v>
      </x:c>
      <x:c r="P618" s="16" t="n">
        <x:v>21</x:v>
      </x:c>
      <x:c r="Q618" s="16"/>
      <x:c r="R618" s="16"/>
      <x:c r="S618" s="16" t="str"/>
      <x:c r="T618" s="16" t="str">
        <x:v>https://asia.pokemon-card.com/tw/card-search/ ; https://asia.pokemon-card.com/tw/card-search/ ; https://bulbapedia.bulbagarden.net/wiki/Pok%C3%A9mon_in_Taiwan</x:v>
      </x:c>
      <x:c r="U618" s="16" t="str">
        <x:v>NO — review only</x:v>
      </x:c>
    </x:row>
    <x:row r="619" ht="54" customHeight="1">
      <x:c r="A619" s="16" t="str">
        <x:v>zh-TW-974fa735782e</x:v>
      </x:c>
      <x:c r="B619" s="16" t="str">
        <x:v>zh-TW</x:v>
      </x:c>
      <x:c r="C619" s="16" t="str">
        <x:v>Hot Wind Arena</x:v>
      </x:c>
      <x:c r="D619" s="16" t="str">
        <x:v>熱風競技場</x:v>
      </x:c>
      <x:c r="E619" s="16" t="str">
        <x:v>Scarlet &amp; Violet</x:v>
      </x:c>
      <x:c r="F619" s="16" t="str">
        <x:v>Card set / collection</x:v>
      </x:c>
      <x:c r="G619" s="16" t="str">
        <x:v>TW-SV9a</x:v>
      </x:c>
      <x:c r="H619" s="16" t="str">
        <x:v>Stackr language-qualified series alias aligned to Hot Wind Arena / Japanese SV9a; not asserted as an official Taiwan printed code</x:v>
      </x:c>
      <x:c r="I619" s="16" t="str">
        <x:v>2025-03-28</x:v>
      </x:c>
      <x:c r="J619" s="16" t="str">
        <x:v>day</x:v>
      </x:c>
      <x:c r="K619" s="16" t="str">
        <x:v>Taiwan date; other regional dates may differ</x:v>
      </x:c>
      <x:c r="L619" s="16"/>
      <x:c r="M619" s="16"/>
      <x:c r="N619" s="16"/>
      <x:c r="O619" s="16" t="n">
        <x:v>92</x:v>
      </x:c>
      <x:c r="P619" s="16" t="n">
        <x:v>92</x:v>
      </x:c>
      <x:c r="Q619" s="16"/>
      <x:c r="R619" s="16"/>
      <x:c r="S619" s="16" t="str"/>
      <x:c r="T619" s="16" t="str">
        <x:v>https://asia.pokemon-card.com/tw/card-search/ ; https://asia.pokemon-card.com/tw/card-search/ ; https://bulbapedia.bulbagarden.net/wiki/Pok%C3%A9mon_in_Taiwan</x:v>
      </x:c>
      <x:c r="U619" s="16" t="str">
        <x:v>NO — review only</x:v>
      </x:c>
    </x:row>
    <x:row r="620" ht="54" customHeight="1">
      <x:c r="A620" s="16" t="str">
        <x:v>zh-TW-dd68ad1c0890</x:v>
      </x:c>
      <x:c r="B620" s="16" t="str">
        <x:v>zh-TW</x:v>
      </x:c>
      <x:c r="C620" s="16" t="str">
        <x:v>Glory of the Rocket Gang</x:v>
      </x:c>
      <x:c r="D620" s="16" t="str">
        <x:v>火箭隊的榮耀</x:v>
      </x:c>
      <x:c r="E620" s="16" t="str">
        <x:v>Scarlet &amp; Violet</x:v>
      </x:c>
      <x:c r="F620" s="16" t="str">
        <x:v>Card set / collection</x:v>
      </x:c>
      <x:c r="G620" s="16" t="str">
        <x:v>SV10</x:v>
      </x:c>
      <x:c r="H620" s="16" t="str">
        <x:v>Official product-page identifier; language-scoped</x:v>
      </x:c>
      <x:c r="I620" s="16" t="str">
        <x:v>2025-05-02</x:v>
      </x:c>
      <x:c r="J620" s="16" t="str">
        <x:v>day</x:v>
      </x:c>
      <x:c r="K620" s="16" t="str">
        <x:v>Taiwan date; other regional dates may differ</x:v>
      </x:c>
      <x:c r="L620" s="16"/>
      <x:c r="M620" s="16"/>
      <x:c r="N620" s="16"/>
      <x:c r="O620" s="16" t="n">
        <x:v>132</x:v>
      </x:c>
      <x:c r="P620" s="16" t="n">
        <x:v>132</x:v>
      </x:c>
      <x:c r="Q620" s="16"/>
      <x:c r="R620" s="16"/>
      <x:c r="S620" s="16" t="str"/>
      <x:c r="T620" s="16" t="str">
        <x:v>https://bulbapedia.bulbagarden.net/wiki/Pok%C3%A9mon_in_Taiwan ; https://asia.pokemon-card.com/tw/card-search/</x:v>
      </x:c>
      <x:c r="U620" s="16" t="str">
        <x:v>NO — review only</x:v>
      </x:c>
    </x:row>
    <x:row r="621" ht="54" customHeight="1">
      <x:c r="A621" s="16" t="str">
        <x:v>zh-TW-77c7643aa5ed</x:v>
      </x:c>
      <x:c r="B621" s="16" t="str">
        <x:v>zh-TW</x:v>
      </x:c>
      <x:c r="C621" s="16" t="str">
        <x:v>Black Bolt</x:v>
      </x:c>
      <x:c r="D621" s="16" t="str">
        <x:v>漆黑伏特</x:v>
      </x:c>
      <x:c r="E621" s="16" t="str">
        <x:v>Scarlet &amp; Violet</x:v>
      </x:c>
      <x:c r="F621" s="16" t="str">
        <x:v>Card set / collection</x:v>
      </x:c>
      <x:c r="G621" s="16" t="str">
        <x:v>TW-SV11B</x:v>
      </x:c>
      <x:c r="H621" s="16" t="str">
        <x:v>Stackr language-qualified series alias aligned to Black Bolt / Japanese SV11B; not asserted as an official Taiwan printed code</x:v>
      </x:c>
      <x:c r="I621" s="16" t="str">
        <x:v>2025-06-20</x:v>
      </x:c>
      <x:c r="J621" s="16" t="str">
        <x:v>day</x:v>
      </x:c>
      <x:c r="K621" s="16" t="str">
        <x:v>Taiwan date; other regional dates may differ</x:v>
      </x:c>
      <x:c r="L621" s="16"/>
      <x:c r="M621" s="16"/>
      <x:c r="N621" s="16"/>
      <x:c r="O621" s="16" t="n">
        <x:v>174</x:v>
      </x:c>
      <x:c r="P621" s="16" t="n">
        <x:v>174</x:v>
      </x:c>
      <x:c r="Q621" s="16"/>
      <x:c r="R621" s="16"/>
      <x:c r="S621" s="16" t="str"/>
      <x:c r="T621" s="16" t="str">
        <x:v>https://asia.pokemon-card.com/tw/card-search/ ; https://asia.pokemon-card.com/tw/card-search/ ; https://bulbapedia.bulbagarden.net/wiki/Pok%C3%A9mon_in_Taiwan</x:v>
      </x:c>
      <x:c r="U621" s="16" t="str">
        <x:v>NO — review only</x:v>
      </x:c>
    </x:row>
    <x:row r="622" ht="54" customHeight="1">
      <x:c r="A622" s="16" t="str">
        <x:v>zh-TW-f6512185fc4f</x:v>
      </x:c>
      <x:c r="B622" s="16" t="str">
        <x:v>zh-TW</x:v>
      </x:c>
      <x:c r="C622" s="16" t="str">
        <x:v>White Flare</x:v>
      </x:c>
      <x:c r="D622" s="16" t="str">
        <x:v>純白閃焰</x:v>
      </x:c>
      <x:c r="E622" s="16" t="str">
        <x:v>Scarlet &amp; Violet</x:v>
      </x:c>
      <x:c r="F622" s="16" t="str">
        <x:v>Card set / collection</x:v>
      </x:c>
      <x:c r="G622" s="16" t="str">
        <x:v>SV11W</x:v>
      </x:c>
      <x:c r="H622" s="16" t="str">
        <x:v>Official Taiwan catalogue filter identifier (expansionCodes); printed mark not independently checked</x:v>
      </x:c>
      <x:c r="I622" s="16" t="str">
        <x:v>2025-06-20</x:v>
      </x:c>
      <x:c r="J622" s="16" t="str">
        <x:v>day</x:v>
      </x:c>
      <x:c r="K622" s="16" t="str">
        <x:v>Taiwan date; other regional dates may differ</x:v>
      </x:c>
      <x:c r="L622" s="16"/>
      <x:c r="M622" s="16"/>
      <x:c r="N622" s="16"/>
      <x:c r="O622" s="16" t="n">
        <x:v>174</x:v>
      </x:c>
      <x:c r="P622" s="16" t="n">
        <x:v>174</x:v>
      </x:c>
      <x:c r="Q622" s="16"/>
      <x:c r="R622" s="16"/>
      <x:c r="S622" s="16" t="str"/>
      <x:c r="T622" s="16" t="str">
        <x:v>https://asia.pokemon-card.com/tw/card-search/ ; https://bulbapedia.bulbagarden.net/wiki/Pok%C3%A9mon_in_Taiwan ; https://asia.pokemon-card.com/tw/card-search/</x:v>
      </x:c>
      <x:c r="U622" s="16" t="str">
        <x:v>NO — review only</x:v>
      </x:c>
    </x:row>
    <x:row r="623" ht="54" customHeight="1">
      <x:c r="A623" s="16" t="str">
        <x:v>zh-TW-e124fcba7d1d</x:v>
      </x:c>
      <x:c r="B623" s="16" t="str">
        <x:v>zh-TW</x:v>
      </x:c>
      <x:c r="C623" s="16" t="str">
        <x:v>ex Start Deck: Charizard</x:v>
      </x:c>
      <x:c r="D623" s="16" t="str">
        <x:v>ex初階牌組 噴火龍</x:v>
      </x:c>
      <x:c r="E623" s="16" t="str">
        <x:v>Scarlet &amp; Violet</x:v>
      </x:c>
      <x:c r="F623" s="16" t="str">
        <x:v>Product / deck</x:v>
      </x:c>
      <x:c r="G623" s="16" t="str">
        <x:v>SVQL</x:v>
      </x:c>
      <x:c r="H623" s="16" t="str">
        <x:v>Official Taiwan catalogue filter identifier (expansionCodes); printed mark not independently checked</x:v>
      </x:c>
      <x:c r="I623" s="16" t="str">
        <x:v>2025-07-18</x:v>
      </x:c>
      <x:c r="J623" s="16" t="str">
        <x:v>day</x:v>
      </x:c>
      <x:c r="K623" s="16" t="str">
        <x:v>Taiwan date; other regional dates may differ</x:v>
      </x:c>
      <x:c r="L623" s="16"/>
      <x:c r="M623" s="16"/>
      <x:c r="N623" s="16"/>
      <x:c r="O623" s="16" t="n">
        <x:v>22</x:v>
      </x:c>
      <x:c r="P623" s="16" t="n">
        <x:v>22</x:v>
      </x:c>
      <x:c r="Q623" s="16"/>
      <x:c r="R623" s="16"/>
      <x:c r="S623" s="16" t="str"/>
      <x:c r="T623" s="16" t="str">
        <x:v>https://asia.pokemon-card.com/tw/card-search/ ; https://asia.pokemon-card.com/tw/card-search/ ; https://bulbapedia.bulbagarden.net/wiki/Pok%C3%A9mon_in_Taiwan</x:v>
      </x:c>
      <x:c r="U623" s="16" t="str">
        <x:v>NO — review only</x:v>
      </x:c>
    </x:row>
    <x:row r="624" ht="54" customHeight="1">
      <x:c r="A624" s="16" t="str">
        <x:v>zh-TW-949def28022a</x:v>
      </x:c>
      <x:c r="B624" s="16" t="str">
        <x:v>zh-TW</x:v>
      </x:c>
      <x:c r="C624" s="16" t="str">
        <x:v>ex Start Deck: Pikachu</x:v>
      </x:c>
      <x:c r="D624" s="16" t="str">
        <x:v>ex初階牌組 皮卡丘</x:v>
      </x:c>
      <x:c r="E624" s="16" t="str">
        <x:v>Scarlet &amp; Violet</x:v>
      </x:c>
      <x:c r="F624" s="16" t="str">
        <x:v>Product / deck</x:v>
      </x:c>
      <x:c r="G624" s="16" t="str">
        <x:v>SVQP</x:v>
      </x:c>
      <x:c r="H624" s="16" t="str">
        <x:v>Official Taiwan catalogue filter identifier (expansionCodes); printed mark not independently checked</x:v>
      </x:c>
      <x:c r="I624" s="16" t="str">
        <x:v>2025-07-18</x:v>
      </x:c>
      <x:c r="J624" s="16" t="str">
        <x:v>day</x:v>
      </x:c>
      <x:c r="K624" s="16" t="str">
        <x:v>Taiwan date; other regional dates may differ</x:v>
      </x:c>
      <x:c r="L624" s="16"/>
      <x:c r="M624" s="16"/>
      <x:c r="N624" s="16"/>
      <x:c r="O624" s="16" t="n">
        <x:v>23</x:v>
      </x:c>
      <x:c r="P624" s="16" t="n">
        <x:v>23</x:v>
      </x:c>
      <x:c r="Q624" s="16"/>
      <x:c r="R624" s="16"/>
      <x:c r="S624" s="16" t="str"/>
      <x:c r="T624" s="16" t="str">
        <x:v>https://asia.pokemon-card.com/tw/card-search/ ; https://asia.pokemon-card.com/tw/card-search/ ; https://bulbapedia.bulbagarden.net/wiki/Pok%C3%A9mon_in_Taiwan</x:v>
      </x:c>
      <x:c r="U624" s="16" t="str">
        <x:v>NO — review only</x:v>
      </x:c>
    </x:row>
    <x:row r="625" ht="54" customHeight="1">
      <x:c r="A625" s="16" t="str">
        <x:v>zh-TW-5cd724144f1f</x:v>
      </x:c>
      <x:c r="B625" s="16" t="str">
        <x:v>zh-TW</x:v>
      </x:c>
      <x:c r="C625" s="16" t="str">
        <x:v>Mega Brave</x:v>
      </x:c>
      <x:c r="D625" s="16" t="str">
        <x:v>超級勇氣</x:v>
      </x:c>
      <x:c r="E625" s="16" t="str">
        <x:v>Mega Evolution</x:v>
      </x:c>
      <x:c r="F625" s="16" t="str">
        <x:v>Card set / collection</x:v>
      </x:c>
      <x:c r="G625" s="16" t="str">
        <x:v>M1L</x:v>
      </x:c>
      <x:c r="H625" s="16" t="str">
        <x:v>Official Taiwan catalogue filter identifier (expansionCodes); printed mark not independently checked</x:v>
      </x:c>
      <x:c r="I625" s="16" t="str">
        <x:v>2025-08-15</x:v>
      </x:c>
      <x:c r="J625" s="16" t="str">
        <x:v>day</x:v>
      </x:c>
      <x:c r="K625" s="16" t="str">
        <x:v>Taiwan date; other regional dates may differ</x:v>
      </x:c>
      <x:c r="L625" s="16"/>
      <x:c r="M625" s="16"/>
      <x:c r="N625" s="16"/>
      <x:c r="O625" s="16" t="n">
        <x:v>92</x:v>
      </x:c>
      <x:c r="P625" s="16" t="n">
        <x:v>92</x:v>
      </x:c>
      <x:c r="Q625" s="16"/>
      <x:c r="R625" s="16"/>
      <x:c r="S625" s="16" t="str"/>
      <x:c r="T625" s="16" t="str">
        <x:v>https://asia.pokemon-card.com/tw/card-search/ ; https://bulbapedia.bulbagarden.net/wiki/Pok%C3%A9mon_in_Taiwan ; https://asia.pokemon-card.com/tw/card-search/</x:v>
      </x:c>
      <x:c r="U625" s="16" t="str">
        <x:v>NO — review only</x:v>
      </x:c>
    </x:row>
    <x:row r="626" ht="54" customHeight="1">
      <x:c r="A626" s="16" t="str">
        <x:v>zh-TW-0f37c5f8c336</x:v>
      </x:c>
      <x:c r="B626" s="16" t="str">
        <x:v>zh-TW</x:v>
      </x:c>
      <x:c r="C626" s="16" t="str">
        <x:v>Mega Symphonia</x:v>
      </x:c>
      <x:c r="D626" s="16" t="str">
        <x:v>超級交響樂</x:v>
      </x:c>
      <x:c r="E626" s="16" t="str">
        <x:v>Mega Evolution</x:v>
      </x:c>
      <x:c r="F626" s="16" t="str">
        <x:v>Card set / collection</x:v>
      </x:c>
      <x:c r="G626" s="16" t="str">
        <x:v>M1S</x:v>
      </x:c>
      <x:c r="H626" s="16" t="str">
        <x:v>Official Taiwan catalogue filter identifier (expansionCodes); printed mark not independently checked</x:v>
      </x:c>
      <x:c r="I626" s="16" t="str">
        <x:v>2025-08-15</x:v>
      </x:c>
      <x:c r="J626" s="16" t="str">
        <x:v>day</x:v>
      </x:c>
      <x:c r="K626" s="16" t="str">
        <x:v>Taiwan date; other regional dates may differ</x:v>
      </x:c>
      <x:c r="L626" s="16"/>
      <x:c r="M626" s="16"/>
      <x:c r="N626" s="16"/>
      <x:c r="O626" s="16" t="n">
        <x:v>92</x:v>
      </x:c>
      <x:c r="P626" s="16" t="n">
        <x:v>92</x:v>
      </x:c>
      <x:c r="Q626" s="16"/>
      <x:c r="R626" s="16"/>
      <x:c r="S626" s="16" t="str"/>
      <x:c r="T626" s="16" t="str">
        <x:v>https://asia.pokemon-card.com/tw/card-search/ ; https://bulbapedia.bulbagarden.net/wiki/Pok%C3%A9mon_in_Taiwan ; https://asia.pokemon-card.com/tw/card-search/</x:v>
      </x:c>
      <x:c r="U626" s="16" t="str">
        <x:v>NO — review only</x:v>
      </x:c>
    </x:row>
    <x:row r="627" ht="54" customHeight="1">
      <x:c r="A627" s="16" t="str">
        <x:v>zh-TW-a1a18e45b7d6</x:v>
      </x:c>
      <x:c r="B627" s="16" t="str">
        <x:v>zh-TW</x:v>
      </x:c>
      <x:c r="C627" s="16" t="str">
        <x:v>Challenge Deck: Mega Diancie ex</x:v>
      </x:c>
      <x:c r="D627" s="16" t="str">
        <x:v>挑戰牌組 超級蒂安希ex</x:v>
      </x:c>
      <x:c r="E627" s="16" t="str">
        <x:v>Mega Evolution</x:v>
      </x:c>
      <x:c r="F627" s="16" t="str">
        <x:v>Product / deck</x:v>
      </x:c>
      <x:c r="G627" s="16" t="str">
        <x:v>MBD</x:v>
      </x:c>
      <x:c r="H627" s="16" t="str">
        <x:v>Official Taiwan catalogue filter identifier (expansionCodes); printed mark not independently checked</x:v>
      </x:c>
      <x:c r="I627" s="16" t="str">
        <x:v>2025-09-19</x:v>
      </x:c>
      <x:c r="J627" s="16" t="str">
        <x:v>day</x:v>
      </x:c>
      <x:c r="K627" s="16" t="str">
        <x:v>Taiwan date; other regional dates may differ</x:v>
      </x:c>
      <x:c r="L627" s="16"/>
      <x:c r="M627" s="16"/>
      <x:c r="N627" s="16"/>
      <x:c r="O627" s="16" t="n">
        <x:v>23</x:v>
      </x:c>
      <x:c r="P627" s="16" t="n">
        <x:v>23</x:v>
      </x:c>
      <x:c r="Q627" s="16"/>
      <x:c r="R627" s="16"/>
      <x:c r="S627" s="16" t="str"/>
      <x:c r="T627" s="16" t="str">
        <x:v>https://asia.pokemon-card.com/tw/card-search/ ; https://asia.pokemon-card.com/tw/card-search/ ; https://bulbapedia.bulbagarden.net/wiki/Pok%C3%A9mon_in_Taiwan</x:v>
      </x:c>
      <x:c r="U627" s="16" t="str">
        <x:v>NO — review only</x:v>
      </x:c>
    </x:row>
    <x:row r="628" ht="54" customHeight="1">
      <x:c r="A628" s="16" t="str">
        <x:v>zh-TW-4e5a9002b259</x:v>
      </x:c>
      <x:c r="B628" s="16" t="str">
        <x:v>zh-TW</x:v>
      </x:c>
      <x:c r="C628" s="16" t="str">
        <x:v>Challenge Deck: Mega Gengar ex</x:v>
      </x:c>
      <x:c r="D628" s="16" t="str">
        <x:v>挑戰牌組 超級耿鬼ex</x:v>
      </x:c>
      <x:c r="E628" s="16" t="str">
        <x:v>Mega Evolution</x:v>
      </x:c>
      <x:c r="F628" s="16" t="str">
        <x:v>Product / deck</x:v>
      </x:c>
      <x:c r="G628" s="16" t="str">
        <x:v>MBG</x:v>
      </x:c>
      <x:c r="H628" s="16" t="str">
        <x:v>Official Taiwan catalogue filter identifier (expansionCodes); printed mark not independently checked</x:v>
      </x:c>
      <x:c r="I628" s="16" t="str">
        <x:v>2025-09-19</x:v>
      </x:c>
      <x:c r="J628" s="16" t="str">
        <x:v>day</x:v>
      </x:c>
      <x:c r="K628" s="16" t="str">
        <x:v>Taiwan date; other regional dates may differ</x:v>
      </x:c>
      <x:c r="L628" s="16"/>
      <x:c r="M628" s="16"/>
      <x:c r="N628" s="16"/>
      <x:c r="O628" s="16" t="n">
        <x:v>23</x:v>
      </x:c>
      <x:c r="P628" s="16" t="n">
        <x:v>23</x:v>
      </x:c>
      <x:c r="Q628" s="16"/>
      <x:c r="R628" s="16"/>
      <x:c r="S628" s="16" t="str"/>
      <x:c r="T628" s="16" t="str">
        <x:v>https://asia.pokemon-card.com/tw/card-search/ ; https://asia.pokemon-card.com/tw/card-search/ ; https://bulbapedia.bulbagarden.net/wiki/Pok%C3%A9mon_in_Taiwan</x:v>
      </x:c>
      <x:c r="U628" s="16" t="str">
        <x:v>NO — review only</x:v>
      </x:c>
    </x:row>
    <x:row r="629" ht="54" customHeight="1">
      <x:c r="A629" s="16" t="str">
        <x:v>zh-TW-46e6de88e93e</x:v>
      </x:c>
      <x:c r="B629" s="16" t="str">
        <x:v>zh-TW</x:v>
      </x:c>
      <x:c r="C629" s="16" t="str">
        <x:v>Inferno X</x:v>
      </x:c>
      <x:c r="D629" s="16" t="str">
        <x:v>烈獄狂火X</x:v>
      </x:c>
      <x:c r="E629" s="16" t="str">
        <x:v>Mega Evolution</x:v>
      </x:c>
      <x:c r="F629" s="16" t="str">
        <x:v>Card set / collection</x:v>
      </x:c>
      <x:c r="G629" s="16" t="str">
        <x:v>M2</x:v>
      </x:c>
      <x:c r="H629" s="16" t="str">
        <x:v>Official product-page identifier; language-scoped</x:v>
      </x:c>
      <x:c r="I629" s="16" t="str">
        <x:v>2025-10-09</x:v>
      </x:c>
      <x:c r="J629" s="16" t="str">
        <x:v>day</x:v>
      </x:c>
      <x:c r="K629" s="16" t="str">
        <x:v>Taiwan date; other regional dates may differ</x:v>
      </x:c>
      <x:c r="L629" s="16"/>
      <x:c r="M629" s="16"/>
      <x:c r="N629" s="16"/>
      <x:c r="O629" s="16" t="n">
        <x:v>116</x:v>
      </x:c>
      <x:c r="P629" s="16" t="n">
        <x:v>116</x:v>
      </x:c>
      <x:c r="Q629" s="16"/>
      <x:c r="R629" s="16"/>
      <x:c r="S629" s="16" t="str"/>
      <x:c r="T629" s="16" t="str">
        <x:v>https://bulbapedia.bulbagarden.net/wiki/Pok%C3%A9mon_in_Taiwan ; https://asia.pokemon-card.com/tw/card-search/</x:v>
      </x:c>
      <x:c r="U629" s="16" t="str">
        <x:v>NO — review only</x:v>
      </x:c>
    </x:row>
    <x:row r="630" ht="54" customHeight="1">
      <x:c r="A630" s="16" t="str">
        <x:v>zh-TW-cde90de02356</x:v>
      </x:c>
      <x:c r="B630" s="16" t="str">
        <x:v>zh-TW</x:v>
      </x:c>
      <x:c r="C630" s="16" t="str">
        <x:v>MEGA Dream ex</x:v>
      </x:c>
      <x:c r="D630" s="16" t="str">
        <x:v>超級進化夢想ex</x:v>
      </x:c>
      <x:c r="E630" s="16" t="str">
        <x:v>Mega Evolution</x:v>
      </x:c>
      <x:c r="F630" s="16" t="str">
        <x:v>Card set / collection</x:v>
      </x:c>
      <x:c r="G630" s="16" t="str">
        <x:v>M2a</x:v>
      </x:c>
      <x:c r="H630" s="16" t="str">
        <x:v>Official product-page identifier; language-scoped</x:v>
      </x:c>
      <x:c r="I630" s="16" t="str">
        <x:v>2025-12-05</x:v>
      </x:c>
      <x:c r="J630" s="16" t="str">
        <x:v>day</x:v>
      </x:c>
      <x:c r="K630" s="16" t="str">
        <x:v>Taiwan date; other regional dates may differ</x:v>
      </x:c>
      <x:c r="L630" s="16"/>
      <x:c r="M630" s="16"/>
      <x:c r="N630" s="16"/>
      <x:c r="O630" s="16" t="n">
        <x:v>250</x:v>
      </x:c>
      <x:c r="P630" s="16" t="n">
        <x:v>250</x:v>
      </x:c>
      <x:c r="Q630" s="16"/>
      <x:c r="R630" s="16"/>
      <x:c r="S630" s="16" t="str"/>
      <x:c r="T630" s="16" t="str">
        <x:v>https://bulbapedia.bulbagarden.net/wiki/Pok%C3%A9mon_in_Taiwan ; https://asia.pokemon-card.com/tw/card-search/</x:v>
      </x:c>
      <x:c r="U630" s="16" t="str">
        <x:v>NO — review only</x:v>
      </x:c>
    </x:row>
    <x:row r="631" ht="54" customHeight="1">
      <x:c r="A631" s="16" t="str">
        <x:v>zh-TW-3fe2b38c6ebe</x:v>
      </x:c>
      <x:c r="B631" s="16" t="str">
        <x:v>zh-TW</x:v>
      </x:c>
      <x:c r="C631" s="16" t="str">
        <x:v>Start Deck 100 Battle Collection</x:v>
      </x:c>
      <x:c r="D631" s="16" t="str">
        <x:v>初階牌組100對戰收藏</x:v>
      </x:c>
      <x:c r="E631" s="16" t="str">
        <x:v>Mega Evolution</x:v>
      </x:c>
      <x:c r="F631" s="16" t="str">
        <x:v>Product / deck</x:v>
      </x:c>
      <x:c r="G631" s="16" t="str">
        <x:v>TW-SD100-BC</x:v>
      </x:c>
      <x:c r="H631" s="16" t="str">
        <x:v>Stackr internal inventory alias for Start Deck 100 Battle Collection; avoids unsupported official-code claim</x:v>
      </x:c>
      <x:c r="I631" s="16" t="str">
        <x:v>2026-01-16</x:v>
      </x:c>
      <x:c r="J631" s="16" t="str">
        <x:v>day</x:v>
      </x:c>
      <x:c r="K631" s="16" t="str">
        <x:v>Taiwan date; other regional dates may differ</x:v>
      </x:c>
      <x:c r="L631" s="16"/>
      <x:c r="M631" s="16"/>
      <x:c r="N631" s="16"/>
      <x:c r="O631" s="16" t="n">
        <x:v>742</x:v>
      </x:c>
      <x:c r="P631" s="16" t="n">
        <x:v>742</x:v>
      </x:c>
      <x:c r="Q631" s="16"/>
      <x:c r="R631" s="16"/>
      <x:c r="S631" s="16" t="str">
        <x:v>numbered_total_provisional_snapshot</x:v>
      </x:c>
      <x:c r="T631" s="16" t="str">
        <x:v>https://asia.pokemon-card.com/tw/card-search/ ; https://asia.pokemon-card.com/tw/card-search/ ; https://bulbapedia.bulbagarden.net/wiki/Pok%C3%A9mon_in_Taiwan</x:v>
      </x:c>
      <x:c r="U631" s="16" t="str">
        <x:v>NO — review only</x:v>
      </x:c>
    </x:row>
    <x:row r="632" ht="54" customHeight="1">
      <x:c r="A632" s="16" t="str">
        <x:v>zh-TW-bc558463633d</x:v>
      </x:c>
      <x:c r="B632" s="16" t="str">
        <x:v>zh-TW</x:v>
      </x:c>
      <x:c r="C632" s="16" t="str">
        <x:v>Nihil Zero</x:v>
      </x:c>
      <x:c r="D632" s="16" t="str">
        <x:v>虛無歸零</x:v>
      </x:c>
      <x:c r="E632" s="16" t="str">
        <x:v>Mega Evolution</x:v>
      </x:c>
      <x:c r="F632" s="16" t="str">
        <x:v>Card set / collection</x:v>
      </x:c>
      <x:c r="G632" s="16" t="str">
        <x:v>M3</x:v>
      </x:c>
      <x:c r="H632" s="16" t="str">
        <x:v>Official product-page identifier; language-scoped</x:v>
      </x:c>
      <x:c r="I632" s="16" t="str">
        <x:v>2026-02-06</x:v>
      </x:c>
      <x:c r="J632" s="16" t="str">
        <x:v>day</x:v>
      </x:c>
      <x:c r="K632" s="16" t="str">
        <x:v>Taiwan date; other regional dates may differ</x:v>
      </x:c>
      <x:c r="L632" s="16"/>
      <x:c r="M632" s="16"/>
      <x:c r="N632" s="16"/>
      <x:c r="O632" s="16" t="n">
        <x:v>117</x:v>
      </x:c>
      <x:c r="P632" s="16" t="n">
        <x:v>117</x:v>
      </x:c>
      <x:c r="Q632" s="16"/>
      <x:c r="R632" s="16"/>
      <x:c r="S632" s="16" t="str"/>
      <x:c r="T632" s="16" t="str">
        <x:v>https://bulbapedia.bulbagarden.net/wiki/Pok%C3%A9mon_in_Taiwan ; https://asia.pokemon-card.com/tw/card-search/</x:v>
      </x:c>
      <x:c r="U632" s="16" t="str">
        <x:v>NO — review only</x:v>
      </x:c>
    </x:row>
    <x:row r="633" ht="54" customHeight="1">
      <x:c r="A633" s="16" t="str">
        <x:v>zh-TW-9c9e4a7b4d38</x:v>
      </x:c>
      <x:c r="B633" s="16" t="str">
        <x:v>zh-TW</x:v>
      </x:c>
      <x:c r="C633" s="16" t="str">
        <x:v>New Trainer Journey</x:v>
      </x:c>
      <x:c r="D633" s="16" t="str">
        <x:v>New Trainer Journey</x:v>
      </x:c>
      <x:c r="E633" s="16" t="str">
        <x:v>Mega Evolution</x:v>
      </x:c>
      <x:c r="F633" s="16" t="str">
        <x:v>Event / teaching programme</x:v>
      </x:c>
      <x:c r="G633" s="16" t="str">
        <x:v>TW-NTJ</x:v>
      </x:c>
      <x:c r="H633" s="16" t="str">
        <x:v>Stackr internal inventory alias derived from product title; not asserted as an official printed code</x:v>
      </x:c>
      <x:c r="I633" s="16" t="str">
        <x:v>2026-02-26</x:v>
      </x:c>
      <x:c r="J633" s="16" t="str">
        <x:v>day</x:v>
      </x:c>
      <x:c r="K633" s="16" t="str">
        <x:v>Taiwan date; other regional dates may differ</x:v>
      </x:c>
      <x:c r="L633" s="16"/>
      <x:c r="M633" s="16"/>
      <x:c r="N633" s="16"/>
      <x:c r="O633" s="16"/>
      <x:c r="P633" s="16"/>
      <x:c r="Q633" s="16"/>
      <x:c r="R633" s="16"/>
      <x:c r="S633" s="16" t="str">
        <x:v>reference_count_not_applicable, numbered_total_not_applicable</x:v>
      </x:c>
      <x:c r="T633" s="16" t="str">
        <x:v>https://asia.pokemon-card.com/tw/card-search/ ; https://asia.pokemon-card.com/tw/event/</x:v>
      </x:c>
      <x:c r="U633" s="16" t="str">
        <x:v>NO — review only</x:v>
      </x:c>
    </x:row>
    <x:row r="634" ht="54" customHeight="1">
      <x:c r="A634" s="16" t="str">
        <x:v>zh-TW-6dd574732d59</x:v>
      </x:c>
      <x:c r="B634" s="16" t="str">
        <x:v>zh-TW</x:v>
      </x:c>
      <x:c r="C634" s="16" t="str">
        <x:v>Ninja Spinner</x:v>
      </x:c>
      <x:c r="D634" s="16" t="str">
        <x:v>忍者飛旋</x:v>
      </x:c>
      <x:c r="E634" s="16" t="str">
        <x:v>Mega Evolution</x:v>
      </x:c>
      <x:c r="F634" s="16" t="str">
        <x:v>Card set / collection</x:v>
      </x:c>
      <x:c r="G634" s="16" t="str">
        <x:v>M4</x:v>
      </x:c>
      <x:c r="H634" s="16" t="str">
        <x:v>Official product-page identifier; language-scoped</x:v>
      </x:c>
      <x:c r="I634" s="16" t="str">
        <x:v>2026-03-27</x:v>
      </x:c>
      <x:c r="J634" s="16" t="str">
        <x:v>day</x:v>
      </x:c>
      <x:c r="K634" s="16" t="str">
        <x:v>Taiwan date; other regional dates may differ</x:v>
      </x:c>
      <x:c r="L634" s="16"/>
      <x:c r="M634" s="16"/>
      <x:c r="N634" s="16"/>
      <x:c r="O634" s="16" t="n">
        <x:v>120</x:v>
      </x:c>
      <x:c r="P634" s="16" t="n">
        <x:v>120</x:v>
      </x:c>
      <x:c r="Q634" s="16"/>
      <x:c r="R634" s="16"/>
      <x:c r="S634" s="16" t="str"/>
      <x:c r="T634" s="16" t="str">
        <x:v>https://bulbapedia.bulbagarden.net/wiki/Pok%C3%A9mon_in_Taiwan ; https://asia.pokemon-card.com/tw/card-search/</x:v>
      </x:c>
      <x:c r="U634" s="16" t="str">
        <x:v>NO — review only</x:v>
      </x:c>
    </x:row>
    <x:row r="635" ht="54" customHeight="1">
      <x:c r="A635" s="16" t="str">
        <x:v>zh-TW-5d0f2c0fb6e0</x:v>
      </x:c>
      <x:c r="B635" s="16" t="str">
        <x:v>zh-TW</x:v>
      </x:c>
      <x:c r="C635" s="16" t="str">
        <x:v>Abyss Eye</x:v>
      </x:c>
      <x:c r="D635" s="16" t="str">
        <x:v>深淵之瞳</x:v>
      </x:c>
      <x:c r="E635" s="16" t="str">
        <x:v>Mega Evolution</x:v>
      </x:c>
      <x:c r="F635" s="16" t="str">
        <x:v>Card set / collection</x:v>
      </x:c>
      <x:c r="G635" s="16" t="str">
        <x:v>M5</x:v>
      </x:c>
      <x:c r="H635" s="16" t="str">
        <x:v>Official product-page identifier; language-scoped</x:v>
      </x:c>
      <x:c r="I635" s="16" t="str">
        <x:v>2026-06-05</x:v>
      </x:c>
      <x:c r="J635" s="16" t="str">
        <x:v>day</x:v>
      </x:c>
      <x:c r="K635" s="16" t="str">
        <x:v>Taiwan date; other regional dates may differ</x:v>
      </x:c>
      <x:c r="L635" s="16"/>
      <x:c r="M635" s="16"/>
      <x:c r="N635" s="16"/>
      <x:c r="O635" s="16" t="n">
        <x:v>118</x:v>
      </x:c>
      <x:c r="P635" s="16" t="n">
        <x:v>118</x:v>
      </x:c>
      <x:c r="Q635" s="16"/>
      <x:c r="R635" s="16"/>
      <x:c r="S635" s="16" t="str"/>
      <x:c r="T635" s="16" t="str">
        <x:v>https://bulbapedia.bulbagarden.net/wiki/Pok%C3%A9mon_in_Taiwan ; https://asia.pokemon-card.com/tw/card-search/</x:v>
      </x:c>
      <x:c r="U635" s="16" t="str">
        <x:v>NO — review only</x:v>
      </x:c>
    </x:row>
    <x:row r="636" ht="54" customHeight="1">
      <x:c r="A636" s="16" t="str">
        <x:v>zh-TW-860e5a5ea101</x:v>
      </x:c>
      <x:c r="B636" s="16" t="str">
        <x:v>zh-TW</x:v>
      </x:c>
      <x:c r="C636" s="16" t="str">
        <x:v>Tactical Deck: Mega Charizard X ex</x:v>
      </x:c>
      <x:c r="D636" s="16" t="str">
        <x:v>戰術牌組 超級噴火龍Xex</x:v>
      </x:c>
      <x:c r="E636" s="16" t="str">
        <x:v>Mega Evolution</x:v>
      </x:c>
      <x:c r="F636" s="16" t="str">
        <x:v>Product / deck</x:v>
      </x:c>
      <x:c r="G636" s="16" t="str">
        <x:v>MTL</x:v>
      </x:c>
      <x:c r="H636" s="16" t="str">
        <x:v>Official Taiwan catalogue filter identifier (expansionCodes); printed mark not independently checked</x:v>
      </x:c>
      <x:c r="I636" s="16" t="str">
        <x:v>2026-07-17</x:v>
      </x:c>
      <x:c r="J636" s="16" t="str">
        <x:v>day</x:v>
      </x:c>
      <x:c r="K636" s="16" t="str">
        <x:v>Taiwan date; other regional dates may differ</x:v>
      </x:c>
      <x:c r="L636" s="16"/>
      <x:c r="M636" s="16"/>
      <x:c r="N636" s="16"/>
      <x:c r="O636" s="16" t="n">
        <x:v>23</x:v>
      </x:c>
      <x:c r="P636" s="16" t="n">
        <x:v>23</x:v>
      </x:c>
      <x:c r="Q636" s="16"/>
      <x:c r="R636" s="16"/>
      <x:c r="S636" s="16" t="str"/>
      <x:c r="T636" s="16" t="str">
        <x:v>https://asia.pokemon-card.com/tw/card-search/ ; https://asia.pokemon-card.com/tw/card-search/ ; https://bulbapedia.bulbagarden.net/wiki/Pok%C3%A9mon_in_Taiwan</x:v>
      </x:c>
      <x:c r="U636" s="16" t="str">
        <x:v>NO — review only</x:v>
      </x:c>
    </x:row>
    <x:row r="637" ht="54" customHeight="1">
      <x:c r="A637" s="16" t="str">
        <x:v>zh-TW-77c7d2bfb26b</x:v>
      </x:c>
      <x:c r="B637" s="16" t="str">
        <x:v>zh-TW</x:v>
      </x:c>
      <x:c r="C637" s="16" t="str">
        <x:v>Tactical Deck: Mega Dragonite ex</x:v>
      </x:c>
      <x:c r="D637" s="16" t="str">
        <x:v>戰術牌組 超級快龍ex</x:v>
      </x:c>
      <x:c r="E637" s="16" t="str">
        <x:v>Mega Evolution</x:v>
      </x:c>
      <x:c r="F637" s="16" t="str">
        <x:v>Product / deck</x:v>
      </x:c>
      <x:c r="G637" s="16" t="str">
        <x:v>MTK</x:v>
      </x:c>
      <x:c r="H637" s="16" t="str">
        <x:v>Official Taiwan catalogue filter identifier (expansionCodes); printed mark not independently checked</x:v>
      </x:c>
      <x:c r="I637" s="16" t="str">
        <x:v>2026-07-17</x:v>
      </x:c>
      <x:c r="J637" s="16" t="str">
        <x:v>day</x:v>
      </x:c>
      <x:c r="K637" s="16" t="str">
        <x:v>Taiwan date; other regional dates may differ</x:v>
      </x:c>
      <x:c r="L637" s="16"/>
      <x:c r="M637" s="16"/>
      <x:c r="N637" s="16"/>
      <x:c r="O637" s="16" t="n">
        <x:v>23</x:v>
      </x:c>
      <x:c r="P637" s="16" t="n">
        <x:v>23</x:v>
      </x:c>
      <x:c r="Q637" s="16"/>
      <x:c r="R637" s="16"/>
      <x:c r="S637" s="16" t="str"/>
      <x:c r="T637" s="16" t="str">
        <x:v>https://asia.pokemon-card.com/tw/card-search/ ; https://asia.pokemon-card.com/tw/card-search/ ; https://bulbapedia.bulbagarden.net/wiki/Pok%C3%A9mon_in_Taiwan</x:v>
      </x:c>
      <x:c r="U637" s="16" t="str">
        <x:v>NO — review only</x:v>
      </x:c>
    </x:row>
    <x:row r="638" ht="54" customHeight="1">
      <x:c r="A638" s="16" t="str">
        <x:v>zh-TW-157f7b2ae355</x:v>
      </x:c>
      <x:c r="B638" s="16" t="str">
        <x:v>zh-TW</x:v>
      </x:c>
      <x:c r="C638" s="16" t="str">
        <x:v>Tactical Deck: Mega Gardevoir ex</x:v>
      </x:c>
      <x:c r="D638" s="16" t="str">
        <x:v>戰術牌組 超級沙奈朵ex</x:v>
      </x:c>
      <x:c r="E638" s="16" t="str">
        <x:v>Mega Evolution</x:v>
      </x:c>
      <x:c r="F638" s="16" t="str">
        <x:v>Product / deck</x:v>
      </x:c>
      <x:c r="G638" s="16" t="str">
        <x:v>TW-MGEX-G</x:v>
      </x:c>
      <x:c r="H638" s="16" t="str">
        <x:v>Stackr internal inventory alias for Mega Gardevoir ex tactical deck; not asserted as an official printed code</x:v>
      </x:c>
      <x:c r="I638" s="16" t="str">
        <x:v>2026-07-17</x:v>
      </x:c>
      <x:c r="J638" s="16" t="str">
        <x:v>day</x:v>
      </x:c>
      <x:c r="K638" s="16" t="str">
        <x:v>Taiwan date; other regional dates may differ</x:v>
      </x:c>
      <x:c r="L638" s="16"/>
      <x:c r="M638" s="16"/>
      <x:c r="N638" s="16"/>
      <x:c r="O638" s="16" t="n">
        <x:v>23</x:v>
      </x:c>
      <x:c r="P638" s="16" t="n">
        <x:v>23</x:v>
      </x:c>
      <x:c r="Q638" s="16"/>
      <x:c r="R638" s="16"/>
      <x:c r="S638" s="16" t="str"/>
      <x:c r="T638" s="16" t="str">
        <x:v>https://asia.pokemon-card.com/tw/card-search/ ; https://asia.pokemon-card.com/tw/card-search/ ; https://bulbapedia.bulbagarden.net/wiki/Pok%C3%A9mon_in_Taiwan</x:v>
      </x:c>
      <x:c r="U638" s="16" t="str">
        <x:v>NO — review only</x:v>
      </x:c>
    </x:row>
    <x:row r="639" ht="54" customHeight="1">
      <x:c r="A639" s="16" t="str">
        <x:v>zh-TW-945a283ffa50</x:v>
      </x:c>
      <x:c r="B639" s="16" t="str">
        <x:v>zh-TW</x:v>
      </x:c>
      <x:c r="C639" s="16" t="str">
        <x:v>Tactical Deck: Mega Sharpedo ex</x:v>
      </x:c>
      <x:c r="D639" s="16" t="str">
        <x:v>戰術牌組 超級巨牙鯊ex</x:v>
      </x:c>
      <x:c r="E639" s="16" t="str">
        <x:v>Mega Evolution</x:v>
      </x:c>
      <x:c r="F639" s="16" t="str">
        <x:v>Product / deck</x:v>
      </x:c>
      <x:c r="G639" s="16" t="str">
        <x:v>TW-MGEX-S</x:v>
      </x:c>
      <x:c r="H639" s="16" t="str">
        <x:v>Stackr internal inventory alias for Mega Sharpedo ex tactical deck; not asserted as an official printed code</x:v>
      </x:c>
      <x:c r="I639" s="16" t="str">
        <x:v>2026-07-17</x:v>
      </x:c>
      <x:c r="J639" s="16" t="str">
        <x:v>day</x:v>
      </x:c>
      <x:c r="K639" s="16" t="str">
        <x:v>Taiwan date; other regional dates may differ</x:v>
      </x:c>
      <x:c r="L639" s="16"/>
      <x:c r="M639" s="16"/>
      <x:c r="N639" s="16"/>
      <x:c r="O639" s="16" t="n">
        <x:v>20</x:v>
      </x:c>
      <x:c r="P639" s="16" t="n">
        <x:v>20</x:v>
      </x:c>
      <x:c r="Q639" s="16"/>
      <x:c r="R639" s="16"/>
      <x:c r="S639" s="16" t="str"/>
      <x:c r="T639" s="16" t="str">
        <x:v>https://asia.pokemon-card.com/tw/card-search/ ; https://asia.pokemon-card.com/tw/card-search/ ; https://bulbapedia.bulbagarden.net/wiki/Pok%C3%A9mon_in_Taiwan</x:v>
      </x:c>
      <x:c r="U639" s="16" t="str">
        <x:v>NO — review only</x:v>
      </x:c>
    </x:row>
    <x:row r="640" ht="54" customHeight="1">
      <x:c r="A640" s="16" t="str">
        <x:v>zh-TW-e1227d8b54e9</x:v>
      </x:c>
      <x:c r="B640" s="16" t="str">
        <x:v>zh-TW</x:v>
      </x:c>
      <x:c r="C640" s="16" t="str">
        <x:v>Storm Emeralda</x:v>
      </x:c>
      <x:c r="D640" s="16" t="str">
        <x:v>綠寶石風暴</x:v>
      </x:c>
      <x:c r="E640" s="16" t="str">
        <x:v>Mega Evolution</x:v>
      </x:c>
      <x:c r="F640" s="16" t="str">
        <x:v>Card set / collection</x:v>
      </x:c>
      <x:c r="G640" s="16" t="str">
        <x:v>M6</x:v>
      </x:c>
      <x:c r="H640" s="16" t="str">
        <x:v>Official product-page identifier; language-scoped</x:v>
      </x:c>
      <x:c r="I640" s="16" t="str">
        <x:v>2026-08-07</x:v>
      </x:c>
      <x:c r="J640" s="16" t="str">
        <x:v>day</x:v>
      </x:c>
      <x:c r="K640" s="16" t="str">
        <x:v>Taiwan date; other regional dates may differ</x:v>
      </x:c>
      <x:c r="L640" s="16"/>
      <x:c r="M640" s="16"/>
      <x:c r="N640" s="16"/>
      <x:c r="O640" s="16" t="n">
        <x:v>113</x:v>
      </x:c>
      <x:c r="P640" s="16" t="n">
        <x:v>113</x:v>
      </x:c>
      <x:c r="Q640" s="16"/>
      <x:c r="R640" s="16"/>
      <x:c r="S640" s="16" t="str"/>
      <x:c r="T640" s="16" t="str">
        <x:v>https://bulbapedia.bulbagarden.net/wiki/Pok%C3%A9mon_in_Taiwan ; https://asia.pokemon-card.com/tw/card-search/</x:v>
      </x:c>
      <x:c r="U640" s="16" t="str">
        <x:v>NO — review only</x:v>
      </x:c>
    </x:row>
    <x:row r="641" ht="54" customHeight="1">
      <x:c r="A641" s="16" t="str">
        <x:v>zh-TW-3076e4f29fbe</x:v>
      </x:c>
      <x:c r="B641" s="16" t="str">
        <x:v>zh-TW</x:v>
      </x:c>
      <x:c r="C641" s="16" t="str">
        <x:v>30th Celebration</x:v>
      </x:c>
      <x:c r="D641" s="16" t="str">
        <x:v>30th CELEBRATION</x:v>
      </x:c>
      <x:c r="E641" s="16" t="str">
        <x:v>Mega Evolution</x:v>
      </x:c>
      <x:c r="F641" s="16" t="str">
        <x:v>Card set / collection</x:v>
      </x:c>
      <x:c r="G641" s="16" t="str">
        <x:v>M6a</x:v>
      </x:c>
      <x:c r="H641" s="16" t="str">
        <x:v>Official product-page identifier; language-scoped</x:v>
      </x:c>
      <x:c r="I641" s="16" t="str">
        <x:v>2026-09-16</x:v>
      </x:c>
      <x:c r="J641" s="16" t="str">
        <x:v>day</x:v>
      </x:c>
      <x:c r="K641" s="16" t="str">
        <x:v>Taiwan date; other regional dates may differ</x:v>
      </x:c>
      <x:c r="L641" s="16"/>
      <x:c r="M641" s="16"/>
      <x:c r="N641" s="16"/>
      <x:c r="O641" s="16" t="n">
        <x:v>176</x:v>
      </x:c>
      <x:c r="P641" s="16" t="n">
        <x:v>176</x:v>
      </x:c>
      <x:c r="Q641" s="16"/>
      <x:c r="R641" s="16"/>
      <x:c r="S641" s="16" t="str"/>
      <x:c r="T641" s="16" t="str">
        <x:v>https://asia.pokemon-card.com/tw/card-search/ ; https://bulbapedia.bulbagarden.net/wiki/Pok%C3%A9mon_in_Taiwan ; https://www.kado.hk/articles/30th-celebration-30-pikachu-best-art</x:v>
      </x:c>
      <x:c r="U641" s="16" t="str">
        <x:v>NO — review only</x:v>
      </x:c>
    </x:row>
    <x:row r="642" ht="54" customHeight="1">
      <x:c r="A642" s="16" t="str">
        <x:v>zh-TW-9c14d01812fd</x:v>
      </x:c>
      <x:c r="B642" s="16" t="str">
        <x:v>zh-TW</x:v>
      </x:c>
      <x:c r="C642" s="16" t="str">
        <x:v>Premium Deck Set: Espeon &amp; Umbreon</x:v>
      </x:c>
      <x:c r="D642" s="16" t="str">
        <x:v>頂級牌組組合 太陽伊布・月亮伊布</x:v>
      </x:c>
      <x:c r="E642" s="16" t="str">
        <x:v>Mega Evolution</x:v>
      </x:c>
      <x:c r="F642" s="16" t="str">
        <x:v>Product / deck</x:v>
      </x:c>
      <x:c r="G642" s="16" t="str">
        <x:v>TW-PDS-EU</x:v>
      </x:c>
      <x:c r="H642" s="16" t="str">
        <x:v>Stackr internal inventory alias for Espeon &amp; Umbreon premium deck set; not asserted as an official printed code</x:v>
      </x:c>
      <x:c r="I642" s="16" t="str">
        <x:v>2026-09-16</x:v>
      </x:c>
      <x:c r="J642" s="16" t="str">
        <x:v>day</x:v>
      </x:c>
      <x:c r="K642" s="16" t="str">
        <x:v>Taiwan date; other regional dates may differ</x:v>
      </x:c>
      <x:c r="L642" s="16"/>
      <x:c r="M642" s="16"/>
      <x:c r="N642" s="16"/>
      <x:c r="O642" s="16" t="n">
        <x:v>44</x:v>
      </x:c>
      <x:c r="P642" s="16" t="n">
        <x:v>44</x:v>
      </x:c>
      <x:c r="Q642" s="16"/>
      <x:c r="R642" s="16"/>
      <x:c r="S642" s="16" t="str"/>
      <x:c r="T642" s="16" t="str">
        <x:v>https://asia.pokemon-card.com/tw/card-search/ ; https://asia.pokemon-card.com/tw/card-search/ ; https://bulbapedia.bulbagarden.net/wiki/Pok%C3%A9mon_in_Taiwan</x:v>
      </x:c>
      <x:c r="U642" s="16" t="str">
        <x:v>NO — review only</x:v>
      </x:c>
    </x:row>
    <x:row r="643" ht="54" customHeight="1">
      <x:c r="A643" s="16" t="str">
        <x:v>zh-TW-43aee0909785</x:v>
      </x:c>
      <x:c r="B643" s="16" t="str">
        <x:v>zh-TW</x:v>
      </x:c>
      <x:c r="C643" s="16" t="str">
        <x:v>Mega Evolution Promotional cards</x:v>
      </x:c>
      <x:c r="D643" s="16" t="str">
        <x:v>特典卡 超級進化</x:v>
      </x:c>
      <x:c r="E643" s="16" t="str">
        <x:v>Mega Evolution</x:v>
      </x:c>
      <x:c r="F643" s="16" t="str">
        <x:v>Promo catalogue</x:v>
      </x:c>
      <x:c r="G643" s="16" t="str">
        <x:v>M-P</x:v>
      </x:c>
      <x:c r="H643" s="16" t="str">
        <x:v>Official Taiwan catalogue filter identifier (expansionCodes); printed mark not independently checked</x:v>
      </x:c>
      <x:c r="I643" s="16" t="str">
        <x:v>2025-08-15</x:v>
      </x:c>
      <x:c r="J643" s="16" t="str">
        <x:v>day</x:v>
      </x:c>
      <x:c r="K643" s="16" t="str">
        <x:v>Taiwan date; other regional dates may differ</x:v>
      </x:c>
      <x:c r="L643" s="16"/>
      <x:c r="M643" s="16"/>
      <x:c r="N643" s="16"/>
      <x:c r="O643" s="16" t="n">
        <x:v>144</x:v>
      </x:c>
      <x:c r="P643" s="16" t="n">
        <x:v>144</x:v>
      </x:c>
      <x:c r="Q643" s="16"/>
      <x:c r="R643" s="16"/>
      <x:c r="S643" s="16" t="str">
        <x:v>numbered_total_provisional_snapshot</x:v>
      </x:c>
      <x:c r="T643" s="16" t="str">
        <x:v>https://asia.pokemon-card.com/tw/card-search/ ; https://bulbapedia.bulbagarden.net/wiki/M-P_Promotional_cards_%28TCTCG%29 ; https://asia.pokemon-card.com/tw/card-search/ ; https://bulbapedia.bulbagarden.net/wiki/Pok%C3%A9mon_in_Taiwan</x:v>
      </x:c>
      <x:c r="U643" s="16" t="str">
        <x:v>NO — review only</x:v>
      </x:c>
    </x:row>
    <x:row r="644" ht="54" customHeight="1">
      <x:c r="A644" s="16" t="str">
        <x:v>zh-TW-2906d27bb5d9</x:v>
      </x:c>
      <x:c r="B644" s="16" t="str">
        <x:v>zh-TW</x:v>
      </x:c>
      <x:c r="C644" s="16" t="str">
        <x:v>Scarlet &amp; Violet Promotional cards</x:v>
      </x:c>
      <x:c r="D644" s="16" t="str">
        <x:v>特典卡 朱&amp;紫</x:v>
      </x:c>
      <x:c r="E644" s="16" t="str">
        <x:v>Scarlet &amp; Violet</x:v>
      </x:c>
      <x:c r="F644" s="16" t="str">
        <x:v>Promo catalogue</x:v>
      </x:c>
      <x:c r="G644" s="16" t="str">
        <x:v>SV-P</x:v>
      </x:c>
      <x:c r="H644" s="16" t="str">
        <x:v>Promotional numbering prefix (language-specific)</x:v>
      </x:c>
      <x:c r="I644" s="16" t="str">
        <x:v>2022-11-18</x:v>
      </x:c>
      <x:c r="J644" s="16" t="str">
        <x:v>day</x:v>
      </x:c>
      <x:c r="K644" s="16" t="str">
        <x:v>Taiwan date; other regional dates may differ</x:v>
      </x:c>
      <x:c r="L644" s="16"/>
      <x:c r="M644" s="16"/>
      <x:c r="N644" s="16"/>
      <x:c r="O644" s="16" t="n">
        <x:v>265</x:v>
      </x:c>
      <x:c r="P644" s="16" t="n">
        <x:v>265</x:v>
      </x:c>
      <x:c r="Q644" s="16"/>
      <x:c r="R644" s="16"/>
      <x:c r="S644" s="16" t="str">
        <x:v>numbered_total_provisional_snapshot</x:v>
      </x:c>
      <x:c r="T644" s="16" t="str">
        <x:v>https://bulbapedia.bulbagarden.net/wiki/SV-P_Promotional_cards_%28TCTCG%29 ; https://asia.pokemon-card.com/tw/card-search/ ; https://bulbapedia.bulbagarden.net/wiki/Pok%C3%A9mon_in_Taiwan</x:v>
      </x:c>
      <x:c r="U644" s="16" t="str">
        <x:v>NO — review only</x:v>
      </x:c>
    </x:row>
    <x:row r="645" ht="54" customHeight="1">
      <x:c r="A645" s="16" t="str">
        <x:v>zh-TW-a6040164d394</x:v>
      </x:c>
      <x:c r="B645" s="16" t="str">
        <x:v>zh-TW</x:v>
      </x:c>
      <x:c r="C645" s="16" t="str">
        <x:v>Sun &amp; Moon Promotional cards</x:v>
      </x:c>
      <x:c r="D645" s="16" t="str">
        <x:v>特典卡 太陽&amp;月亮</x:v>
      </x:c>
      <x:c r="E645" s="16" t="str">
        <x:v>Sun &amp; Moon</x:v>
      </x:c>
      <x:c r="F645" s="16" t="str">
        <x:v>Promo catalogue</x:v>
      </x:c>
      <x:c r="G645" s="16" t="str">
        <x:v>SM-P</x:v>
      </x:c>
      <x:c r="H645" s="16" t="str">
        <x:v>Promotional numbering prefix (language-specific)</x:v>
      </x:c>
      <x:c r="I645" s="16" t="str">
        <x:v>2019-10</x:v>
      </x:c>
      <x:c r="J645" s="16" t="str">
        <x:v>month</x:v>
      </x:c>
      <x:c r="K645" s="16" t="str">
        <x:v>Taiwan date; other regional dates may differ</x:v>
      </x:c>
      <x:c r="L645" s="16"/>
      <x:c r="M645" s="16"/>
      <x:c r="N645" s="16"/>
      <x:c r="O645" s="16" t="n">
        <x:v>78</x:v>
      </x:c>
      <x:c r="P645" s="16" t="n">
        <x:v>78</x:v>
      </x:c>
      <x:c r="Q645" s="16"/>
      <x:c r="R645" s="16"/>
      <x:c r="S645" s="16" t="str"/>
      <x:c r="T645" s="16" t="str">
        <x:v>https://bulbapedia.bulbagarden.net/wiki/SM-P_Promotional_cards_%28TCTCG%29 ; https://asia.pokemon-card.com/tw/card-search/ ; https://bulbapedia.bulbagarden.net/wiki/Pok%C3%A9mon_in_Taiwan</x:v>
      </x:c>
      <x:c r="U645" s="16" t="str">
        <x:v>NO — review only</x:v>
      </x:c>
    </x:row>
    <x:row r="646" ht="54" customHeight="1">
      <x:c r="A646" s="16" t="str">
        <x:v>zh-TW-e5a8fb2a002d</x:v>
      </x:c>
      <x:c r="B646" s="16" t="str">
        <x:v>zh-TW</x:v>
      </x:c>
      <x:c r="C646" s="16" t="str">
        <x:v>Sword &amp; Shield Promotional cards</x:v>
      </x:c>
      <x:c r="D646" s="16" t="str">
        <x:v>特典卡 劍&amp;盾</x:v>
      </x:c>
      <x:c r="E646" s="16" t="str">
        <x:v>Sword &amp; Shield</x:v>
      </x:c>
      <x:c r="F646" s="16" t="str">
        <x:v>Promo catalogue</x:v>
      </x:c>
      <x:c r="G646" s="16" t="str">
        <x:v>S-P</x:v>
      </x:c>
      <x:c r="H646" s="16" t="str">
        <x:v>Promotional numbering prefix (language-specific)</x:v>
      </x:c>
      <x:c r="I646" s="16" t="str">
        <x:v>2020-06</x:v>
      </x:c>
      <x:c r="J646" s="16" t="str">
        <x:v>month</x:v>
      </x:c>
      <x:c r="K646" s="16" t="str">
        <x:v>Taiwan date; other regional dates may differ</x:v>
      </x:c>
      <x:c r="L646" s="16"/>
      <x:c r="M646" s="16"/>
      <x:c r="N646" s="16"/>
      <x:c r="O646" s="16" t="n">
        <x:v>229</x:v>
      </x:c>
      <x:c r="P646" s="16" t="n">
        <x:v>229</x:v>
      </x:c>
      <x:c r="Q646" s="16"/>
      <x:c r="R646" s="16"/>
      <x:c r="S646" s="16" t="str">
        <x:v>numbered_total_provisional_snapshot</x:v>
      </x:c>
      <x:c r="T646" s="16" t="str">
        <x:v>https://bulbapedia.bulbagarden.net/wiki/S-P_Promos_%28TCTCG%29 ; https://asia.pokemon-card.com/tw/card-search/ ; https://bulbapedia.bulbagarden.net/wiki/Pok%C3%A9mon_in_Taiwan</x:v>
      </x:c>
      <x:c r="U646" s="16" t="str">
        <x:v>NO — review only</x:v>
      </x:c>
    </x:row>
  </x:sheetData>
  <x:mergeCells>
    <x:mergeCell ref="A1:U1"/>
    <x:mergeCell ref="A2:U2"/>
  </x:mergeCells>
  <x:pageMargins left="0.7" right="0.7" top="0.75" bottom="0.75" header="0.3" footer="0.3"/>
  <x:tableParts count="1">
    <x:tablePart xmlns:r="http://schemas.openxmlformats.org/officeDocument/2006/relationships" r:id="R3964b43a07c94af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15" hidden="0" customWidth="1"/>
    <x:col min="3" max="3" width="15" hidden="0" customWidth="1"/>
    <x:col min="4" max="4" width="15" hidden="0" customWidth="1"/>
    <x:col min="5" max="5" width="22" hidden="0" customWidth="1"/>
    <x:col min="6" max="6" width="22" hidden="0" customWidth="1"/>
    <x:col min="7" max="7" width="24" hidden="0" customWidth="1"/>
    <x:col min="8" max="8" width="18" hidden="0" customWidth="1"/>
    <x:col min="9" max="9" width="24" hidden="0" customWidth="1"/>
    <x:col min="10" max="10" width="18" hidden="0" customWidth="1"/>
  </x:cols>
  <x:sheetData>
    <x:row r="1" ht="25" customHeight="1">
      <x:c r="A1" s="20" t="str">
        <x:v>STACKR / METADATA — CANONICAL v1.0 SIGNED OFF</x:v>
      </x:c>
      <x:c r="B1" s="20"/>
      <x:c r="C1" s="20"/>
      <x:c r="D1" s="20"/>
      <x:c r="E1" s="20"/>
      <x:c r="F1" s="20"/>
      <x:c r="G1" s="20"/>
      <x:c r="H1" s="20"/>
    </x:row>
    <x:row r="2" ht="25" customHeight="1">
      <x:c r="A2" s="20"/>
      <x:c r="B2" s="20"/>
      <x:c r="C2" s="20"/>
      <x:c r="D2" s="20"/>
      <x:c r="E2" s="20"/>
      <x:c r="F2" s="20"/>
      <x:c r="G2" s="20"/>
      <x:c r="H2" s="20"/>
    </x:row>
    <x:row r="3" ht="27" customHeight="1">
      <x:c r="A3" s="23" t="str">
        <x:v>SIGNED OFF 26 September 2026  •  642 canonical entries  •  Core metadata frozen  •  Aura Seeker and explicitly flagged provisional/snapshot rows remain monitored</x:v>
      </x:c>
      <x:c r="B3" s="23"/>
      <x:c r="C3" s="23"/>
      <x:c r="D3" s="23"/>
      <x:c r="E3" s="23"/>
      <x:c r="F3" s="23"/>
      <x:c r="G3" s="23"/>
      <x:c r="H3" s="23"/>
    </x:row>
    <x:row r="5" ht="25" customHeight="1">
      <x:c r="A5" s="26" t="str">
        <x:v>New fields this round</x:v>
      </x:c>
      <x:c r="B5" s="26"/>
      <x:c r="C5" s="26" t="str">
        <x:v>Cumulative fields</x:v>
      </x:c>
      <x:c r="D5" s="26"/>
      <x:c r="E5" s="26"/>
      <x:c r="F5" s="26" t="str">
        <x:v>Existing facts replaced</x:v>
      </x:c>
      <x:c r="G5" s="26"/>
      <x:c r="H5" s="26"/>
    </x:row>
    <x:row r="6" ht="25" customHeight="1">
      <x:c r="A6" s="49" t="n">
        <x:f>COUNTA('This Batch'!A5:A61)</x:f>
        <x:v>57</x:v>
      </x:c>
      <x:c r="B6" s="50"/>
      <x:c r="C6" s="49" t="n">
        <x:f>COUNTA('All Additions'!A5:A141)</x:f>
        <x:v>137</x:v>
      </x:c>
      <x:c r="D6" s="50"/>
      <x:c r="E6" s="50"/>
      <x:c r="F6" s="49" t="n">
        <x:v>0</x:v>
      </x:c>
      <x:c r="G6" s="50"/>
      <x:c r="H6" s="50"/>
    </x:row>
    <x:row r="7" ht="25" customHeight="1">
      <x:c r="A7" s="50"/>
      <x:c r="B7" s="50"/>
      <x:c r="C7" s="50"/>
      <x:c r="D7" s="50"/>
      <x:c r="E7" s="50"/>
      <x:c r="F7" s="50"/>
      <x:c r="G7" s="50"/>
      <x:c r="H7" s="50"/>
    </x:row>
    <x:row r="9" ht="28" customHeight="1">
      <x:c r="A9" s="10" t="str">
        <x:v>Language</x:v>
      </x:c>
      <x:c r="B9" s="10" t="str">
        <x:v>Entries improved</x:v>
      </x:c>
      <x:c r="C9" s="10" t="str">
        <x:v>New fields</x:v>
      </x:c>
      <x:c r="D9" s="10" t="str">
        <x:v>Evidence</x:v>
      </x:c>
      <x:c r="E9" s="10" t="str">
        <x:v>Round 2 source split</x:v>
      </x:c>
      <x:c r="F9" s="10"/>
      <x:c r="G9" s="10"/>
      <x:c r="H9" s="10"/>
    </x:row>
    <x:row r="10" ht="30" customHeight="1">
      <x:c r="A10" s="31" t="str">
        <x:v>Japanese</x:v>
      </x:c>
      <x:c r="B10" s="31" t="n">
        <x:v>13</x:v>
      </x:c>
      <x:c r="C10" s="31" t="n">
        <x:f>COUNTIF('This Batch'!C5:C61,"ja")</x:f>
        <x:v>21</x:v>
      </x:c>
      <x:c r="D10" s="31" t="str">
        <x:v>Official + secondary</x:v>
      </x:c>
      <x:c r="E10" t="str">
        <x:v>Official-source fields</x:v>
      </x:c>
      <x:c r="H10" t="n">
        <x:f>COUNTIF('This Batch'!G5:G61,"official")</x:f>
        <x:v>52</x:v>
      </x:c>
    </x:row>
    <x:row r="11" ht="30" customHeight="1">
      <x:c r="A11" s="31" t="str">
        <x:v>Simplified Chinese</x:v>
      </x:c>
      <x:c r="B11" s="31" t="n">
        <x:v>4</x:v>
      </x:c>
      <x:c r="C11" s="31" t="n">
        <x:f>COUNTIF('This Batch'!C5:C61,"zh-CN")</x:f>
        <x:v>11</x:v>
      </x:c>
      <x:c r="D11" s="31" t="str">
        <x:v>Official</x:v>
      </x:c>
      <x:c r="E11" t="str">
        <x:v>Secondary-checklist fields</x:v>
      </x:c>
      <x:c r="H11" t="n">
        <x:f>COUNTIF('This Batch'!G5:G61,"secondary_checklist")</x:f>
        <x:v>5</x:v>
      </x:c>
    </x:row>
    <x:row r="12" ht="30" customHeight="1">
      <x:c r="A12" s="31" t="str">
        <x:v>Traditional Chinese</x:v>
      </x:c>
      <x:c r="B12" s="31" t="n">
        <x:v>25</x:v>
      </x:c>
      <x:c r="C12" s="31" t="n">
        <x:f>COUNTIF('This Batch'!C5:C61,"zh-TW")</x:f>
        <x:v>25</x:v>
      </x:c>
      <x:c r="D12" s="31" t="str">
        <x:v>Official filter codes</x:v>
      </x:c>
    </x:row>
    <x:row r="13" ht="30" customHeight="1">
      <x:c r="A13" s="31" t="str">
        <x:v>English</x:v>
      </x:c>
      <x:c r="B13" s="31" t="n">
        <x:v>0</x:v>
      </x:c>
      <x:c r="C13" s="31" t="n">
        <x:f>COUNTIF('This Batch'!C5:C61,"en")</x:f>
        <x:v>0</x:v>
      </x:c>
      <x:c r="D13" s="31" t="str">
        <x:v>Unchanged</x:v>
      </x:c>
    </x:row>
    <x:row r="14" ht="30" customHeight="1">
      <x:c r="A14" s="33" t="str">
        <x:v>TOTAL</x:v>
      </x:c>
      <x:c r="B14" s="33" t="n">
        <x:f>SUM(B10:B13)</x:f>
        <x:v>42</x:v>
      </x:c>
      <x:c r="C14" s="33" t="n">
        <x:f>SUM(C10:C13)</x:f>
        <x:v>57</x:v>
      </x:c>
      <x:c r="D14" s="33" t="str">
        <x:v>Not unique-card counts</x:v>
      </x:c>
    </x:row>
    <x:row r="16" ht="28" customHeight="1">
      <x:c r="A16" s="10" t="str">
        <x:v>MISSING CORE FIELDS — ACROSS THE REFERENCE</x:v>
      </x:c>
      <x:c r="B16" s="10"/>
      <x:c r="C16" s="10"/>
      <x:c r="D16" s="10"/>
      <x:c r="E16" s="10"/>
      <x:c r="F16" s="10"/>
      <x:c r="G16" s="10"/>
      <x:c r="H16" s="10"/>
    </x:row>
    <x:row r="17" ht="28" customHeight="1">
      <x:c r="A17" s="26" t="str">
        <x:v>Field</x:v>
      </x:c>
      <x:c r="B17" s="26" t="str">
        <x:v>Original</x:v>
      </x:c>
      <x:c r="C17" s="26" t="str">
        <x:v>After round 1</x:v>
      </x:c>
      <x:c r="D17" s="26" t="str">
        <x:v>After round 2</x:v>
      </x:c>
      <x:c r="E17" s="38" t="str">
        <x:v>After canonical-code update</x:v>
      </x:c>
      <x:c r="F17" s="38" t="str">
        <x:v>Additional fields filled</x:v>
      </x:c>
      <x:c r="G17" s="38" t="str">
        <x:v>After reference-count pass</x:v>
      </x:c>
      <x:c r="H17" s="38" t="str">
        <x:v>Resolved / N/A</x:v>
      </x:c>
      <x:c r="I17" t="str">
        <x:v>After numbered-total pass</x:v>
      </x:c>
      <x:c r="J17" t="str">
        <x:v>Resolved / N/A</x:v>
      </x:c>
    </x:row>
    <x:row r="18" ht="25" customHeight="1">
      <x:c r="A18" t="str">
        <x:v>Native names</x:v>
      </x:c>
      <x:c r="B18" t="n">
        <x:f>SUMIF('Remaining Gaps'!B5:B24,"Native name",'Remaining Gaps'!D5:D24)</x:f>
        <x:v>59</x:v>
      </x:c>
      <x:c r="C18" t="n">
        <x:f>SUMIF('Remaining Gaps'!B5:B24,"Native name",'Remaining Gaps'!E5:E24)</x:f>
        <x:v>47</x:v>
      </x:c>
      <x:c r="D18" t="n">
        <x:f>SUMIF('Remaining Gaps'!B5:B24,"Native name",'Remaining Gaps'!F5:F24)</x:f>
        <x:v>30</x:v>
      </x:c>
      <x:c r="E18" s="38" t="n">
        <x:v>0</x:v>
      </x:c>
      <x:c r="F18" s="38" t="n">
        <x:v>30</x:v>
      </x:c>
      <x:c r="G18" s="38" t="n">
        <x:v>0</x:v>
      </x:c>
      <x:c r="H18" s="38" t="n">
        <x:v>0</x:v>
      </x:c>
      <x:c r="I18" t="n">
        <x:v>0</x:v>
      </x:c>
      <x:c r="J18" t="n">
        <x:v>0</x:v>
      </x:c>
    </x:row>
    <x:row r="19" ht="25" customHeight="1">
      <x:c r="A19" t="str">
        <x:v>Release dates / periods</x:v>
      </x:c>
      <x:c r="B19" t="n">
        <x:f>SUMIF('Remaining Gaps'!B5:B24,"Release date",'Remaining Gaps'!D5:D24)</x:f>
        <x:v>20</x:v>
      </x:c>
      <x:c r="C19" t="n">
        <x:f>SUMIF('Remaining Gaps'!B5:B24,"Release date",'Remaining Gaps'!E5:E24)</x:f>
        <x:v>19</x:v>
      </x:c>
      <x:c r="D19" t="n">
        <x:f>SUMIF('Remaining Gaps'!B5:B24,"Release date",'Remaining Gaps'!F5:F24)</x:f>
        <x:v>15</x:v>
      </x:c>
      <x:c r="E19" s="38" t="n">
        <x:v>1</x:v>
      </x:c>
      <x:c r="F19" s="38" t="n">
        <x:v>14</x:v>
      </x:c>
      <x:c r="G19" s="38" t="n">
        <x:v>1</x:v>
      </x:c>
      <x:c r="H19" s="38" t="n">
        <x:v>0</x:v>
      </x:c>
      <x:c r="I19" t="n">
        <x:v>1</x:v>
      </x:c>
      <x:c r="J19" t="n">
        <x:v>0</x:v>
      </x:c>
    </x:row>
    <x:row r="20" ht="25" customHeight="1">
      <x:c r="A20" t="str">
        <x:v>Catalogue codes</x:v>
      </x:c>
      <x:c r="B20" t="n">
        <x:f>SUMIF('Remaining Gaps'!B5:B24,"Catalogue code",'Remaining Gaps'!D5:D24)</x:f>
        <x:v>185</x:v>
      </x:c>
      <x:c r="C20" t="n">
        <x:f>SUMIF('Remaining Gaps'!B5:B24,"Catalogue code",'Remaining Gaps'!E5:E24)</x:f>
        <x:v>171</x:v>
      </x:c>
      <x:c r="D20" t="n">
        <x:f>SUMIF('Remaining Gaps'!B5:B24,"Catalogue code",'Remaining Gaps'!F5:F24)</x:f>
        <x:v>145</x:v>
      </x:c>
      <x:c r="E20" s="38" t="n">
        <x:v>0</x:v>
      </x:c>
      <x:c r="F20" s="38" t="n">
        <x:v>145</x:v>
      </x:c>
      <x:c r="G20" s="38" t="n">
        <x:v>0</x:v>
      </x:c>
      <x:c r="H20" s="38" t="n">
        <x:v>0</x:v>
      </x:c>
      <x:c r="I20" t="n">
        <x:v>0</x:v>
      </x:c>
      <x:c r="J20" t="n">
        <x:v>0</x:v>
      </x:c>
    </x:row>
    <x:row r="21" ht="25" customHeight="1">
      <x:c r="A21" t="str">
        <x:v>Source reference counts</x:v>
      </x:c>
      <x:c r="B21" t="n">
        <x:f>SUMIF('Remaining Gaps'!B5:B24,"Reference count",'Remaining Gaps'!D5:D24)</x:f>
        <x:v>183</x:v>
      </x:c>
      <x:c r="C21" t="n">
        <x:f>SUMIF('Remaining Gaps'!B5:B24,"Reference count",'Remaining Gaps'!E5:E24)</x:f>
        <x:v>174</x:v>
      </x:c>
      <x:c r="D21" t="n">
        <x:f>SUMIF('Remaining Gaps'!B5:B24,"Reference count",'Remaining Gaps'!F5:F24)</x:f>
        <x:v>174</x:v>
      </x:c>
      <x:c r="E21" s="38" t="n">
        <x:v>174</x:v>
      </x:c>
      <x:c r="F21" s="38" t="n">
        <x:v>0</x:v>
      </x:c>
      <x:c r="G21" s="38" t="n">
        <x:v>1</x:v>
      </x:c>
      <x:c r="H21" s="38" t="n">
        <x:v>173</x:v>
      </x:c>
      <x:c r="I21" t="n">
        <x:v>1</x:v>
      </x:c>
      <x:c r="J21" t="n">
        <x:v>0</x:v>
      </x:c>
    </x:row>
    <x:row r="22" ht="25" customHeight="1">
      <x:c r="A22" t="str">
        <x:v>Numbered-card totals</x:v>
      </x:c>
      <x:c r="B22" t="n">
        <x:f>SUMIF('Remaining Gaps'!B5:B24,"Numbered total",'Remaining Gaps'!D5:D24)</x:f>
        <x:v>632</x:v>
      </x:c>
      <x:c r="C22" t="n">
        <x:f>SUMIF('Remaining Gaps'!B5:B24,"Numbered total",'Remaining Gaps'!E5:E24)</x:f>
        <x:v>622</x:v>
      </x:c>
      <x:c r="D22" t="n">
        <x:f>SUMIF('Remaining Gaps'!B5:B24,"Numbered total",'Remaining Gaps'!F5:F24)</x:f>
        <x:v>621</x:v>
      </x:c>
      <x:c r="E22" s="38" t="n">
        <x:v>621</x:v>
      </x:c>
      <x:c r="F22" s="38" t="n">
        <x:v>0</x:v>
      </x:c>
      <x:c r="G22" s="38" t="n">
        <x:v>621</x:v>
      </x:c>
      <x:c r="H22" s="38" t="n">
        <x:v>0</x:v>
      </x:c>
      <x:c r="I22" t="n">
        <x:v>1</x:v>
      </x:c>
      <x:c r="J22" t="n">
        <x:v>620</x:v>
      </x:c>
    </x:row>
    <x:row r="24" ht="19" customHeight="1">
      <x:c r="A24" s="45" t="str">
        <x:v>KEEP YOUR PROGRESS: download your latest work from the current editor before using the Round 2 merge page.</x:v>
      </x:c>
      <x:c r="B24" s="45"/>
      <x:c r="C24" s="45"/>
      <x:c r="D24" s="45"/>
      <x:c r="E24" s="45"/>
      <x:c r="F24" s="45"/>
      <x:c r="G24" s="45"/>
      <x:c r="H24" s="45"/>
    </x:row>
    <x:row r="25" ht="19" customHeight="1">
      <x:c r="A25" s="45"/>
      <x:c r="B25" s="45"/>
      <x:c r="C25" s="45"/>
      <x:c r="D25" s="45"/>
      <x:c r="E25" s="45"/>
      <x:c r="F25" s="45"/>
      <x:c r="G25" s="45"/>
      <x:c r="H25" s="45"/>
    </x:row>
    <x:row r="26" ht="19" customHeight="1">
      <x:c r="A26" s="45" t="str">
        <x:v>The cumulative patch includes both batches. The merger keeps manual drafts and existing nonblank values, and holds disagreements.</x:v>
      </x:c>
      <x:c r="B26" s="45"/>
      <x:c r="C26" s="45"/>
      <x:c r="D26" s="45"/>
      <x:c r="E26" s="45"/>
      <x:c r="F26" s="45"/>
      <x:c r="G26" s="45"/>
      <x:c r="H26" s="45"/>
    </x:row>
    <x:row r="27" ht="19" customHeight="1">
      <x:c r="A27" s="45"/>
      <x:c r="B27" s="45"/>
      <x:c r="C27" s="45"/>
      <x:c r="D27" s="45"/>
      <x:c r="E27" s="45"/>
      <x:c r="F27" s="45"/>
      <x:c r="G27" s="45"/>
      <x:c r="H27" s="45"/>
    </x:row>
    <x:row r="28" ht="19" customHeight="1">
      <x:c r="A28" s="45" t="str">
        <x:v>No complete-set certification, card import, app test or production write. Work Mode must review fields and preserve Stackr IDs.</x:v>
      </x:c>
      <x:c r="B28" s="45"/>
      <x:c r="C28" s="45"/>
      <x:c r="D28" s="45"/>
      <x:c r="E28" s="45"/>
      <x:c r="F28" s="45"/>
      <x:c r="G28" s="45"/>
      <x:c r="H28" s="45"/>
    </x:row>
    <x:row r="29" ht="19" customHeight="1">
      <x:c r="A29" s="45"/>
      <x:c r="B29" s="45"/>
      <x:c r="C29" s="45"/>
      <x:c r="D29" s="45"/>
      <x:c r="E29" s="45"/>
      <x:c r="F29" s="45"/>
      <x:c r="G29" s="45"/>
      <x:c r="H29" s="45"/>
    </x:row>
    <x:row r="30" ht="19" customHeight="1">
      <x:c r="A30" s="45" t="str">
        <x:v>FINAL SIGN-OFF: Canonical Metadata v1.0 approved for Stackr source-of-truth use. Final QA found no duplicate reference IDs or same-language display names. Same-language code collisions were resolved with labelled Stackr aliases. Future changes to frozen core metadata require logged evidence; monitored exceptions may update when official data becomes available.</x:v>
      </x:c>
      <x:c r="B30" s="45"/>
      <x:c r="C30" s="45"/>
      <x:c r="D30" s="45"/>
      <x:c r="E30" s="45"/>
      <x:c r="F30" s="45"/>
      <x:c r="G30" s="45"/>
      <x:c r="H30" s="45"/>
    </x:row>
    <x:row r="31" ht="19" customHeight="1">
      <x:c r="A31" s="45"/>
      <x:c r="B31" s="45"/>
      <x:c r="C31" s="45"/>
      <x:c r="D31" s="45"/>
      <x:c r="E31" s="45"/>
      <x:c r="F31" s="45"/>
      <x:c r="G31" s="45"/>
      <x:c r="H31" s="45"/>
    </x:row>
  </x:sheetData>
  <x:mergeCells>
    <x:mergeCell ref="A1:H2"/>
    <x:mergeCell ref="A3:H3"/>
    <x:mergeCell ref="A5:B5"/>
    <x:mergeCell ref="C5:E5"/>
    <x:mergeCell ref="F5:H5"/>
    <x:mergeCell ref="A6:B7"/>
    <x:mergeCell ref="C6:E7"/>
    <x:mergeCell ref="F6:H7"/>
    <x:mergeCell ref="E9:H9"/>
    <x:mergeCell ref="E10:G10"/>
    <x:mergeCell ref="E11:G11"/>
    <x:mergeCell ref="A16:H16"/>
    <x:mergeCell ref="E17:H22"/>
    <x:mergeCell ref="A24:H25"/>
    <x:mergeCell ref="A26:H27"/>
    <x:mergeCell ref="A28:H29"/>
    <x:mergeCell ref="A30:H31"/>
    <x:mergeCell ref="A3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38" hidden="0" customWidth="1"/>
    <x:col min="4" max="4" width="16" hidden="0" customWidth="1"/>
    <x:col min="5" max="5" width="45" hidden="0" customWidth="1"/>
    <x:col min="6" max="6" width="52" hidden="0" customWidth="1"/>
    <x:col min="7" max="7" width="24" hidden="0" customWidth="1"/>
  </x:cols>
  <x:sheetData>
    <x:row r="1">
      <x:c r="A1" s="57" t="str">
        <x:v>Reference row</x:v>
      </x:c>
      <x:c r="B1" s="57" t="str">
        <x:v>Language</x:v>
      </x:c>
      <x:c r="C1" s="57" t="str">
        <x:v>English / display name</x:v>
      </x:c>
      <x:c r="D1" s="57" t="str">
        <x:v>Canonical code</x:v>
      </x:c>
      <x:c r="E1" s="57" t="str">
        <x:v>Code basis</x:v>
      </x:c>
      <x:c r="F1" s="57" t="str">
        <x:v>Evidence URL</x:v>
      </x:c>
      <x:c r="G1" s="57" t="str">
        <x:v>Change status</x:v>
      </x:c>
    </x:row>
    <x:row r="2">
      <x:c r="A2" s="31" t="n">
        <x:v>20</x:v>
      </x:c>
      <x:c r="B2" s="31" t="str">
        <x:v>en</x:v>
      </x:c>
      <x:c r="C2" s="31" t="str">
        <x:v>Best of Game</x:v>
      </x:c>
      <x:c r="D2" s="31" t="str">
        <x:v>BOG</x:v>
      </x:c>
      <x:c r="E2" s="31" t="str">
        <x:v>Stackr canonical abbreviation; BP retained as external/community alias</x:v>
      </x:c>
      <x:c r="F2" s="31" t="str">
        <x:v>https://pkmncards.com/sets/</x:v>
      </x:c>
      <x:c r="G2" s="31" t="str">
        <x:v>Filled blank catalogue code</x:v>
      </x:c>
    </x:row>
    <x:row r="3">
      <x:c r="A3" s="31" t="n">
        <x:v>188</x:v>
      </x:c>
      <x:c r="B3" s="31" t="str">
        <x:v>en</x:v>
      </x:c>
      <x:c r="C3" s="31" t="str">
        <x:v>Black &amp; White Trainer Kit</x:v>
      </x:c>
      <x:c r="D3" s="31" t="str">
        <x:v>TK5</x:v>
      </x:c>
      <x:c r="E3" s="31" t="str">
        <x:v>Database/trainer-kit designator; component aliases TK5E/TK5Z</x:v>
      </x:c>
      <x:c r="F3" s="31" t="str">
        <x:v>https://pkmncards.com/sets/</x:v>
      </x:c>
      <x:c r="G3" s="31" t="str">
        <x:v>Filled blank catalogue code</x:v>
      </x:c>
    </x:row>
    <x:row r="4">
      <x:c r="A4" s="31" t="n">
        <x:v>189</x:v>
      </x:c>
      <x:c r="B4" s="31" t="str">
        <x:v>en</x:v>
      </x:c>
      <x:c r="C4" s="31" t="str">
        <x:v>Diamond &amp; Pearl Trainer Kit</x:v>
      </x:c>
      <x:c r="D4" s="31" t="str">
        <x:v>DP-TK</x:v>
      </x:c>
      <x:c r="E4" s="31" t="str">
        <x:v>Stackr canonical trainer-kit designator; alias TK-DP</x:v>
      </x:c>
      <x:c r="F4" s="31" t="str">
        <x:v>https://pkmncards.com/sets/</x:v>
      </x:c>
      <x:c r="G4" s="31" t="str">
        <x:v>Filled blank catalogue code</x:v>
      </x:c>
    </x:row>
    <x:row r="5">
      <x:c r="A5" s="31" t="n">
        <x:v>190</x:v>
      </x:c>
      <x:c r="B5" s="31" t="str">
        <x:v>en</x:v>
      </x:c>
      <x:c r="C5" s="31" t="str">
        <x:v>EX Trainer Kit</x:v>
      </x:c>
      <x:c r="D5" s="31" t="str">
        <x:v>EX-TK</x:v>
      </x:c>
      <x:c r="E5" s="31" t="str">
        <x:v>Stackr canonical trainer-kit designator; alias TK1</x:v>
      </x:c>
      <x:c r="F5" s="31" t="str">
        <x:v>https://pkmncards.com/sets/</x:v>
      </x:c>
      <x:c r="G5" s="31" t="str">
        <x:v>Filled blank catalogue code</x:v>
      </x:c>
    </x:row>
    <x:row r="6">
      <x:c r="A6" s="31" t="n">
        <x:v>191</x:v>
      </x:c>
      <x:c r="B6" s="31" t="str">
        <x:v>en</x:v>
      </x:c>
      <x:c r="C6" s="31" t="str">
        <x:v>EX Trainer Kit 2</x:v>
      </x:c>
      <x:c r="D6" s="31" t="str">
        <x:v>EX-TK2</x:v>
      </x:c>
      <x:c r="E6" s="31" t="str">
        <x:v>Stackr canonical trainer-kit designator; alias TK2</x:v>
      </x:c>
      <x:c r="F6" s="31" t="str">
        <x:v>https://pkmncards.com/sets/</x:v>
      </x:c>
      <x:c r="G6" s="31" t="str">
        <x:v>Filled blank catalogue code</x:v>
      </x:c>
    </x:row>
    <x:row r="7">
      <x:c r="A7" s="31" t="n">
        <x:v>192</x:v>
      </x:c>
      <x:c r="B7" s="31" t="str">
        <x:v>en</x:v>
      </x:c>
      <x:c r="C7" s="31" t="str">
        <x:v>HS Trainer Kit</x:v>
      </x:c>
      <x:c r="D7" s="31" t="str">
        <x:v>HS-TK</x:v>
      </x:c>
      <x:c r="E7" s="31" t="str">
        <x:v>Stackr canonical trainer-kit designator; alias TK-HGSS</x:v>
      </x:c>
      <x:c r="F7" s="31" t="str">
        <x:v>https://pkmncards.com/sets/</x:v>
      </x:c>
      <x:c r="G7" s="31" t="str">
        <x:v>Filled blank catalogue code</x:v>
      </x:c>
    </x:row>
    <x:row r="8">
      <x:c r="A8" s="31" t="n">
        <x:v>193</x:v>
      </x:c>
      <x:c r="B8" s="31" t="str">
        <x:v>en</x:v>
      </x:c>
      <x:c r="C8" s="31" t="str">
        <x:v>Sun &amp; Moon Trainer Kit: Lycanroc &amp; Alolan Raichu</x:v>
      </x:c>
      <x:c r="D8" s="31" t="str">
        <x:v>SM-TK</x:v>
      </x:c>
      <x:c r="E8" s="31" t="str">
        <x:v>Stackr canonical trainer-kit designator; alias TK-SM3</x:v>
      </x:c>
      <x:c r="F8" s="31" t="str">
        <x:v>https://pkmncards.com/sets/</x:v>
      </x:c>
      <x:c r="G8" s="31" t="str">
        <x:v>Filled blank catalogue code</x:v>
      </x:c>
    </x:row>
    <x:row r="9">
      <x:c r="A9" s="31" t="n">
        <x:v>194</x:v>
      </x:c>
      <x:c r="B9" s="31" t="str">
        <x:v>en</x:v>
      </x:c>
      <x:c r="C9" s="31" t="str">
        <x:v>XY Trainer Kit: Bisharp &amp; Wigglytuff</x:v>
      </x:c>
      <x:c r="D9" s="31" t="str">
        <x:v>TK7</x:v>
      </x:c>
      <x:c r="E9" s="31" t="str">
        <x:v>Database/trainer-kit designator; component aliases TK7A/TK7B</x:v>
      </x:c>
      <x:c r="F9" s="31" t="str">
        <x:v>https://pkmncards.com/sets/</x:v>
      </x:c>
      <x:c r="G9" s="31" t="str">
        <x:v>Filled blank catalogue code</x:v>
      </x:c>
    </x:row>
    <x:row r="10">
      <x:c r="A10" s="31" t="n">
        <x:v>195</x:v>
      </x:c>
      <x:c r="B10" s="31" t="str">
        <x:v>en</x:v>
      </x:c>
      <x:c r="C10" s="31" t="str">
        <x:v>XY Trainer Kit: Pikachu Libre &amp; Suicune</x:v>
      </x:c>
      <x:c r="D10" s="31" t="str">
        <x:v>TK8</x:v>
      </x:c>
      <x:c r="E10" s="31" t="str">
        <x:v>Database/trainer-kit designator</x:v>
      </x:c>
      <x:c r="F10" s="31" t="str">
        <x:v>https://pkmncards.com/sets/</x:v>
      </x:c>
      <x:c r="G10" s="31" t="str">
        <x:v>Filled blank catalogue code</x:v>
      </x:c>
    </x:row>
    <x:row r="11">
      <x:c r="A11" s="31" t="n">
        <x:v>196</x:v>
      </x:c>
      <x:c r="B11" s="31" t="str">
        <x:v>en</x:v>
      </x:c>
      <x:c r="C11" s="31" t="str">
        <x:v>XY Trainer Kit: Sylveon &amp; Noivern</x:v>
      </x:c>
      <x:c r="D11" s="31" t="str">
        <x:v>TK6</x:v>
      </x:c>
      <x:c r="E11" s="31" t="str">
        <x:v>Database/trainer-kit designator; component aliases TK6N/TK6S</x:v>
      </x:c>
      <x:c r="F11" s="31" t="str">
        <x:v>https://pkmncards.com/sets/</x:v>
      </x:c>
      <x:c r="G11" s="31" t="str">
        <x:v>Filled blank catalogue code</x:v>
      </x:c>
    </x:row>
    <x:row r="12">
      <x:c r="A12" s="31" t="n">
        <x:v>197</x:v>
      </x:c>
      <x:c r="B12" s="31" t="str">
        <x:v>ja</x:v>
      </x:c>
      <x:c r="C12" s="31" t="str">
        <x:v>Expansion Pack</x:v>
      </x:c>
      <x:c r="D12" s="31" t="str">
        <x:v>PMCG1</x:v>
      </x:c>
      <x:c r="E12" s="31" t="str">
        <x:v>Stackr/database series designator; official Japanese expansion no. 1</x:v>
      </x:c>
      <x:c r="F12" s="31" t="str">
        <x:v>https://bulbapedia.bulbagarden.net/wiki/List_of_Japanese_TCG_Expansions</x:v>
      </x:c>
      <x:c r="G12" s="31" t="str">
        <x:v>Filled blank catalogue code</x:v>
      </x:c>
    </x:row>
    <x:row r="13">
      <x:c r="A13" s="31" t="n">
        <x:v>198</x:v>
      </x:c>
      <x:c r="B13" s="31" t="str">
        <x:v>ja</x:v>
      </x:c>
      <x:c r="C13" s="31" t="str">
        <x:v>Pokémon Jungle</x:v>
      </x:c>
      <x:c r="D13" s="31" t="str">
        <x:v>PMCG2</x:v>
      </x:c>
      <x:c r="E13" s="31" t="str">
        <x:v>Stackr/database series designator; official Japanese expansion no. 2</x:v>
      </x:c>
      <x:c r="F13" s="31" t="str">
        <x:v>https://bulbapedia.bulbagarden.net/wiki/List_of_Japanese_TCG_Expansions</x:v>
      </x:c>
      <x:c r="G13" s="31" t="str">
        <x:v>Filled blank catalogue code</x:v>
      </x:c>
    </x:row>
    <x:row r="14">
      <x:c r="A14" s="31" t="n">
        <x:v>199</x:v>
      </x:c>
      <x:c r="B14" s="31" t="str">
        <x:v>ja</x:v>
      </x:c>
      <x:c r="C14" s="31" t="str">
        <x:v>Mystery of the Fossils</x:v>
      </x:c>
      <x:c r="D14" s="31" t="str">
        <x:v>PMCG3</x:v>
      </x:c>
      <x:c r="E14" s="31" t="str">
        <x:v>Stackr/database series designator; official Japanese expansion no. 3</x:v>
      </x:c>
      <x:c r="F14" s="31" t="str">
        <x:v>https://bulbapedia.bulbagarden.net/wiki/List_of_Japanese_TCG_Expansions</x:v>
      </x:c>
      <x:c r="G14" s="31" t="str">
        <x:v>Filled blank catalogue code</x:v>
      </x:c>
    </x:row>
    <x:row r="15">
      <x:c r="A15" s="31" t="n">
        <x:v>200</x:v>
      </x:c>
      <x:c r="B15" s="31" t="str">
        <x:v>ja</x:v>
      </x:c>
      <x:c r="C15" s="31" t="str">
        <x:v>Rocket Gang</x:v>
      </x:c>
      <x:c r="D15" s="31" t="str">
        <x:v>PMCG4</x:v>
      </x:c>
      <x:c r="E15" s="31" t="str">
        <x:v>Stackr/database series designator; official Japanese expansion no. 4</x:v>
      </x:c>
      <x:c r="F15" s="31" t="str">
        <x:v>https://bulbapedia.bulbagarden.net/wiki/List_of_Japanese_TCG_Expansions</x:v>
      </x:c>
      <x:c r="G15" s="31" t="str">
        <x:v>Filled blank catalogue code</x:v>
      </x:c>
    </x:row>
    <x:row r="16">
      <x:c r="A16" s="31" t="n">
        <x:v>201</x:v>
      </x:c>
      <x:c r="B16" s="31" t="str">
        <x:v>ja</x:v>
      </x:c>
      <x:c r="C16" s="31" t="str">
        <x:v>Expansion Sheet: Vending Series 1 (Blue)</x:v>
      </x:c>
      <x:c r="D16" s="31" t="str">
        <x:v>Vending1</x:v>
      </x:c>
      <x:c r="E16" s="31" t="str">
        <x:v>Stackr canonical alias; promotional Vending Series 1</x:v>
      </x:c>
      <x:c r="F16" s="31" t="str">
        <x:v>https://bulbapedia.bulbagarden.net/wiki/List_of_Japanese_TCG_Expansions</x:v>
      </x:c>
      <x:c r="G16" s="31" t="str">
        <x:v>Filled blank catalogue code</x:v>
      </x:c>
    </x:row>
    <x:row r="17">
      <x:c r="A17" s="31" t="n">
        <x:v>202</x:v>
      </x:c>
      <x:c r="B17" s="31" t="str">
        <x:v>ja</x:v>
      </x:c>
      <x:c r="C17" s="31" t="str">
        <x:v>Expansion Sheet: Vending Series 2 (Red)</x:v>
      </x:c>
      <x:c r="D17" s="31" t="str">
        <x:v>Vending2</x:v>
      </x:c>
      <x:c r="E17" s="31" t="str">
        <x:v>Stackr canonical alias; promotional Vending Series 2</x:v>
      </x:c>
      <x:c r="F17" s="31" t="str">
        <x:v>https://bulbapedia.bulbagarden.net/wiki/List_of_Japanese_TCG_Expansions</x:v>
      </x:c>
      <x:c r="G17" s="31" t="str">
        <x:v>Filled blank catalogue code</x:v>
      </x:c>
    </x:row>
    <x:row r="18">
      <x:c r="A18" s="31" t="n">
        <x:v>203</x:v>
      </x:c>
      <x:c r="B18" s="31" t="str">
        <x:v>ja</x:v>
      </x:c>
      <x:c r="C18" s="31" t="str">
        <x:v>Leaders' Stadium</x:v>
      </x:c>
      <x:c r="D18" s="31" t="str">
        <x:v>PMCG5</x:v>
      </x:c>
      <x:c r="E18" s="31" t="str">
        <x:v>Stackr/database series designator; official Japanese expansion no. 5; alias Gym1</x:v>
      </x:c>
      <x:c r="F18" s="31" t="str">
        <x:v>https://bulbapedia.bulbagarden.net/wiki/List_of_Japanese_TCG_Expansions</x:v>
      </x:c>
      <x:c r="G18" s="31" t="str">
        <x:v>Filled blank catalogue code</x:v>
      </x:c>
    </x:row>
    <x:row r="19">
      <x:c r="A19" s="31" t="n">
        <x:v>204</x:v>
      </x:c>
      <x:c r="B19" s="31" t="str">
        <x:v>ja</x:v>
      </x:c>
      <x:c r="C19" s="31" t="str">
        <x:v>Expansion Sheet: Vending Series 3 (Green)</x:v>
      </x:c>
      <x:c r="D19" s="31" t="str">
        <x:v>Vending3</x:v>
      </x:c>
      <x:c r="E19" s="31" t="str">
        <x:v>Stackr canonical alias; promotional Vending Series 3</x:v>
      </x:c>
      <x:c r="F19" s="31" t="str">
        <x:v>https://bulbapedia.bulbagarden.net/wiki/List_of_Japanese_TCG_Expansions</x:v>
      </x:c>
      <x:c r="G19" s="31" t="str">
        <x:v>Filled blank catalogue code</x:v>
      </x:c>
    </x:row>
    <x:row r="20">
      <x:c r="A20" s="31" t="n">
        <x:v>205</x:v>
      </x:c>
      <x:c r="B20" s="31" t="str">
        <x:v>ja</x:v>
      </x:c>
      <x:c r="C20" s="31" t="str">
        <x:v>Challenge from the Darkness</x:v>
      </x:c>
      <x:c r="D20" s="31" t="str">
        <x:v>PMCG6</x:v>
      </x:c>
      <x:c r="E20" s="31" t="str">
        <x:v>Stackr/database series designator; official Japanese expansion no. 6; alias Gym2</x:v>
      </x:c>
      <x:c r="F20" s="31" t="str">
        <x:v>https://bulbapedia.bulbagarden.net/wiki/List_of_Japanese_TCG_Expansions</x:v>
      </x:c>
      <x:c r="G20" s="31" t="str">
        <x:v>Filled blank catalogue code</x:v>
      </x:c>
    </x:row>
    <x:row r="21">
      <x:c r="A21" s="31" t="n">
        <x:v>206</x:v>
      </x:c>
      <x:c r="B21" s="31" t="str">
        <x:v>ja</x:v>
      </x:c>
      <x:c r="C21" s="31" t="str">
        <x:v>Southern Islands</x:v>
      </x:c>
      <x:c r="D21" s="31" t="str">
        <x:v>SI</x:v>
      </x:c>
      <x:c r="E21" s="31" t="str">
        <x:v>Established database shorthand; promotional collection</x:v>
      </x:c>
      <x:c r="F21" s="31" t="str">
        <x:v>https://bulbapedia.bulbagarden.net/wiki/List_of_Japanese_TCG_Expansions</x:v>
      </x:c>
      <x:c r="G21" s="31" t="str">
        <x:v>Filled blank catalogue code</x:v>
      </x:c>
    </x:row>
    <x:row r="22">
      <x:c r="A22" s="31" t="n">
        <x:v>207</x:v>
      </x:c>
      <x:c r="B22" s="31" t="str">
        <x:v>ja</x:v>
      </x:c>
      <x:c r="C22" s="31" t="str">
        <x:v>Gold, Silver, to a New World...</x:v>
      </x:c>
      <x:c r="D22" s="31" t="str">
        <x:v>Neo1</x:v>
      </x:c>
      <x:c r="E22" s="31" t="str">
        <x:v>Series designator; Neo main expansion no. 1</x:v>
      </x:c>
      <x:c r="F22" s="31" t="str">
        <x:v>https://bulbapedia.bulbagarden.net/wiki/List_of_Japanese_TCG_Expansions</x:v>
      </x:c>
      <x:c r="G22" s="31" t="str">
        <x:v>Filled blank catalogue code</x:v>
      </x:c>
    </x:row>
    <x:row r="23">
      <x:c r="A23" s="31" t="n">
        <x:v>208</x:v>
      </x:c>
      <x:c r="B23" s="31" t="str">
        <x:v>ja</x:v>
      </x:c>
      <x:c r="C23" s="31" t="str">
        <x:v>Crossing the Ruins...</x:v>
      </x:c>
      <x:c r="D23" s="31" t="str">
        <x:v>Neo2</x:v>
      </x:c>
      <x:c r="E23" s="31" t="str">
        <x:v>Series designator; Neo main expansion no. 2</x:v>
      </x:c>
      <x:c r="F23" s="31" t="str">
        <x:v>https://bulbapedia.bulbagarden.net/wiki/List_of_Japanese_TCG_Expansions</x:v>
      </x:c>
      <x:c r="G23" s="31" t="str">
        <x:v>Filled blank catalogue code</x:v>
      </x:c>
    </x:row>
    <x:row r="24">
      <x:c r="A24" s="31" t="n">
        <x:v>209</x:v>
      </x:c>
      <x:c r="B24" s="31" t="str">
        <x:v>ja</x:v>
      </x:c>
      <x:c r="C24" s="31" t="str">
        <x:v>Awakening Legends</x:v>
      </x:c>
      <x:c r="D24" s="31" t="str">
        <x:v>Neo3</x:v>
      </x:c>
      <x:c r="E24" s="31" t="str">
        <x:v>Series designator; Neo main expansion no. 3</x:v>
      </x:c>
      <x:c r="F24" s="31" t="str">
        <x:v>https://bulbapedia.bulbagarden.net/wiki/List_of_Japanese_TCG_Expansions</x:v>
      </x:c>
      <x:c r="G24" s="31" t="str">
        <x:v>Filled blank catalogue code</x:v>
      </x:c>
    </x:row>
    <x:row r="25">
      <x:c r="A25" s="31" t="n">
        <x:v>210</x:v>
      </x:c>
      <x:c r="B25" s="31" t="str">
        <x:v>ja</x:v>
      </x:c>
      <x:c r="C25" s="31" t="str">
        <x:v>Darkness, and to Light...</x:v>
      </x:c>
      <x:c r="D25" s="31" t="str">
        <x:v>Neo4</x:v>
      </x:c>
      <x:c r="E25" s="31" t="str">
        <x:v>Series designator; Neo main expansion no. 4</x:v>
      </x:c>
      <x:c r="F25" s="31" t="str">
        <x:v>https://bulbapedia.bulbagarden.net/wiki/List_of_Japanese_TCG_Expansions</x:v>
      </x:c>
      <x:c r="G25" s="31" t="str">
        <x:v>Filled blank catalogue code</x:v>
      </x:c>
    </x:row>
    <x:row r="26">
      <x:c r="A26" s="31" t="n">
        <x:v>212</x:v>
      </x:c>
      <x:c r="B26" s="31" t="str">
        <x:v>ja</x:v>
      </x:c>
      <x:c r="C26" s="31" t="str">
        <x:v>Pokémon Card★VS</x:v>
      </x:c>
      <x:c r="D26" s="31" t="str">
        <x:v>VS</x:v>
      </x:c>
      <x:c r="E26" s="31" t="str">
        <x:v>Series designator; VS era</x:v>
      </x:c>
      <x:c r="F26" s="31" t="str">
        <x:v>https://bulbapedia.bulbagarden.net/wiki/List_of_Japanese_TCG_Expansions</x:v>
      </x:c>
      <x:c r="G26" s="31" t="str">
        <x:v>Filled blank catalogue code</x:v>
      </x:c>
    </x:row>
    <x:row r="27">
      <x:c r="A27" s="31" t="n">
        <x:v>214</x:v>
      </x:c>
      <x:c r="B27" s="31" t="str">
        <x:v>ja</x:v>
      </x:c>
      <x:c r="C27" s="31" t="str">
        <x:v>Pokémon Card★web</x:v>
      </x:c>
      <x:c r="D27" s="31" t="str">
        <x:v>Web</x:v>
      </x:c>
      <x:c r="E27" s="31" t="str">
        <x:v>Established database shorthand; Web collection</x:v>
      </x:c>
      <x:c r="F27" s="31" t="str">
        <x:v>https://bulbapedia.bulbagarden.net/wiki/List_of_Japanese_TCG_Expansions</x:v>
      </x:c>
      <x:c r="G27" s="31" t="str">
        <x:v>Filled blank catalogue code</x:v>
      </x:c>
    </x:row>
    <x:row r="28">
      <x:c r="A28" s="31" t="n">
        <x:v>215</x:v>
      </x:c>
      <x:c r="B28" s="31" t="str">
        <x:v>ja</x:v>
      </x:c>
      <x:c r="C28" s="31" t="str">
        <x:v>Base Expansion Pack</x:v>
      </x:c>
      <x:c r="D28" s="31" t="str">
        <x:v>e1</x:v>
      </x:c>
      <x:c r="E28" s="31" t="str">
        <x:v>Series designator; e-Card main expansion no. 1</x:v>
      </x:c>
      <x:c r="F28" s="31" t="str">
        <x:v>https://bulbapedia.bulbagarden.net/wiki/List_of_Japanese_TCG_Expansions</x:v>
      </x:c>
      <x:c r="G28" s="31" t="str">
        <x:v>Filled blank catalogue code</x:v>
      </x:c>
    </x:row>
    <x:row r="29">
      <x:c r="A29" s="31" t="n">
        <x:v>218</x:v>
      </x:c>
      <x:c r="B29" s="31" t="str">
        <x:v>ja</x:v>
      </x:c>
      <x:c r="C29" s="31" t="str">
        <x:v>The Town on No Map</x:v>
      </x:c>
      <x:c r="D29" s="31" t="str">
        <x:v>e2</x:v>
      </x:c>
      <x:c r="E29" s="31" t="str">
        <x:v>Series designator; e-Card main expansion no. 2</x:v>
      </x:c>
      <x:c r="F29" s="31" t="str">
        <x:v>https://bulbapedia.bulbagarden.net/wiki/List_of_Japanese_TCG_Expansions</x:v>
      </x:c>
      <x:c r="G29" s="31" t="str">
        <x:v>Filled blank catalogue code</x:v>
      </x:c>
    </x:row>
    <x:row r="30">
      <x:c r="A30" s="31" t="n">
        <x:v>219</x:v>
      </x:c>
      <x:c r="B30" s="31" t="str">
        <x:v>ja</x:v>
      </x:c>
      <x:c r="C30" s="31" t="str">
        <x:v>Wind from the Sea</x:v>
      </x:c>
      <x:c r="D30" s="31" t="str">
        <x:v>e3</x:v>
      </x:c>
      <x:c r="E30" s="31" t="str">
        <x:v>Series designator; e-Card main expansion no. 3</x:v>
      </x:c>
      <x:c r="F30" s="31" t="str">
        <x:v>https://bulbapedia.bulbagarden.net/wiki/List_of_Japanese_TCG_Expansions</x:v>
      </x:c>
      <x:c r="G30" s="31" t="str">
        <x:v>Filled blank catalogue code</x:v>
      </x:c>
    </x:row>
    <x:row r="31">
      <x:c r="A31" s="31" t="n">
        <x:v>220</x:v>
      </x:c>
      <x:c r="B31" s="31" t="str">
        <x:v>ja</x:v>
      </x:c>
      <x:c r="C31" s="31" t="str">
        <x:v>Split Earth</x:v>
      </x:c>
      <x:c r="D31" s="31" t="str">
        <x:v>e4</x:v>
      </x:c>
      <x:c r="E31" s="31" t="str">
        <x:v>Series designator; e-Card main expansion no. 4</x:v>
      </x:c>
      <x:c r="F31" s="31" t="str">
        <x:v>https://bulbapedia.bulbagarden.net/wiki/List_of_Japanese_TCG_Expansions</x:v>
      </x:c>
      <x:c r="G31" s="31" t="str">
        <x:v>Filled blank catalogue code</x:v>
      </x:c>
    </x:row>
    <x:row r="32">
      <x:c r="A32" s="31" t="n">
        <x:v>221</x:v>
      </x:c>
      <x:c r="B32" s="31" t="str">
        <x:v>ja</x:v>
      </x:c>
      <x:c r="C32" s="31" t="str">
        <x:v>Mysterious Mountains</x:v>
      </x:c>
      <x:c r="D32" s="31" t="str">
        <x:v>e5</x:v>
      </x:c>
      <x:c r="E32" s="31" t="str">
        <x:v>Series designator; e-Card main expansion no. 5</x:v>
      </x:c>
      <x:c r="F32" s="31" t="str">
        <x:v>https://bulbapedia.bulbagarden.net/wiki/List_of_Japanese_TCG_Expansions</x:v>
      </x:c>
      <x:c r="G32" s="31" t="str">
        <x:v>Filled blank catalogue code</x:v>
      </x:c>
    </x:row>
    <x:row r="33">
      <x:c r="A33" s="31" t="n">
        <x:v>224</x:v>
      </x:c>
      <x:c r="B33" s="31" t="str">
        <x:v>ja</x:v>
      </x:c>
      <x:c r="C33" s="31" t="str">
        <x:v>ADV Expansion Pack</x:v>
      </x:c>
      <x:c r="D33" s="31" t="str">
        <x:v>ADV1</x:v>
      </x:c>
      <x:c r="E33" s="31" t="str">
        <x:v>Series designator; ADV main expansion no. 1</x:v>
      </x:c>
      <x:c r="F33" s="31" t="str">
        <x:v>https://bulbapedia.bulbagarden.net/wiki/List_of_Japanese_TCG_Expansions</x:v>
      </x:c>
      <x:c r="G33" s="31" t="str">
        <x:v>Filled blank catalogue code</x:v>
      </x:c>
    </x:row>
    <x:row r="34">
      <x:c r="A34" s="31" t="n">
        <x:v>225</x:v>
      </x:c>
      <x:c r="B34" s="31" t="str">
        <x:v>ja</x:v>
      </x:c>
      <x:c r="C34" s="31" t="str">
        <x:v>Miracle of the Desert</x:v>
      </x:c>
      <x:c r="D34" s="31" t="str">
        <x:v>ADV2</x:v>
      </x:c>
      <x:c r="E34" s="31" t="str">
        <x:v>Series designator; ADV main expansion no. 2</x:v>
      </x:c>
      <x:c r="F34" s="31" t="str">
        <x:v>https://bulbapedia.bulbagarden.net/wiki/List_of_Japanese_TCG_Expansions</x:v>
      </x:c>
      <x:c r="G34" s="31" t="str">
        <x:v>Filled blank catalogue code</x:v>
      </x:c>
    </x:row>
    <x:row r="35">
      <x:c r="A35" s="31" t="n">
        <x:v>226</x:v>
      </x:c>
      <x:c r="B35" s="31" t="str">
        <x:v>ja</x:v>
      </x:c>
      <x:c r="C35" s="31" t="str">
        <x:v>Rulers of the Heavens</x:v>
      </x:c>
      <x:c r="D35" s="31" t="str">
        <x:v>ADV3</x:v>
      </x:c>
      <x:c r="E35" s="31" t="str">
        <x:v>Series designator; ADV main expansion no. 3</x:v>
      </x:c>
      <x:c r="F35" s="31" t="str">
        <x:v>https://bulbapedia.bulbagarden.net/wiki/List_of_Japanese_TCG_Expansions</x:v>
      </x:c>
      <x:c r="G35" s="31" t="str">
        <x:v>Filled blank catalogue code</x:v>
      </x:c>
    </x:row>
    <x:row r="36">
      <x:c r="A36" s="31" t="n">
        <x:v>227</x:v>
      </x:c>
      <x:c r="B36" s="31" t="str">
        <x:v>ja</x:v>
      </x:c>
      <x:c r="C36" s="31" t="str">
        <x:v>Magma VS Aqua: Two Ambitions</x:v>
      </x:c>
      <x:c r="D36" s="31" t="str">
        <x:v>ADV-MVA</x:v>
      </x:c>
      <x:c r="E36" s="31" t="str">
        <x:v>Stackr canonical alias for ADV-era subset; not ADV4</x:v>
      </x:c>
      <x:c r="F36" s="31" t="str">
        <x:v>https://bulbapedia.bulbagarden.net/wiki/List_of_Japanese_TCG_Expansions</x:v>
      </x:c>
      <x:c r="G36" s="31" t="str">
        <x:v>Filled blank catalogue code</x:v>
      </x:c>
    </x:row>
    <x:row r="37">
      <x:c r="A37" s="31" t="n">
        <x:v>228</x:v>
      </x:c>
      <x:c r="B37" s="31" t="str">
        <x:v>ja</x:v>
      </x:c>
      <x:c r="C37" s="31" t="str">
        <x:v>Undone Seal</x:v>
      </x:c>
      <x:c r="D37" s="31" t="str">
        <x:v>ADV4</x:v>
      </x:c>
      <x:c r="E37" s="31" t="str">
        <x:v>Series designator; ADV main expansion no. 4</x:v>
      </x:c>
      <x:c r="F37" s="31" t="str">
        <x:v>https://bulbapedia.bulbagarden.net/wiki/List_of_Japanese_TCG_Expansions</x:v>
      </x:c>
      <x:c r="G37" s="31" t="str">
        <x:v>Filled blank catalogue code</x:v>
      </x:c>
    </x:row>
    <x:row r="38">
      <x:c r="A38" s="31" t="n">
        <x:v>230</x:v>
      </x:c>
      <x:c r="B38" s="31" t="str">
        <x:v>ja</x:v>
      </x:c>
      <x:c r="C38" s="31" t="str">
        <x:v>Flight of Legends</x:v>
      </x:c>
      <x:c r="D38" s="31" t="str">
        <x:v>PCG1</x:v>
      </x:c>
      <x:c r="E38" s="31" t="str">
        <x:v>Series designator; PCG main expansion no. 1</x:v>
      </x:c>
      <x:c r="F38" s="31" t="str">
        <x:v>https://bulbapedia.bulbagarden.net/wiki/List_of_Japanese_TCG_Expansions</x:v>
      </x:c>
      <x:c r="G38" s="31" t="str">
        <x:v>Filled blank catalogue code</x:v>
      </x:c>
    </x:row>
    <x:row r="39">
      <x:c r="A39" s="31" t="n">
        <x:v>231</x:v>
      </x:c>
      <x:c r="B39" s="31" t="str">
        <x:v>ja</x:v>
      </x:c>
      <x:c r="C39" s="31" t="str">
        <x:v>Clash of the Blue Sky</x:v>
      </x:c>
      <x:c r="D39" s="31" t="str">
        <x:v>PCG2</x:v>
      </x:c>
      <x:c r="E39" s="31" t="str">
        <x:v>Series designator; PCG main expansion no. 2</x:v>
      </x:c>
      <x:c r="F39" s="31" t="str">
        <x:v>https://bulbapedia.bulbagarden.net/wiki/List_of_Japanese_TCG_Expansions</x:v>
      </x:c>
      <x:c r="G39" s="31" t="str">
        <x:v>Filled blank catalogue code</x:v>
      </x:c>
    </x:row>
    <x:row r="40">
      <x:c r="A40" s="31" t="n">
        <x:v>232</x:v>
      </x:c>
      <x:c r="B40" s="31" t="str">
        <x:v>ja</x:v>
      </x:c>
      <x:c r="C40" s="31" t="str">
        <x:v>Rocket Gang Strikes Back</x:v>
      </x:c>
      <x:c r="D40" s="31" t="str">
        <x:v>PCG3</x:v>
      </x:c>
      <x:c r="E40" s="31" t="str">
        <x:v>Series designator; PCG main expansion no. 3</x:v>
      </x:c>
      <x:c r="F40" s="31" t="str">
        <x:v>https://bulbapedia.bulbagarden.net/wiki/List_of_Japanese_TCG_Expansions</x:v>
      </x:c>
      <x:c r="G40" s="31" t="str">
        <x:v>Filled blank catalogue code</x:v>
      </x:c>
    </x:row>
    <x:row r="41">
      <x:c r="A41" s="31" t="n">
        <x:v>233</x:v>
      </x:c>
      <x:c r="B41" s="31" t="str">
        <x:v>ja</x:v>
      </x:c>
      <x:c r="C41" s="31" t="str">
        <x:v>Golden Sky, Silvery Ocean</x:v>
      </x:c>
      <x:c r="D41" s="31" t="str">
        <x:v>PCG4</x:v>
      </x:c>
      <x:c r="E41" s="31" t="str">
        <x:v>Series designator; PCG main expansion no. 4</x:v>
      </x:c>
      <x:c r="F41" s="31" t="str">
        <x:v>https://bulbapedia.bulbagarden.net/wiki/List_of_Japanese_TCG_Expansions</x:v>
      </x:c>
      <x:c r="G41" s="31" t="str">
        <x:v>Filled blank catalogue code</x:v>
      </x:c>
    </x:row>
    <x:row r="42">
      <x:c r="A42" s="31" t="n">
        <x:v>234</x:v>
      </x:c>
      <x:c r="B42" s="31" t="str">
        <x:v>ja</x:v>
      </x:c>
      <x:c r="C42" s="31" t="str">
        <x:v>Mirage Forest</x:v>
      </x:c>
      <x:c r="D42" s="31" t="str">
        <x:v>PCG5</x:v>
      </x:c>
      <x:c r="E42" s="31" t="str">
        <x:v>Series designator; PCG main expansion no. 5</x:v>
      </x:c>
      <x:c r="F42" s="31" t="str">
        <x:v>https://bulbapedia.bulbagarden.net/wiki/List_of_Japanese_TCG_Expansions</x:v>
      </x:c>
      <x:c r="G42" s="31" t="str">
        <x:v>Filled blank catalogue code</x:v>
      </x:c>
    </x:row>
    <x:row r="43">
      <x:c r="A43" s="31" t="n">
        <x:v>235</x:v>
      </x:c>
      <x:c r="B43" s="31" t="str">
        <x:v>ja</x:v>
      </x:c>
      <x:c r="C43" s="31" t="str">
        <x:v>Holon Research Tower</x:v>
      </x:c>
      <x:c r="D43" s="31" t="str">
        <x:v>PCG6</x:v>
      </x:c>
      <x:c r="E43" s="31" t="str">
        <x:v>Series designator; PCG main expansion no. 6</x:v>
      </x:c>
      <x:c r="F43" s="31" t="str">
        <x:v>https://bulbapedia.bulbagarden.net/wiki/List_of_Japanese_TCG_Expansions</x:v>
      </x:c>
      <x:c r="G43" s="31" t="str">
        <x:v>Filled blank catalogue code</x:v>
      </x:c>
    </x:row>
    <x:row r="44">
      <x:c r="A44" s="31" t="n">
        <x:v>236</x:v>
      </x:c>
      <x:c r="B44" s="31" t="str">
        <x:v>ja</x:v>
      </x:c>
      <x:c r="C44" s="31" t="str">
        <x:v>Holon Phantom</x:v>
      </x:c>
      <x:c r="D44" s="31" t="str">
        <x:v>PCG7</x:v>
      </x:c>
      <x:c r="E44" s="31" t="str">
        <x:v>Series designator; PCG main expansion no. 7</x:v>
      </x:c>
      <x:c r="F44" s="31" t="str">
        <x:v>https://bulbapedia.bulbagarden.net/wiki/List_of_Japanese_TCG_Expansions</x:v>
      </x:c>
      <x:c r="G44" s="31" t="str">
        <x:v>Filled blank catalogue code</x:v>
      </x:c>
    </x:row>
    <x:row r="45">
      <x:c r="A45" s="31" t="n">
        <x:v>237</x:v>
      </x:c>
      <x:c r="B45" s="31" t="str">
        <x:v>ja</x:v>
      </x:c>
      <x:c r="C45" s="31" t="str">
        <x:v>Miracle Crystal</x:v>
      </x:c>
      <x:c r="D45" s="31" t="str">
        <x:v>PCG8</x:v>
      </x:c>
      <x:c r="E45" s="31" t="str">
        <x:v>Series designator; PCG main expansion no. 8</x:v>
      </x:c>
      <x:c r="F45" s="31" t="str">
        <x:v>https://bulbapedia.bulbagarden.net/wiki/List_of_Japanese_TCG_Expansions</x:v>
      </x:c>
      <x:c r="G45" s="31" t="str">
        <x:v>Filled blank catalogue code</x:v>
      </x:c>
    </x:row>
    <x:row r="46">
      <x:c r="A46" s="31" t="n">
        <x:v>238</x:v>
      </x:c>
      <x:c r="B46" s="31" t="str">
        <x:v>ja</x:v>
      </x:c>
      <x:c r="C46" s="31" t="str">
        <x:v>Offense and Defense of the Furthest Ends</x:v>
      </x:c>
      <x:c r="D46" s="31" t="str">
        <x:v>PCG9</x:v>
      </x:c>
      <x:c r="E46" s="31" t="str">
        <x:v>Series designator; PCG main expansion no. 9</x:v>
      </x:c>
      <x:c r="F46" s="31" t="str">
        <x:v>https://bulbapedia.bulbagarden.net/wiki/List_of_Japanese_TCG_Expansions</x:v>
      </x:c>
      <x:c r="G46" s="31" t="str">
        <x:v>Filled blank catalogue code</x:v>
      </x:c>
    </x:row>
    <x:row r="47">
      <x:c r="A47" s="31" t="n">
        <x:v>239</x:v>
      </x:c>
      <x:c r="B47" s="31" t="str">
        <x:v>ja</x:v>
      </x:c>
      <x:c r="C47" s="31" t="str">
        <x:v>Space-Time Creation: Diamond Collection</x:v>
      </x:c>
      <x:c r="D47" s="31" t="str">
        <x:v>DP1-D</x:v>
      </x:c>
      <x:c r="E47" s="31" t="str">
        <x:v>Stackr disambiguated code; one half of Japanese DP main expansion no. 1</x:v>
      </x:c>
      <x:c r="F47" s="31" t="str">
        <x:v>https://bulbapedia.bulbagarden.net/wiki/List_of_Japanese_TCG_Expansions</x:v>
      </x:c>
      <x:c r="G47" s="31" t="str">
        <x:v>Filled blank catalogue code</x:v>
      </x:c>
    </x:row>
    <x:row r="48">
      <x:c r="A48" s="31" t="n">
        <x:v>240</x:v>
      </x:c>
      <x:c r="B48" s="31" t="str">
        <x:v>ja</x:v>
      </x:c>
      <x:c r="C48" s="31" t="str">
        <x:v>Space-Time Creation: Pearl Collection</x:v>
      </x:c>
      <x:c r="D48" s="31" t="str">
        <x:v>DP1-P</x:v>
      </x:c>
      <x:c r="E48" s="31" t="str">
        <x:v>Stackr disambiguated code; one half of Japanese DP main expansion no. 1</x:v>
      </x:c>
      <x:c r="F48" s="31" t="str">
        <x:v>https://bulbapedia.bulbagarden.net/wiki/List_of_Japanese_TCG_Expansions</x:v>
      </x:c>
      <x:c r="G48" s="31" t="str">
        <x:v>Filled blank catalogue code</x:v>
      </x:c>
    </x:row>
    <x:row r="49">
      <x:c r="A49" s="31" t="n">
        <x:v>242</x:v>
      </x:c>
      <x:c r="B49" s="31" t="str">
        <x:v>ja</x:v>
      </x:c>
      <x:c r="C49" s="31" t="str">
        <x:v>Secret of the Lakes</x:v>
      </x:c>
      <x:c r="D49" s="31" t="str">
        <x:v>DP2</x:v>
      </x:c>
      <x:c r="E49" s="31" t="str">
        <x:v>Series designator; DP main expansion no. 2</x:v>
      </x:c>
      <x:c r="F49" s="31" t="str">
        <x:v>https://bulbapedia.bulbagarden.net/wiki/List_of_Japanese_TCG_Expansions</x:v>
      </x:c>
      <x:c r="G49" s="31" t="str">
        <x:v>Filled blank catalogue code</x:v>
      </x:c>
    </x:row>
    <x:row r="50">
      <x:c r="A50" s="31" t="n">
        <x:v>244</x:v>
      </x:c>
      <x:c r="B50" s="31" t="str">
        <x:v>ja</x:v>
      </x:c>
      <x:c r="C50" s="31" t="str">
        <x:v>Shining Darkness</x:v>
      </x:c>
      <x:c r="D50" s="31" t="str">
        <x:v>DP3</x:v>
      </x:c>
      <x:c r="E50" s="31" t="str">
        <x:v>Series designator; DP main expansion no. 3</x:v>
      </x:c>
      <x:c r="F50" s="31" t="str">
        <x:v>https://bulbapedia.bulbagarden.net/wiki/List_of_Japanese_TCG_Expansions</x:v>
      </x:c>
      <x:c r="G50" s="31" t="str">
        <x:v>Filled blank catalogue code</x:v>
      </x:c>
    </x:row>
    <x:row r="51">
      <x:c r="A51" s="31" t="n">
        <x:v>245</x:v>
      </x:c>
      <x:c r="B51" s="31" t="str">
        <x:v>ja</x:v>
      </x:c>
      <x:c r="C51" s="31" t="str">
        <x:v>World Champions Pack</x:v>
      </x:c>
      <x:c r="D51" s="31" t="str">
        <x:v>PCG10</x:v>
      </x:c>
      <x:c r="E51" s="31" t="str">
        <x:v>Series designator; PCG main expansion no. 10</x:v>
      </x:c>
      <x:c r="F51" s="31" t="str">
        <x:v>https://bulbapedia.bulbagarden.net/wiki/List_of_Japanese_TCG_Expansions</x:v>
      </x:c>
      <x:c r="G51" s="31" t="str">
        <x:v>Filled blank catalogue code</x:v>
      </x:c>
    </x:row>
    <x:row r="52">
      <x:c r="A52" s="31" t="n">
        <x:v>247</x:v>
      </x:c>
      <x:c r="B52" s="31" t="str">
        <x:v>ja</x:v>
      </x:c>
      <x:c r="C52" s="31" t="str">
        <x:v>Dawn Dash</x:v>
      </x:c>
      <x:c r="D52" s="31" t="str">
        <x:v>DP4-Dawn</x:v>
      </x:c>
      <x:c r="E52" s="31" t="str">
        <x:v>Stackr disambiguated code; one half of Japanese DP main expansion no. 4</x:v>
      </x:c>
      <x:c r="F52" s="31" t="str">
        <x:v>https://bulbapedia.bulbagarden.net/wiki/List_of_Japanese_TCG_Expansions</x:v>
      </x:c>
      <x:c r="G52" s="31" t="str">
        <x:v>Filled blank catalogue code</x:v>
      </x:c>
    </x:row>
    <x:row r="53">
      <x:c r="A53" s="31" t="n">
        <x:v>248</x:v>
      </x:c>
      <x:c r="B53" s="31" t="str">
        <x:v>ja</x:v>
      </x:c>
      <x:c r="C53" s="31" t="str">
        <x:v>Moonlit Pursuit</x:v>
      </x:c>
      <x:c r="D53" s="31" t="str">
        <x:v>DP4-Moon</x:v>
      </x:c>
      <x:c r="E53" s="31" t="str">
        <x:v>Stackr disambiguated code; one half of Japanese DP main expansion no. 4</x:v>
      </x:c>
      <x:c r="F53" s="31" t="str">
        <x:v>https://bulbapedia.bulbagarden.net/wiki/List_of_Japanese_TCG_Expansions</x:v>
      </x:c>
      <x:c r="G53" s="31" t="str">
        <x:v>Filled blank catalogue code</x:v>
      </x:c>
    </x:row>
    <x:row r="54">
      <x:c r="A54" s="31" t="n">
        <x:v>249</x:v>
      </x:c>
      <x:c r="B54" s="31" t="str">
        <x:v>ja</x:v>
      </x:c>
      <x:c r="C54" s="31" t="str">
        <x:v>Cry from the Mysterious</x:v>
      </x:c>
      <x:c r="D54" s="31" t="str">
        <x:v>DP5-Cry</x:v>
      </x:c>
      <x:c r="E54" s="31" t="str">
        <x:v>Stackr disambiguated code; one half of Japanese DP main expansion no. 5</x:v>
      </x:c>
      <x:c r="F54" s="31" t="str">
        <x:v>https://bulbapedia.bulbagarden.net/wiki/List_of_Japanese_TCG_Expansions</x:v>
      </x:c>
      <x:c r="G54" s="31" t="str">
        <x:v>Filled blank catalogue code</x:v>
      </x:c>
    </x:row>
    <x:row r="55">
      <x:c r="A55" s="31" t="n">
        <x:v>250</x:v>
      </x:c>
      <x:c r="B55" s="31" t="str">
        <x:v>ja</x:v>
      </x:c>
      <x:c r="C55" s="31" t="str">
        <x:v>Temple of Anger</x:v>
      </x:c>
      <x:c r="D55" s="31" t="str">
        <x:v>DP5-Temple</x:v>
      </x:c>
      <x:c r="E55" s="31" t="str">
        <x:v>Stackr disambiguated code; one half of Japanese DP main expansion no. 5</x:v>
      </x:c>
      <x:c r="F55" s="31" t="str">
        <x:v>https://bulbapedia.bulbagarden.net/wiki/List_of_Japanese_TCG_Expansions</x:v>
      </x:c>
      <x:c r="G55" s="31" t="str">
        <x:v>Filled blank catalogue code</x:v>
      </x:c>
    </x:row>
    <x:row r="56">
      <x:c r="A56" s="31" t="n">
        <x:v>251</x:v>
      </x:c>
      <x:c r="B56" s="31" t="str">
        <x:v>ja</x:v>
      </x:c>
      <x:c r="C56" s="31" t="str">
        <x:v>Intense Fight in the Destroyed Sky</x:v>
      </x:c>
      <x:c r="D56" s="31" t="str">
        <x:v>DP6</x:v>
      </x:c>
      <x:c r="E56" s="31" t="str">
        <x:v>Series designator; DP main expansion no. 6</x:v>
      </x:c>
      <x:c r="F56" s="31" t="str">
        <x:v>https://bulbapedia.bulbagarden.net/wiki/List_of_Japanese_TCG_Expansions</x:v>
      </x:c>
      <x:c r="G56" s="31" t="str">
        <x:v>Filled blank catalogue code</x:v>
      </x:c>
    </x:row>
    <x:row r="57">
      <x:c r="A57" s="31" t="n">
        <x:v>259</x:v>
      </x:c>
      <x:c r="B57" s="31" t="str">
        <x:v>ja</x:v>
      </x:c>
      <x:c r="C57" s="31" t="str">
        <x:v>HeartGold Collection</x:v>
      </x:c>
      <x:c r="D57" s="31" t="str">
        <x:v>L1a</x:v>
      </x:c>
      <x:c r="E57" s="31" t="str">
        <x:v>Established Japanese series designator</x:v>
      </x:c>
      <x:c r="F57" s="31" t="str">
        <x:v>https://bulbapedia.bulbagarden.net/wiki/List_of_Japanese_TCG_Expansions</x:v>
      </x:c>
      <x:c r="G57" s="31" t="str">
        <x:v>Filled blank catalogue code</x:v>
      </x:c>
    </x:row>
    <x:row r="58">
      <x:c r="A58" s="31" t="n">
        <x:v>260</x:v>
      </x:c>
      <x:c r="B58" s="31" t="str">
        <x:v>ja</x:v>
      </x:c>
      <x:c r="C58" s="31" t="str">
        <x:v>SoulSilver Collection</x:v>
      </x:c>
      <x:c r="D58" s="31" t="str">
        <x:v>L1b</x:v>
      </x:c>
      <x:c r="E58" s="31" t="str">
        <x:v>Established Japanese series designator</x:v>
      </x:c>
      <x:c r="F58" s="31" t="str">
        <x:v>https://bulbapedia.bulbagarden.net/wiki/List_of_Japanese_TCG_Expansions</x:v>
      </x:c>
      <x:c r="G58" s="31" t="str">
        <x:v>Filled blank catalogue code</x:v>
      </x:c>
    </x:row>
    <x:row r="59">
      <x:c r="A59" t="n">
        <x:v>614</x:v>
      </x:c>
      <x:c r="B59" t="str">
        <x:v>zh-TW</x:v>
      </x:c>
      <x:c r="C59" t="str">
        <x:v>Double ex Start Deck Generations</x:v>
      </x:c>
      <x:c r="D59" t="str">
        <x:v>TW-SVC</x:v>
      </x:c>
      <x:c r="E59" t="str">
        <x:v>Stackr internal inventory alias; based on SVC family shorthand; not asserted as an official printed code</x:v>
      </x:c>
      <x:c r="F59" t="str"/>
      <x:c r="G59" t="str">
        <x:v>Filled blank catalogue code as Stackr internal alias</x:v>
      </x:c>
    </x:row>
    <x:row r="60">
      <x:c r="A60" t="n">
        <x:v>617</x:v>
      </x:c>
      <x:c r="B60" t="str">
        <x:v>zh-TW</x:v>
      </x:c>
      <x:c r="C60" t="str">
        <x:v>Challenge Deck: Marnie's Morpeko &amp; Grimmsnarl ex</x:v>
      </x:c>
      <x:c r="D60" t="str">
        <x:v>TW-SVF-M</x:v>
      </x:c>
      <x:c r="E60" t="str">
        <x:v>Stackr internal inventory alias; Marnie challenge-deck shorthand; not asserted as an official printed code</x:v>
      </x:c>
      <x:c r="F60" t="str"/>
      <x:c r="G60" t="str">
        <x:v>Filled blank catalogue code as Stackr internal alias</x:v>
      </x:c>
    </x:row>
    <x:row r="61">
      <x:c r="A61" t="n">
        <x:v>618</x:v>
      </x:c>
      <x:c r="B61" t="str">
        <x:v>zh-TW</x:v>
      </x:c>
      <x:c r="C61" t="str">
        <x:v>Challenge Deck: Steven's Beldum &amp; Metagross ex</x:v>
      </x:c>
      <x:c r="D61" t="str">
        <x:v>TW-SVF-S</x:v>
      </x:c>
      <x:c r="E61" t="str">
        <x:v>Stackr internal inventory alias; Steven challenge-deck shorthand; not asserted as an official printed code</x:v>
      </x:c>
      <x:c r="F61" t="str"/>
      <x:c r="G61" t="str">
        <x:v>Filled blank catalogue code as Stackr internal alias</x:v>
      </x:c>
    </x:row>
    <x:row r="62">
      <x:c r="A62" t="n">
        <x:v>619</x:v>
      </x:c>
      <x:c r="B62" t="str">
        <x:v>zh-TW</x:v>
      </x:c>
      <x:c r="C62" t="str">
        <x:v>Hot Wind Arena</x:v>
      </x:c>
      <x:c r="D62" t="str">
        <x:v>TW-SV9a</x:v>
      </x:c>
      <x:c r="E62" t="str">
        <x:v>Stackr language-qualified series alias aligned to Hot Wind Arena / Japanese SV9a; not asserted as an official Taiwan printed code</x:v>
      </x:c>
      <x:c r="F62" t="str"/>
      <x:c r="G62" t="str">
        <x:v>Filled blank catalogue code as Stackr internal alias</x:v>
      </x:c>
    </x:row>
    <x:row r="63">
      <x:c r="A63" t="n">
        <x:v>621</x:v>
      </x:c>
      <x:c r="B63" t="str">
        <x:v>zh-TW</x:v>
      </x:c>
      <x:c r="C63" t="str">
        <x:v>Black Bolt</x:v>
      </x:c>
      <x:c r="D63" t="str">
        <x:v>TW-SV11B</x:v>
      </x:c>
      <x:c r="E63" t="str">
        <x:v>Stackr language-qualified series alias aligned to Black Bolt / Japanese SV11B; not asserted as an official Taiwan printed code</x:v>
      </x:c>
      <x:c r="F63" t="str"/>
      <x:c r="G63" t="str">
        <x:v>Filled blank catalogue code as Stackr internal alias</x:v>
      </x:c>
    </x:row>
    <x:row r="64">
      <x:c r="A64" t="n">
        <x:v>631</x:v>
      </x:c>
      <x:c r="B64" t="str">
        <x:v>zh-TW</x:v>
      </x:c>
      <x:c r="C64" t="str">
        <x:v>Start Deck 100 Battle Collection</x:v>
      </x:c>
      <x:c r="D64" t="str">
        <x:v>TW-SD100-BC</x:v>
      </x:c>
      <x:c r="E64" t="str">
        <x:v>Stackr internal inventory alias for Start Deck 100 Battle Collection; avoids unsupported official-code claim</x:v>
      </x:c>
      <x:c r="F64" t="str"/>
      <x:c r="G64" t="str">
        <x:v>Filled blank catalogue code as Stackr internal alias</x:v>
      </x:c>
    </x:row>
    <x:row r="65">
      <x:c r="A65" t="n">
        <x:v>633</x:v>
      </x:c>
      <x:c r="B65" t="str">
        <x:v>zh-TW</x:v>
      </x:c>
      <x:c r="C65" t="str">
        <x:v>New Trainer Journey</x:v>
      </x:c>
      <x:c r="D65" t="str">
        <x:v>TW-NTJ</x:v>
      </x:c>
      <x:c r="E65" t="str">
        <x:v>Stackr internal inventory alias derived from product title; not asserted as an official printed code</x:v>
      </x:c>
      <x:c r="F65" t="str"/>
      <x:c r="G65" t="str">
        <x:v>Filled blank catalogue code as Stackr internal alias</x:v>
      </x:c>
    </x:row>
    <x:row r="66">
      <x:c r="A66" t="n">
        <x:v>638</x:v>
      </x:c>
      <x:c r="B66" t="str">
        <x:v>zh-TW</x:v>
      </x:c>
      <x:c r="C66" t="str">
        <x:v>Tactical Deck: Mega Gardevoir ex</x:v>
      </x:c>
      <x:c r="D66" t="str">
        <x:v>TW-MGEX-G</x:v>
      </x:c>
      <x:c r="E66" t="str">
        <x:v>Stackr internal inventory alias for Mega Gardevoir ex tactical deck; not asserted as an official printed code</x:v>
      </x:c>
      <x:c r="F66" t="str"/>
      <x:c r="G66" t="str">
        <x:v>Filled blank catalogue code as Stackr internal alias</x:v>
      </x:c>
    </x:row>
    <x:row r="67">
      <x:c r="A67" t="n">
        <x:v>639</x:v>
      </x:c>
      <x:c r="B67" t="str">
        <x:v>zh-TW</x:v>
      </x:c>
      <x:c r="C67" t="str">
        <x:v>Tactical Deck: Mega Sharpedo ex</x:v>
      </x:c>
      <x:c r="D67" t="str">
        <x:v>TW-MGEX-S</x:v>
      </x:c>
      <x:c r="E67" t="str">
        <x:v>Stackr internal inventory alias for Mega Sharpedo ex tactical deck; not asserted as an official printed code</x:v>
      </x:c>
      <x:c r="F67" t="str"/>
      <x:c r="G67" t="str">
        <x:v>Filled blank catalogue code as Stackr internal alias</x:v>
      </x:c>
    </x:row>
    <x:row r="68">
      <x:c r="A68" t="n">
        <x:v>642</x:v>
      </x:c>
      <x:c r="B68" t="str">
        <x:v>zh-TW</x:v>
      </x:c>
      <x:c r="C68" t="str">
        <x:v>Premium Deck Set: Espeon &amp; Umbreon</x:v>
      </x:c>
      <x:c r="D68" t="str">
        <x:v>TW-PDS-EU</x:v>
      </x:c>
      <x:c r="E68" t="str">
        <x:v>Stackr internal inventory alias for Espeon &amp; Umbreon premium deck set; not asserted as an official printed code</x:v>
      </x:c>
      <x:c r="F68" t="str"/>
      <x:c r="G68" t="str">
        <x:v>Filled blank catalogue code as Stackr internal alias</x:v>
      </x:c>
    </x:row>
    <x:row r="69">
      <x:c r="A69" t="n">
        <x:v>470</x:v>
      </x:c>
      <x:c r="B69" t="str">
        <x:v>zh-CN</x:v>
      </x:c>
      <x:c r="C69" t="str">
        <x:v>Collection 151 — shared numbered catalogue</x:v>
      </x:c>
      <x:c r="D69" t="str">
        <x:v>151C</x:v>
      </x:c>
      <x:c r="E69" t="str">
        <x:v>External database family shorthand for the shared Collection 151 catalogue; official China product family verified; not asserted as a printed set mark</x:v>
      </x:c>
      <x:c r="F69" t="str">
        <x:v>https://excaliburtcg.co.uk/products ; https://www.pokemon.cn/tcg/product/15486.html</x:v>
      </x:c>
      <x:c r="G69" t="str">
        <x:v>Filled Chinese catalogue-code blank</x:v>
      </x:c>
    </x:row>
    <x:row r="70">
      <x:c r="A70" t="n">
        <x:v>471</x:v>
      </x:c>
      <x:c r="B70" t="str">
        <x:v>zh-CN</x:v>
      </x:c>
      <x:c r="C70" t="str">
        <x:v>Collection 151: Journey</x:v>
      </x:c>
      <x:c r="D70" t="str">
        <x:v>151C1</x:v>
      </x:c>
      <x:c r="E70" t="str">
        <x:v>Established external database shorthand for Collection 151: Journey; official China product verified; not asserted as a printed set mark</x:v>
      </x:c>
      <x:c r="F70" t="str">
        <x:v>https://excaliburtcg.co.uk/products ; https://www.pokemon.cn/tcg/product/15688.html</x:v>
      </x:c>
      <x:c r="G70" t="str">
        <x:v>Filled Chinese catalogue-code blank</x:v>
      </x:c>
    </x:row>
    <x:row r="71">
      <x:c r="A71" t="n">
        <x:v>474</x:v>
      </x:c>
      <x:c r="B71" t="str">
        <x:v>zh-CN</x:v>
      </x:c>
      <x:c r="C71" t="str">
        <x:v>Collection 151: Hope</x:v>
      </x:c>
      <x:c r="D71" t="str">
        <x:v>151C2</x:v>
      </x:c>
      <x:c r="E71" t="str">
        <x:v>Established external database shorthand for Collection 151: Hope; official China product verified; not asserted as a printed set mark</x:v>
      </x:c>
      <x:c r="F71" t="str">
        <x:v>https://excaliburtcg.co.uk/products ; https://www.pokemon.cn/tcg/product/15541.html</x:v>
      </x:c>
      <x:c r="G71" t="str">
        <x:v>Filled Chinese catalogue-code blank</x:v>
      </x:c>
    </x:row>
    <x:row r="72">
      <x:c r="A72" t="n">
        <x:v>479</x:v>
      </x:c>
      <x:c r="B72" t="str">
        <x:v>zh-CN</x:v>
      </x:c>
      <x:c r="C72" t="str">
        <x:v>Collection 151: Scare</x:v>
      </x:c>
      <x:c r="D72" t="str">
        <x:v>151C3</x:v>
      </x:c>
      <x:c r="E72" t="str">
        <x:v>Established external database shorthand for Collection 151: Scare; official China product verified; not asserted as a printed set mark</x:v>
      </x:c>
      <x:c r="F72" t="str">
        <x:v>https://excaliburtcg.co.uk/products ; https://www.pokemon.cn/tcg/product/15486.html</x:v>
      </x:c>
      <x:c r="G72" t="str">
        <x:v>Filled Chinese catalogue-code blank</x:v>
      </x:c>
    </x:row>
    <x:row r="73">
      <x:c r="A73" t="n">
        <x:v>482</x:v>
      </x:c>
      <x:c r="B73" t="str">
        <x:v>zh-CN</x:v>
      </x:c>
      <x:c r="C73" t="str">
        <x:v>Collection 151: Gather</x:v>
      </x:c>
      <x:c r="D73" t="str">
        <x:v>151C4</x:v>
      </x:c>
      <x:c r="E73" t="str">
        <x:v>Established external database shorthand for Collection 151: Gather; official China product verified; not asserted as a printed set mark</x:v>
      </x:c>
      <x:c r="F73" t="str">
        <x:v>https://excaliburtcg.co.uk/products ; https://www.pokemon.cn/tcg/product/15486.html</x:v>
      </x:c>
      <x:c r="G73" t="str">
        <x:v>Filled Chinese catalogue-code blank</x:v>
      </x:c>
    </x:row>
    <x:row r="74">
      <x:c r="A74" t="n">
        <x:v>496</x:v>
      </x:c>
      <x:c r="B74" t="str">
        <x:v>zh-CN</x:v>
      </x:c>
      <x:c r="C74" t="str">
        <x:v>Dynamax Clash V Starter Decks</x:v>
      </x:c>
      <x:c r="D74" t="str">
        <x:v>CS1D</x:v>
      </x:c>
      <x:c r="E74" t="str">
        <x:v>Established Simplified Chinese Sword &amp; Shield starter-deck set mark</x:v>
      </x:c>
      <x:c r="F74" t="str">
        <x:v>https://bulbapedia.bulbagarden.net/wiki/Pok%C3%A9mon_in_mainland_China</x:v>
      </x:c>
      <x:c r="G74" t="str">
        <x:v>Filled Chinese catalogue-code blank</x:v>
      </x:c>
    </x:row>
    <x:row r="75">
      <x:c r="A75" t="n">
        <x:v>497</x:v>
      </x:c>
      <x:c r="B75" t="str">
        <x:v>zh-CN</x:v>
      </x:c>
      <x:c r="C75" t="str">
        <x:v>Gallant Galaxy V Starter Decks</x:v>
      </x:c>
      <x:c r="D75" t="str">
        <x:v>CS5D</x:v>
      </x:c>
      <x:c r="E75" t="str">
        <x:v>Established Simplified Chinese Sword &amp; Shield starter-deck set mark</x:v>
      </x:c>
      <x:c r="F75" t="str">
        <x:v>https://bulbapedia.bulbagarden.net/wiki/Pok%C3%A9mon_in_mainland_China</x:v>
      </x:c>
      <x:c r="G75" t="str">
        <x:v>Filled Chinese catalogue-code blank</x:v>
      </x:c>
    </x:row>
    <x:row r="76">
      <x:c r="A76" t="n">
        <x:v>499</x:v>
      </x:c>
      <x:c r="B76" t="str">
        <x:v>zh-CN</x:v>
      </x:c>
      <x:c r="C76" t="str">
        <x:v>Pokémon Card Game Battle Academy</x:v>
      </x:c>
      <x:c r="D76" t="str">
        <x:v>CSVS</x:v>
      </x:c>
      <x:c r="E76" t="str">
        <x:v>Established Simplified Chinese Battle Academy set code; official mainland-China product verified</x:v>
      </x:c>
      <x:c r="F76" t="str">
        <x:v>https://wiki.52poke.com/wiki/CSVS ; https://www.pokemon.cn/tcg/product/15476.html</x:v>
      </x:c>
      <x:c r="G76" t="str">
        <x:v>Filled Chinese catalogue-code blank</x:v>
      </x:c>
    </x:row>
    <x:row r="77">
      <x:c r="A77" t="n">
        <x:v>500</x:v>
      </x:c>
      <x:c r="B77" t="str">
        <x:v>zh-CN</x:v>
      </x:c>
      <x:c r="C77" t="str">
        <x:v>Primordial Arts V Starter Decks</x:v>
      </x:c>
      <x:c r="D77" t="str">
        <x:v>CS3D</x:v>
      </x:c>
      <x:c r="E77" t="str">
        <x:v>Established Simplified Chinese Sword &amp; Shield starter-deck set mark</x:v>
      </x:c>
      <x:c r="F77" t="str">
        <x:v>https://bulbapedia.bulbagarden.net/wiki/Pok%C3%A9mon_in_mainland_China</x:v>
      </x:c>
      <x:c r="G77" t="str">
        <x:v>Filled Chinese catalogue-code blank</x:v>
      </x:c>
    </x:row>
    <x:row r="78">
      <x:c r="A78" t="n">
        <x:v>505</x:v>
      </x:c>
      <x:c r="B78" t="str">
        <x:v>zh-CN</x:v>
      </x:c>
      <x:c r="C78" t="str">
        <x:v>Start Deck 100</x:v>
      </x:c>
      <x:c r="D78" t="str">
        <x:v>CS4Da</x:v>
      </x:c>
      <x:c r="E78" t="str">
        <x:v>Established Simplified Chinese Start Deck 100 database shorthand; official mainland-China product verified</x:v>
      </x:c>
      <x:c r="F78" t="str">
        <x:v>https://wiki.52poke.com/wiki/CS4Da ; https://www.pokemon.cn/tcg/product/15882.html</x:v>
      </x:c>
      <x:c r="G78" t="str">
        <x:v>Filled Chinese catalogue-code blank</x:v>
      </x:c>
    </x:row>
    <x:row r="79">
      <x:c r="A79" t="n">
        <x:v>506</x:v>
      </x:c>
      <x:c r="B79" t="str">
        <x:v>zh-CN</x:v>
      </x:c>
      <x:c r="C79" t="str">
        <x:v>Storming Emergence GX Starter Decks</x:v>
      </x:c>
      <x:c r="D79" t="str">
        <x:v>CSM1D</x:v>
      </x:c>
      <x:c r="E79" t="str">
        <x:v>Established Simplified Chinese Sun &amp; Moon GX starter-deck set mark</x:v>
      </x:c>
      <x:c r="F79" t="str">
        <x:v>https://bulbapedia.bulbagarden.net/wiki/CSM1D ; https://www.pokemon.cn/tcg/product/16368.html</x:v>
      </x:c>
      <x:c r="G79" t="str">
        <x:v>Filled Chinese catalogue-code blank</x:v>
      </x:c>
    </x:row>
    <x:row r="80">
      <x:c r="A80" t="n">
        <x:v>507</x:v>
      </x:c>
      <x:c r="B80" t="str">
        <x:v>zh-TW</x:v>
      </x:c>
      <x:c r="C80" t="str">
        <x:v>Base Set</x:v>
      </x:c>
      <x:c r="D80" t="str">
        <x:v>TW-BASE</x:v>
      </x:c>
      <x:c r="E80" t="str">
        <x:v>Stackr internal language-qualified identifier for the historical Traditional Chinese Base Set; not asserted as an official printed code</x:v>
      </x:c>
      <x:c r="F80" t="str"/>
      <x:c r="G80" t="str">
        <x:v>Filled Chinese catalogue-code blank</x:v>
      </x:c>
    </x:row>
    <x:row r="81">
      <x:c r="A81" t="n">
        <x:v>508</x:v>
      </x:c>
      <x:c r="B81" t="str">
        <x:v>zh-TW</x:v>
      </x:c>
      <x:c r="C81" t="str">
        <x:v>Pikachu World Collection — Traditional Chinese card</x:v>
      </x:c>
      <x:c r="D81" t="str">
        <x:v>TW-PWC</x:v>
      </x:c>
      <x:c r="E81" t="str">
        <x:v>Stackr internal identifier for the Traditional Chinese Pikachu World Collection card</x:v>
      </x:c>
      <x:c r="F81" t="str"/>
      <x:c r="G81" t="str">
        <x:v>Filled Chinese catalogue-code blank</x:v>
      </x:c>
    </x:row>
    <x:row r="82">
      <x:c r="A82" t="n">
        <x:v>509</x:v>
      </x:c>
      <x:c r="B82" t="str">
        <x:v>zh-TW</x:v>
      </x:c>
      <x:c r="C82" t="str">
        <x:v>EX Legend Maker</x:v>
      </x:c>
      <x:c r="D82" t="str">
        <x:v>TW-EXLM</x:v>
      </x:c>
      <x:c r="E82" t="str">
        <x:v>Stackr internal identifier for Traditional Chinese EX Legend Maker; not asserted as an official printed code</x:v>
      </x:c>
      <x:c r="F82" t="str"/>
      <x:c r="G82" t="str">
        <x:v>Filled Chinese catalogue-code blank</x:v>
      </x:c>
    </x:row>
    <x:row r="83">
      <x:c r="A83" t="n">
        <x:v>510</x:v>
      </x:c>
      <x:c r="B83" t="str">
        <x:v>zh-TW</x:v>
      </x:c>
      <x:c r="C83" t="str">
        <x:v>EX Trainer Kit 2</x:v>
      </x:c>
      <x:c r="D83" t="str">
        <x:v>TW-EXTK2</x:v>
      </x:c>
      <x:c r="E83" t="str">
        <x:v>Stackr internal identifier for Traditional Chinese EX Trainer Kit 2; not asserted as an official printed code</x:v>
      </x:c>
      <x:c r="F83" t="str"/>
      <x:c r="G83" t="str">
        <x:v>Filled Chinese catalogue-code blank</x:v>
      </x:c>
    </x:row>
    <x:row r="84">
      <x:c r="A84" t="n">
        <x:v>513</x:v>
      </x:c>
      <x:c r="B84" t="str">
        <x:v>zh-TW</x:v>
      </x:c>
      <x:c r="C84" t="str">
        <x:v>All Stars GX Starter Deck</x:v>
      </x:c>
      <x:c r="D84" t="str">
        <x:v>TW-GXSD-AS</x:v>
      </x:c>
      <x:c r="E84" t="str">
        <x:v>Stackr internal identifier for All Stars GX Starter Deck</x:v>
      </x:c>
      <x:c r="F84" t="str"/>
      <x:c r="G84" t="str">
        <x:v>Filled Chinese catalogue-code blank</x:v>
      </x:c>
    </x:row>
    <x:row r="85">
      <x:c r="A85" t="n">
        <x:v>516</x:v>
      </x:c>
      <x:c r="B85" t="str">
        <x:v>zh-TW</x:v>
      </x:c>
      <x:c r="C85" t="str">
        <x:v>Dreams Come True GX Starter Deck</x:v>
      </x:c>
      <x:c r="D85" t="str">
        <x:v>TW-GXSD-DCT</x:v>
      </x:c>
      <x:c r="E85" t="str">
        <x:v>Stackr internal identifier for Dreams Come True GX Starter Deck</x:v>
      </x:c>
      <x:c r="F85" t="str"/>
      <x:c r="G85" t="str">
        <x:v>Filled Chinese catalogue-code blank</x:v>
      </x:c>
    </x:row>
    <x:row r="86">
      <x:c r="A86" t="n">
        <x:v>517</x:v>
      </x:c>
      <x:c r="B86" t="str">
        <x:v>zh-TW</x:v>
      </x:c>
      <x:c r="C86" t="str">
        <x:v>Double Burst GX Starter Deck</x:v>
      </x:c>
      <x:c r="D86" t="str">
        <x:v>TW-GXSD-DB</x:v>
      </x:c>
      <x:c r="E86" t="str">
        <x:v>Stackr internal identifier for Double Burst GX Starter Deck</x:v>
      </x:c>
      <x:c r="F86" t="str"/>
      <x:c r="G86" t="str">
        <x:v>Filled Chinese catalogue-code blank</x:v>
      </x:c>
    </x:row>
    <x:row r="87">
      <x:c r="A87" t="n">
        <x:v>520</x:v>
      </x:c>
      <x:c r="B87" t="str">
        <x:v>zh-TW</x:v>
      </x:c>
      <x:c r="C87" t="str">
        <x:v>Legendary Clash GX Starter Deck</x:v>
      </x:c>
      <x:c r="D87" t="str">
        <x:v>TW-GXSD-LC</x:v>
      </x:c>
      <x:c r="E87" t="str">
        <x:v>Stackr internal identifier for Legendary Clash GX Starter Deck</x:v>
      </x:c>
      <x:c r="F87" t="str"/>
      <x:c r="G87" t="str">
        <x:v>Filled Chinese catalogue-code blank</x:v>
      </x:c>
    </x:row>
    <x:row r="88">
      <x:c r="A88" t="n">
        <x:v>523</x:v>
      </x:c>
      <x:c r="B88" t="str">
        <x:v>zh-TW</x:v>
      </x:c>
      <x:c r="C88" t="str">
        <x:v>Sword &amp; Shield V Starter Deck</x:v>
      </x:c>
      <x:c r="D88" t="str">
        <x:v>TW-VSD-SS</x:v>
      </x:c>
      <x:c r="E88" t="str">
        <x:v>Stackr internal identifier for Sword &amp; Shield V Starter Deck</x:v>
      </x:c>
      <x:c r="F88" t="str">
        <x:v>https://asia.pokemon-card.com/tw/card-search/</x:v>
      </x:c>
      <x:c r="G88" t="str">
        <x:v>Filled Chinese catalogue-code blank</x:v>
      </x:c>
    </x:row>
    <x:row r="89">
      <x:c r="A89" t="n">
        <x:v>526</x:v>
      </x:c>
      <x:c r="B89" t="str">
        <x:v>zh-TW</x:v>
      </x:c>
      <x:c r="C89" t="str">
        <x:v>Infinite Power V Starter Deck</x:v>
      </x:c>
      <x:c r="D89" t="str">
        <x:v>TW-VSD-IP</x:v>
      </x:c>
      <x:c r="E89" t="str">
        <x:v>Stackr internal identifier for Infinite Power V Starter Deck</x:v>
      </x:c>
      <x:c r="F89" t="str">
        <x:v>https://asia.pokemon-card.com/tw/card-search/</x:v>
      </x:c>
      <x:c r="G89" t="str">
        <x:v>Filled Chinese catalogue-code blank</x:v>
      </x:c>
    </x:row>
    <x:row r="90">
      <x:c r="A90" t="n">
        <x:v>531</x:v>
      </x:c>
      <x:c r="B90" t="str">
        <x:v>zh-TW</x:v>
      </x:c>
      <x:c r="C90" t="str">
        <x:v>V Starter Deck: Partner</x:v>
      </x:c>
      <x:c r="D90" t="str">
        <x:v>TW-VSD-PARTNER</x:v>
      </x:c>
      <x:c r="E90" t="str">
        <x:v>Stackr internal identifier for V Starter Deck: Partner</x:v>
      </x:c>
      <x:c r="F90" t="str">
        <x:v>https://asia.pokemon-card.com/tw/card-search/</x:v>
      </x:c>
      <x:c r="G90" t="str">
        <x:v>Filled Chinese catalogue-code blank</x:v>
      </x:c>
    </x:row>
    <x:row r="91">
      <x:c r="A91" t="n">
        <x:v>534</x:v>
      </x:c>
      <x:c r="B91" t="str">
        <x:v>zh-TW</x:v>
      </x:c>
      <x:c r="C91" t="str">
        <x:v>V Starter Deck: Challenge</x:v>
      </x:c>
      <x:c r="D91" t="str">
        <x:v>TW-VSD-CHALLENGE</x:v>
      </x:c>
      <x:c r="E91" t="str">
        <x:v>Stackr internal identifier for V Starter Deck: Challenge</x:v>
      </x:c>
      <x:c r="F91" t="str">
        <x:v>https://asia.pokemon-card.com/tw/card-search/</x:v>
      </x:c>
      <x:c r="G91" t="str">
        <x:v>Filled Chinese catalogue-code blank</x:v>
      </x:c>
    </x:row>
    <x:row r="92">
      <x:c r="A92" t="n">
        <x:v>539</x:v>
      </x:c>
      <x:c r="B92" t="str">
        <x:v>zh-TW</x:v>
      </x:c>
      <x:c r="C92" t="str">
        <x:v>V Starter Deck: Evolution</x:v>
      </x:c>
      <x:c r="D92" t="str">
        <x:v>TW-VSD-EVOLUTION</x:v>
      </x:c>
      <x:c r="E92" t="str">
        <x:v>Stackr internal identifier for V Starter Deck: Evolution</x:v>
      </x:c>
      <x:c r="F92" t="str">
        <x:v>https://asia.pokemon-card.com/tw/card-search/</x:v>
      </x:c>
      <x:c r="G92" t="str">
        <x:v>Filled Chinese catalogue-code blank</x:v>
      </x:c>
    </x:row>
    <x:row r="93">
      <x:c r="A93" t="n">
        <x:v>542</x:v>
      </x:c>
      <x:c r="B93" t="str">
        <x:v>zh-TW</x:v>
      </x:c>
      <x:c r="C93" t="str">
        <x:v>Family Pokémon Card Game</x:v>
      </x:c>
      <x:c r="D93" t="str">
        <x:v>TW-FAMILY</x:v>
      </x:c>
      <x:c r="E93" t="str">
        <x:v>Stackr internal identifier for Family Pokémon Card Game</x:v>
      </x:c>
      <x:c r="F93" t="str">
        <x:v>https://asia.pokemon-card.com/tw/card-search/</x:v>
      </x:c>
      <x:c r="G93" t="str">
        <x:v>Filled Chinese catalogue-code blank</x:v>
      </x:c>
    </x:row>
    <x:row r="94">
      <x:c r="A94" t="n">
        <x:v>543</x:v>
      </x:c>
      <x:c r="B94" t="str">
        <x:v>zh-TW</x:v>
      </x:c>
      <x:c r="C94" t="str">
        <x:v>Greninja V-UNION</x:v>
      </x:c>
      <x:c r="D94" t="str">
        <x:v>TW-VUN-GREN</x:v>
      </x:c>
      <x:c r="E94" t="str">
        <x:v>Stackr internal identifier for Greninja V-UNION</x:v>
      </x:c>
      <x:c r="F94" t="str">
        <x:v>https://asia.pokemon-card.com/tw/card-search/</x:v>
      </x:c>
      <x:c r="G94" t="str">
        <x:v>Filled Chinese catalogue-code blank</x:v>
      </x:c>
    </x:row>
    <x:row r="95">
      <x:c r="A95" t="n">
        <x:v>544</x:v>
      </x:c>
      <x:c r="B95" t="str">
        <x:v>zh-TW</x:v>
      </x:c>
      <x:c r="C95" t="str">
        <x:v>Mewtwo V-UNION</x:v>
      </x:c>
      <x:c r="D95" t="str">
        <x:v>TW-VUN-MEWTWO</x:v>
      </x:c>
      <x:c r="E95" t="str">
        <x:v>Stackr internal identifier for Mewtwo V-UNION</x:v>
      </x:c>
      <x:c r="F95" t="str">
        <x:v>https://asia.pokemon-card.com/tw/card-search/</x:v>
      </x:c>
      <x:c r="G95" t="str">
        <x:v>Filled Chinese catalogue-code blank</x:v>
      </x:c>
    </x:row>
    <x:row r="96">
      <x:c r="A96" t="n">
        <x:v>545</x:v>
      </x:c>
      <x:c r="B96" t="str">
        <x:v>zh-TW</x:v>
      </x:c>
      <x:c r="C96" t="str">
        <x:v>Zacian V-UNION</x:v>
      </x:c>
      <x:c r="D96" t="str">
        <x:v>TW-VUN-ZACIAN</x:v>
      </x:c>
      <x:c r="E96" t="str">
        <x:v>Stackr internal identifier for Zacian V-UNION</x:v>
      </x:c>
      <x:c r="F96" t="str">
        <x:v>https://asia.pokemon-card.com/tw/card-search/</x:v>
      </x:c>
      <x:c r="G96" t="str">
        <x:v>Filled Chinese catalogue-code blank</x:v>
      </x:c>
    </x:row>
    <x:row r="97">
      <x:c r="A97" t="n">
        <x:v>547</x:v>
      </x:c>
      <x:c r="B97" t="str">
        <x:v>zh-TW</x:v>
      </x:c>
      <x:c r="C97" t="str">
        <x:v>V Starter Deck: Power</x:v>
      </x:c>
      <x:c r="D97" t="str">
        <x:v>TW-VSD-POWER</x:v>
      </x:c>
      <x:c r="E97" t="str">
        <x:v>Stackr internal identifier for V Starter Deck: Power</x:v>
      </x:c>
      <x:c r="F97" t="str">
        <x:v>https://asia.pokemon-card.com/tw/card-search/</x:v>
      </x:c>
      <x:c r="G97" t="str">
        <x:v>Filled Chinese catalogue-code blank</x:v>
      </x:c>
    </x:row>
    <x:row r="98">
      <x:c r="A98" t="n">
        <x:v>550</x:v>
      </x:c>
      <x:c r="B98" t="str">
        <x:v>zh-TW</x:v>
      </x:c>
      <x:c r="C98" t="str">
        <x:v>Premium Trainer Box VSTAR</x:v>
      </x:c>
      <x:c r="D98" t="str">
        <x:v>TW-PTB-VSTAR</x:v>
      </x:c>
      <x:c r="E98" t="str">
        <x:v>Stackr internal identifier for Premium Trainer Box VSTAR</x:v>
      </x:c>
      <x:c r="F98" t="str">
        <x:v>https://asia.pokemon-card.com/tw/archives/1289/</x:v>
      </x:c>
      <x:c r="G98" t="str">
        <x:v>Filled Chinese catalogue-code blank</x:v>
      </x:c>
    </x:row>
    <x:row r="99">
      <x:c r="A99" t="n">
        <x:v>551</x:v>
      </x:c>
      <x:c r="B99" t="str">
        <x:v>zh-TW</x:v>
      </x:c>
      <x:c r="C99" t="str">
        <x:v>Special Deck Set: Zacian &amp; Zamazenta vs Eternatus</x:v>
      </x:c>
      <x:c r="D99" t="str">
        <x:v>TW-SDS-ZZE</x:v>
      </x:c>
      <x:c r="E99" t="str">
        <x:v>Stackr internal identifier for Special Deck Set: Zacian &amp; Zamazenta vs Eternatus</x:v>
      </x:c>
      <x:c r="F99" t="str">
        <x:v>https://asia.pokemon-card.com/tw/card-search/</x:v>
      </x:c>
      <x:c r="G99" t="str">
        <x:v>Filled Chinese catalogue-code blank</x:v>
      </x:c>
    </x:row>
    <x:row r="100">
      <x:c r="A100" t="n">
        <x:v>553</x:v>
      </x:c>
      <x:c r="B100" t="str">
        <x:v>zh-TW</x:v>
      </x:c>
      <x:c r="C100" t="str">
        <x:v>Start Deck 100</x:v>
      </x:c>
      <x:c r="D100" t="str">
        <x:v>SI</x:v>
      </x:c>
      <x:c r="E100" t="str">
        <x:v>Established Start Deck 100 shorthand; Taiwan official product route uses /si/ and the code is retained as a product/database identifier</x:v>
      </x:c>
      <x:c r="F100" t="str">
        <x:v>https://asia.pokemon-card.com/tw/archive/special/card/si/</x:v>
      </x:c>
      <x:c r="G100" t="str">
        <x:v>Filled Chinese catalogue-code blank</x:v>
      </x:c>
    </x:row>
    <x:row r="101">
      <x:c r="A101" t="n">
        <x:v>555</x:v>
      </x:c>
      <x:c r="B101" t="str">
        <x:v>zh-TW</x:v>
      </x:c>
      <x:c r="C101" t="str">
        <x:v>Starter Set VSTAR: Darkrai</x:v>
      </x:c>
      <x:c r="D101" t="str">
        <x:v>TW-SSV-DARKRAI</x:v>
      </x:c>
      <x:c r="E101" t="str">
        <x:v>Stackr internal identifier for Starter Set VSTAR: Darkrai</x:v>
      </x:c>
      <x:c r="F101" t="str">
        <x:v>https://asia.pokemon-card.com/tw/card-search/</x:v>
      </x:c>
      <x:c r="G101" t="str">
        <x:v>Filled Chinese catalogue-code blank</x:v>
      </x:c>
    </x:row>
    <x:row r="102">
      <x:c r="A102" t="n">
        <x:v>556</x:v>
      </x:c>
      <x:c r="B102" t="str">
        <x:v>zh-TW</x:v>
      </x:c>
      <x:c r="C102" t="str">
        <x:v>Starter Set VSTAR: Lucario</x:v>
      </x:c>
      <x:c r="D102" t="str">
        <x:v>TW-SSV-LUCARIO</x:v>
      </x:c>
      <x:c r="E102" t="str">
        <x:v>Stackr internal identifier for Starter Set VSTAR: Lucario</x:v>
      </x:c>
      <x:c r="F102" t="str">
        <x:v>https://asia.pokemon-card.com/tw/card-search/</x:v>
      </x:c>
      <x:c r="G102" t="str">
        <x:v>Filled Chinese catalogue-code blank</x:v>
      </x:c>
    </x:row>
    <x:row r="103">
      <x:c r="A103" t="n">
        <x:v>562</x:v>
      </x:c>
      <x:c r="B103" t="str">
        <x:v>zh-TW</x:v>
      </x:c>
      <x:c r="C103" t="str">
        <x:v>VSTAR &amp; VMAX High-Class Deck: Deoxys</x:v>
      </x:c>
      <x:c r="D103" t="str">
        <x:v>TW-HCD-DEOXYS</x:v>
      </x:c>
      <x:c r="E103" t="str">
        <x:v>Stackr internal identifier for VSTAR &amp; VMAX High-Class Deck: Deoxys</x:v>
      </x:c>
      <x:c r="F103" t="str">
        <x:v>https://asia.pokemon-card.com/tw/card-search/</x:v>
      </x:c>
      <x:c r="G103" t="str">
        <x:v>Filled Chinese catalogue-code blank</x:v>
      </x:c>
    </x:row>
    <x:row r="104">
      <x:c r="A104" t="n">
        <x:v>564</x:v>
      </x:c>
      <x:c r="B104" t="str">
        <x:v>zh-TW</x:v>
      </x:c>
      <x:c r="C104" t="str">
        <x:v>VSTAR Special Set</x:v>
      </x:c>
      <x:c r="D104" t="str">
        <x:v>TW-VSTAR-SS</x:v>
      </x:c>
      <x:c r="E104" t="str">
        <x:v>Stackr internal identifier for VSTAR Special Set</x:v>
      </x:c>
      <x:c r="F104" t="str">
        <x:v>https://asia.pokemon-card.com/tw/card-search/</x:v>
      </x:c>
      <x:c r="G104" t="str">
        <x:v>Filled Chinese catalogue-code blank</x:v>
      </x:c>
    </x:row>
    <x:row r="105">
      <x:c r="A105" t="n">
        <x:v>566</x:v>
      </x:c>
      <x:c r="B105" t="str">
        <x:v>zh-TW</x:v>
      </x:c>
      <x:c r="C105" t="str">
        <x:v>Start Deck 100 Special Edition</x:v>
      </x:c>
      <x:c r="D105" t="str">
        <x:v>TW-SI-SP</x:v>
      </x:c>
      <x:c r="E105" t="str">
        <x:v>Stackr internal identifier for Start Deck 100 Special Edition; related to SI product family</x:v>
      </x:c>
      <x:c r="F105" t="str">
        <x:v>https://asia.pokemon-card.com/tw/card-search/</x:v>
      </x:c>
      <x:c r="G105" t="str">
        <x:v>Filled Chinese catalogue-code blank</x:v>
      </x:c>
    </x:row>
    <x:row r="106">
      <x:c r="A106" t="n">
        <x:v>568</x:v>
      </x:c>
      <x:c r="B106" t="str">
        <x:v>zh-TW</x:v>
      </x:c>
      <x:c r="C106" t="str">
        <x:v>V Start Deck: Charizard</x:v>
      </x:c>
      <x:c r="D106" t="str">
        <x:v>TW-VSD-CHARIZARD</x:v>
      </x:c>
      <x:c r="E106" t="str">
        <x:v>Stackr internal identifier for V Start Deck: Charizard</x:v>
      </x:c>
      <x:c r="F106" t="str">
        <x:v>https://asia.pokemon-card.com/tw/card-search/</x:v>
      </x:c>
      <x:c r="G106" t="str">
        <x:v>Filled Chinese catalogue-code blank</x:v>
      </x:c>
    </x:row>
    <x:row r="107">
      <x:c r="A107" t="n">
        <x:v>569</x:v>
      </x:c>
      <x:c r="B107" t="str">
        <x:v>zh-TW</x:v>
      </x:c>
      <x:c r="C107" t="str">
        <x:v>V Start Deck: Mewtwo</x:v>
      </x:c>
      <x:c r="D107" t="str">
        <x:v>TW-VSD-MEWTWO</x:v>
      </x:c>
      <x:c r="E107" t="str">
        <x:v>Stackr internal identifier for V Start Deck: Mewtwo</x:v>
      </x:c>
      <x:c r="F107" t="str">
        <x:v>https://asia.pokemon-card.com/tw/card-search/</x:v>
      </x:c>
      <x:c r="G107" t="str">
        <x:v>Filled Chinese catalogue-code blank</x:v>
      </x:c>
    </x:row>
    <x:row r="108">
      <x:c r="A108" t="n">
        <x:v>570</x:v>
      </x:c>
      <x:c r="B108" t="str">
        <x:v>zh-TW</x:v>
      </x:c>
      <x:c r="C108" t="str">
        <x:v>V Start Deck: Pikachu</x:v>
      </x:c>
      <x:c r="D108" t="str">
        <x:v>TW-VSD-PIKACHU</x:v>
      </x:c>
      <x:c r="E108" t="str">
        <x:v>Stackr internal identifier for V Start Deck: Pikachu</x:v>
      </x:c>
      <x:c r="F108" t="str">
        <x:v>https://asia.pokemon-card.com/tw/card-search/</x:v>
      </x:c>
      <x:c r="G108" t="str">
        <x:v>Filled Chinese catalogue-code blank</x:v>
      </x:c>
    </x:row>
    <x:row r="109">
      <x:c r="A109" t="n">
        <x:v>574</x:v>
      </x:c>
      <x:c r="B109" t="str">
        <x:v>zh-TW</x:v>
      </x:c>
      <x:c r="C109" t="str">
        <x:v>Starter Set ex: Fuecoco &amp; Ampharos ex</x:v>
      </x:c>
      <x:c r="D109" t="str">
        <x:v>TW-SSEX-FUECOCO</x:v>
      </x:c>
      <x:c r="E109" t="str">
        <x:v>Stackr internal identifier for Starter Set ex: Fuecoco &amp; Ampharos ex</x:v>
      </x:c>
      <x:c r="F109" t="str">
        <x:v>https://asia.pokemon-card.com/tw/card-search/</x:v>
      </x:c>
      <x:c r="G109" t="str">
        <x:v>Filled Chinese catalogue-code blank</x:v>
      </x:c>
    </x:row>
    <x:row r="110">
      <x:c r="A110" t="n">
        <x:v>575</x:v>
      </x:c>
      <x:c r="B110" t="str">
        <x:v>zh-TW</x:v>
      </x:c>
      <x:c r="C110" t="str">
        <x:v>Starter Set ex: Quaxly &amp; Mimikyu ex</x:v>
      </x:c>
      <x:c r="D110" t="str">
        <x:v>TW-SSEX-QUAXLY</x:v>
      </x:c>
      <x:c r="E110" t="str">
        <x:v>Stackr internal identifier for Starter Set ex: Quaxly &amp; Mimikyu ex</x:v>
      </x:c>
      <x:c r="F110" t="str">
        <x:v>https://asia.pokemon-card.com/tw/card-search/</x:v>
      </x:c>
      <x:c r="G110" t="str">
        <x:v>Filled Chinese catalogue-code blank</x:v>
      </x:c>
    </x:row>
    <x:row r="111">
      <x:c r="A111" t="n">
        <x:v>577</x:v>
      </x:c>
      <x:c r="B111" t="str">
        <x:v>zh-TW</x:v>
      </x:c>
      <x:c r="C111" t="str">
        <x:v>Violet ex</x:v>
      </x:c>
      <x:c r="D111" t="str">
        <x:v>SV1V</x:v>
      </x:c>
      <x:c r="E111" t="str">
        <x:v>Established Scarlet &amp; Violet series code for Violet ex in Traditional Chinese</x:v>
      </x:c>
      <x:c r="F111" t="str">
        <x:v>https://bulbapedia.bulbagarden.net/wiki/Scarlet_%26_Violet_Era_%28TCG%29</x:v>
      </x:c>
      <x:c r="G111" t="str">
        <x:v>Filled Chinese catalogue-code blank</x:v>
      </x:c>
    </x:row>
    <x:row r="112">
      <x:c r="A112" t="n">
        <x:v>598</x:v>
      </x:c>
      <x:c r="B112" t="str">
        <x:v>zh-TW</x:v>
      </x:c>
      <x:c r="C112" t="str">
        <x:v>Crimson Haze</x:v>
      </x:c>
      <x:c r="D112" t="str">
        <x:v>SV5a</x:v>
      </x:c>
      <x:c r="E112" t="str">
        <x:v>Established Scarlet &amp; Violet series code for Crimson Haze in Traditional Chinese</x:v>
      </x:c>
      <x:c r="F112" t="str">
        <x:v>https://asia.pokemon-card.com/tw/card-search/</x:v>
      </x:c>
      <x:c r="G112" t="str">
        <x:v>Filled Chinese catalogue-code blank</x:v>
      </x:c>
    </x:row>
    <x:row r="113">
      <x:c r="A113" t="n">
        <x:v>601</x:v>
      </x:c>
      <x:c r="B113" t="str">
        <x:v>zh-TW</x:v>
      </x:c>
      <x:c r="C113" t="str">
        <x:v>Tactical Deck: Gardevoir ex</x:v>
      </x:c>
      <x:c r="D113" t="str">
        <x:v>TW-TD-GARDEVOIR</x:v>
      </x:c>
      <x:c r="E113" t="str">
        <x:v>Stackr internal identifier for Tactical Deck: Gardevoir ex</x:v>
      </x:c>
      <x:c r="F113" t="str">
        <x:v>https://asia.pokemon-card.com/tw/card-search/</x:v>
      </x:c>
      <x:c r="G113" t="str">
        <x:v>Filled Chinese catalogue-code blank</x:v>
      </x:c>
    </x:row>
    <x:row r="114">
      <x:c r="A114" t="n">
        <x:v>602</x:v>
      </x:c>
      <x:c r="B114" t="str">
        <x:v>zh-TW</x:v>
      </x:c>
      <x:c r="C114" t="str">
        <x:v>Tactical Deck: Meowscarada ex</x:v>
      </x:c>
      <x:c r="D114" t="str">
        <x:v>TW-TD-MEOWSCARADA</x:v>
      </x:c>
      <x:c r="E114" t="str">
        <x:v>Stackr internal identifier for Tactical Deck: Meowscarada ex</x:v>
      </x:c>
      <x:c r="F114" t="str">
        <x:v>https://asia.pokemon-card.com/tw/card-search/</x:v>
      </x:c>
      <x:c r="G114" t="str">
        <x:v>Filled Chinese catalogue-code blank</x:v>
      </x:c>
    </x:row>
    <x:row r="115">
      <x:c r="A115" t="n">
        <x:v>603</x:v>
      </x:c>
      <x:c r="B115" t="str">
        <x:v>zh-TW</x:v>
      </x:c>
      <x:c r="C115" t="str">
        <x:v>Tactical Deck: Miraidon ex</x:v>
      </x:c>
      <x:c r="D115" t="str">
        <x:v>TW-TD-MIRAIDON</x:v>
      </x:c>
      <x:c r="E115" t="str">
        <x:v>Stackr internal identifier for Tactical Deck: Miraidon ex</x:v>
      </x:c>
      <x:c r="F115" t="str">
        <x:v>https://asia.pokemon-card.com/tw/card-search/</x:v>
      </x:c>
      <x:c r="G115" t="str">
        <x:v>Filled Chinese catalogue-code blank</x:v>
      </x:c>
    </x:row>
    <x:row r="116">
      <x:c r="A116" t="n">
        <x:v>604</x:v>
      </x:c>
      <x:c r="B116" t="str">
        <x:v>zh-TW</x:v>
      </x:c>
      <x:c r="C116" t="str">
        <x:v>Tactical Deck: Scizor ex</x:v>
      </x:c>
      <x:c r="D116" t="str">
        <x:v>TW-TD-SCIZOR</x:v>
      </x:c>
      <x:c r="E116" t="str">
        <x:v>Stackr internal identifier for Tactical Deck: Scizor ex</x:v>
      </x:c>
      <x:c r="F116" t="str">
        <x:v>https://asia.pokemon-card.com/tw/card-search/</x:v>
      </x:c>
      <x:c r="G116" t="str">
        <x:v>Filled Chinese catalogue-code blank</x:v>
      </x:c>
    </x:row>
    <x:row r="117">
      <x:c r="A117" t="n">
        <x:v>605</x:v>
      </x:c>
      <x:c r="B117" t="str">
        <x:v>zh-TW</x:v>
      </x:c>
      <x:c r="C117" t="str">
        <x:v>Tactical Deck: Tera Charizard ex</x:v>
      </x:c>
      <x:c r="D117" t="str">
        <x:v>TW-TD-TCHAR</x:v>
      </x:c>
      <x:c r="E117" t="str">
        <x:v>Stackr internal identifier for Tactical Deck: Tera Charizard ex</x:v>
      </x:c>
      <x:c r="F117" t="str">
        <x:v>https://asia.pokemon-card.com/tw/card-search/</x:v>
      </x:c>
      <x:c r="G117" t="str">
        <x:v>Filled Chinese catalogue-code blank</x:v>
      </x:c>
    </x:row>
    <x:row r="118">
      <x:c r="A118" t="n">
        <x:v>608</x:v>
      </x:c>
      <x:c r="B118" t="str">
        <x:v>zh-TW</x:v>
      </x:c>
      <x:c r="C118" t="str">
        <x:v>Trainers Camp</x:v>
      </x:c>
      <x:c r="D118" t="str">
        <x:v>TW-TRAINERS-CAMP</x:v>
      </x:c>
      <x:c r="E118" t="str">
        <x:v>Stackr internal identifier for Trainers Camp; not asserted as an official printed code</x:v>
      </x:c>
      <x:c r="F118" t="str">
        <x:v>https://asia.pokemon-card.com/tw/card-search/</x:v>
      </x:c>
      <x:c r="G118" t="str">
        <x:v>Filled Chinese catalogue-code blank</x:v>
      </x:c>
    </x:row>
    <x:row r="119">
      <x:c r="A119" t="n">
        <x:v>611</x:v>
      </x:c>
      <x:c r="B119" t="str">
        <x:v>zh-TW</x:v>
      </x:c>
      <x:c r="C119" t="str">
        <x:v>Stellar Tera ex Special Set: Ceruledge ex</x:v>
      </x:c>
      <x:c r="D119" t="str">
        <x:v>TW-STEX-CERU</x:v>
      </x:c>
      <x:c r="E119" t="str">
        <x:v>Stackr internal identifier for Stellar Tera ex Special Set: Ceruledge ex</x:v>
      </x:c>
      <x:c r="F119" t="str">
        <x:v>https://asia.pokemon-card.com/tw/card-search/</x:v>
      </x:c>
      <x:c r="G119" t="str">
        <x:v>Filled Chinese catalogue-code blank</x:v>
      </x:c>
    </x:row>
    <x:row r="120">
      <x:c r="A120" t="n">
        <x:v>612</x:v>
      </x:c>
      <x:c r="B120" t="str">
        <x:v>zh-TW</x:v>
      </x:c>
      <x:c r="C120" t="str">
        <x:v>Stellar Tera ex Special Set: Sylveon ex</x:v>
      </x:c>
      <x:c r="D120" t="str">
        <x:v>TW-STEX-SYLV</x:v>
      </x:c>
      <x:c r="E120" t="str">
        <x:v>Stackr internal identifier for Stellar Tera ex Special Set: Sylveon ex</x:v>
      </x:c>
      <x:c r="F120" t="str">
        <x:v>https://asia.pokemon-card.com/tw/card-search/</x:v>
      </x:c>
      <x:c r="G120" t="str">
        <x:v>Filled Chinese catalogue-code blank</x:v>
      </x:c>
    </x:row>
    <x:row r="121">
      <x:c r="A121" t="n">
        <x:v>217</x:v>
      </x:c>
      <x:c r="B121" t="str">
        <x:v>ja</x:v>
      </x:c>
      <x:c r="C121" t="str">
        <x:v>McDonald's Original Minimum★Pack</x:v>
      </x:c>
      <x:c r="D121" t="str">
        <x:v>MCD02</x:v>
      </x:c>
      <x:c r="E121" t="str">
        <x:v>Stackr internal alias for the 2002 McDonald's Original Minimum★Pack; no normal expansion code established</x:v>
      </x:c>
      <x:c r="F121" t="str">
        <x:v>https://bulbapedia.bulbagarden.net/wiki/McDonald%27s_Pokemon-e_Minimum_Pack</x:v>
      </x:c>
      <x:c r="G121" t="str">
        <x:v>Filled final Japanese catalogue-code blank</x:v>
      </x:c>
    </x:row>
    <x:row r="122">
      <x:c r="A122" t="n">
        <x:v>246</x:v>
      </x:c>
      <x:c r="B122" t="str">
        <x:v>ja</x:v>
      </x:c>
      <x:c r="C122" t="str">
        <x:v>Movie 10th Anniversary Premium Sheet</x:v>
      </x:c>
      <x:c r="D122" t="str">
        <x:v>MOV10</x:v>
      </x:c>
      <x:c r="E122" t="str">
        <x:v>Stackr internal alias for the 10th Movie Commemoration Set; special collection, not a normal numbered expansion</x:v>
      </x:c>
      <x:c r="F122" t="str">
        <x:v>https://bulbapedia.bulbagarden.net/wiki/10th_Movie_Commemoration_Set_%28TCG%29</x:v>
      </x:c>
      <x:c r="G122" t="str">
        <x:v>Filled final Japanese catalogue-code blank</x:v>
      </x:c>
    </x:row>
    <x:row r="123">
      <x:c r="A123" t="n">
        <x:v>252</x:v>
      </x:c>
      <x:c r="B123" t="str">
        <x:v>ja</x:v>
      </x:c>
      <x:c r="C123" t="str">
        <x:v>Movie Commemoration Premium Sheet</x:v>
      </x:c>
      <x:c r="D123" t="str">
        <x:v>MOV11</x:v>
      </x:c>
      <x:c r="E123" t="str">
        <x:v>Stackr internal alias for the 11th Movie Commemoration Set; special collection, not a normal numbered expansion</x:v>
      </x:c>
      <x:c r="F123" t="str">
        <x:v>https://bulbapedia.bulbagarden.net/wiki/11th_Movie_Commemoration_Set_%28TCG%29</x:v>
      </x:c>
      <x:c r="G123" t="str">
        <x:v>Filled final Japanese catalogue-code blank</x:v>
      </x:c>
    </x:row>
    <x:row r="124">
      <x:c r="A124" t="n">
        <x:v>264</x:v>
      </x:c>
      <x:c r="B124" t="str">
        <x:v>ja</x:v>
      </x:c>
      <x:c r="C124" t="str">
        <x:v>World Collection</x:v>
      </x:c>
      <x:c r="D124" t="str">
        <x:v>WC10</x:v>
      </x:c>
      <x:c r="E124" t="str">
        <x:v>Stackr internal/database shorthand for the 2010 World Collection (Pikachu World); not asserted as a printed expansion code</x:v>
      </x:c>
      <x:c r="F124" t="str">
        <x:v>https://bulbapedia.bulbagarden.net/wiki/Pikachu_World_%28TCG%29</x:v>
      </x:c>
      <x:c r="G124" t="str">
        <x:v>Filled final Japanese catalogue-code blank</x:v>
      </x:c>
    </x:row>
    <x:row r="125">
      <x:c r="A125" t="n">
        <x:v>267</x:v>
      </x:c>
      <x:c r="B125" t="str">
        <x:v>ja</x:v>
      </x:c>
      <x:c r="C125" t="str">
        <x:v>Black Collection</x:v>
      </x:c>
      <x:c r="D125" t="str">
        <x:v>BW1-Black</x:v>
      </x:c>
      <x:c r="E125" t="str">
        <x:v>Stackr disambiguated child code under the Japanese BW1 dual-expansion block</x:v>
      </x:c>
      <x:c r="F125" t="str">
        <x:v>https://bulbapedia.bulbagarden.net/wiki/BW1</x:v>
      </x:c>
      <x:c r="G125" t="str">
        <x:v>Filled final Japanese catalogue-code blank</x:v>
      </x:c>
    </x:row>
    <x:row r="126">
      <x:c r="A126" t="n">
        <x:v>268</x:v>
      </x:c>
      <x:c r="B126" t="str">
        <x:v>ja</x:v>
      </x:c>
      <x:c r="C126" t="str">
        <x:v>White Collection</x:v>
      </x:c>
      <x:c r="D126" t="str">
        <x:v>BW1-White</x:v>
      </x:c>
      <x:c r="E126" t="str">
        <x:v>Stackr disambiguated child code under the Japanese BW1 dual-expansion block</x:v>
      </x:c>
      <x:c r="F126" t="str">
        <x:v>https://bulbapedia.bulbagarden.net/wiki/BW1</x:v>
      </x:c>
      <x:c r="G126" t="str">
        <x:v>Filled final Japanese catalogue-code blank</x:v>
      </x:c>
    </x:row>
    <x:row r="127">
      <x:c r="A127" t="n">
        <x:v>270</x:v>
      </x:c>
      <x:c r="B127" t="str">
        <x:v>ja</x:v>
      </x:c>
      <x:c r="C127" t="str">
        <x:v>Hail Blizzard</x:v>
      </x:c>
      <x:c r="D127" t="str">
        <x:v>BW3-Hail</x:v>
      </x:c>
      <x:c r="E127" t="str">
        <x:v>Stackr disambiguated child code under the Japanese BW3 dual-expansion block</x:v>
      </x:c>
      <x:c r="F127" t="str">
        <x:v>https://bulbapedia.bulbagarden.net/wiki/Next_Destinies_%28TCG%29</x:v>
      </x:c>
      <x:c r="G127" t="str">
        <x:v>Filled final Japanese catalogue-code blank</x:v>
      </x:c>
    </x:row>
    <x:row r="128">
      <x:c r="A128" t="n">
        <x:v>271</x:v>
      </x:c>
      <x:c r="B128" t="str">
        <x:v>ja</x:v>
      </x:c>
      <x:c r="C128" t="str">
        <x:v>Psycho Drive</x:v>
      </x:c>
      <x:c r="D128" t="str">
        <x:v>BW3-Psycho</x:v>
      </x:c>
      <x:c r="E128" t="str">
        <x:v>Stackr disambiguated child code under the Japanese BW3 dual-expansion block</x:v>
      </x:c>
      <x:c r="F128" t="str">
        <x:v>https://bulbapedia.bulbagarden.net/wiki/Next_Destinies_%28TCG%29</x:v>
      </x:c>
      <x:c r="G128" t="str">
        <x:v>Filled final Japanese catalogue-code blank</x:v>
      </x:c>
    </x:row>
    <x:row r="129">
      <x:c r="A129" t="n">
        <x:v>274</x:v>
      </x:c>
      <x:c r="B129" t="str">
        <x:v>ja</x:v>
      </x:c>
      <x:c r="C129" t="str">
        <x:v>Dragon Blade</x:v>
      </x:c>
      <x:c r="D129" t="str">
        <x:v>BW5-Blade</x:v>
      </x:c>
      <x:c r="E129" t="str">
        <x:v>Stackr disambiguated child code under the Japanese BW5 dual-expansion block</x:v>
      </x:c>
      <x:c r="F129" t="str">
        <x:v>https://bulbapedia.bulbagarden.net/wiki/Dragons_Exalted_%28TCG%29</x:v>
      </x:c>
      <x:c r="G129" t="str">
        <x:v>Filled final Japanese catalogue-code blank</x:v>
      </x:c>
    </x:row>
    <x:row r="130">
      <x:c r="A130" t="n">
        <x:v>275</x:v>
      </x:c>
      <x:c r="B130" t="str">
        <x:v>ja</x:v>
      </x:c>
      <x:c r="C130" t="str">
        <x:v>Dragon Blast</x:v>
      </x:c>
      <x:c r="D130" t="str">
        <x:v>BW5-Blast</x:v>
      </x:c>
      <x:c r="E130" t="str">
        <x:v>Stackr disambiguated child code under the Japanese BW5 dual-expansion block</x:v>
      </x:c>
      <x:c r="F130" t="str">
        <x:v>https://bulbapedia.bulbagarden.net/wiki/Dragons_Exalted_%28TCG%29</x:v>
      </x:c>
      <x:c r="G130" t="str">
        <x:v>Filled final Japanese catalogue-code blank</x:v>
      </x:c>
    </x:row>
    <x:row r="131">
      <x:c r="A131" t="n">
        <x:v>276</x:v>
      </x:c>
      <x:c r="B131" t="str">
        <x:v>ja</x:v>
      </x:c>
      <x:c r="C131" t="str">
        <x:v>Cold Flare</x:v>
      </x:c>
      <x:c r="D131" t="str">
        <x:v>BW6-Cold</x:v>
      </x:c>
      <x:c r="E131" t="str">
        <x:v>Stackr disambiguated child code under the Japanese BW6 dual-expansion block</x:v>
      </x:c>
      <x:c r="F131" t="str">
        <x:v>https://bulbapedia.bulbagarden.net/wiki/List_of_Japanese_TCG_Expansions</x:v>
      </x:c>
      <x:c r="G131" t="str">
        <x:v>Filled final Japanese catalogue-code blank</x:v>
      </x:c>
    </x:row>
    <x:row r="132">
      <x:c r="A132" t="n">
        <x:v>277</x:v>
      </x:c>
      <x:c r="B132" t="str">
        <x:v>ja</x:v>
      </x:c>
      <x:c r="C132" t="str">
        <x:v>Freeze Bolt</x:v>
      </x:c>
      <x:c r="D132" t="str">
        <x:v>BW6-Freeze</x:v>
      </x:c>
      <x:c r="E132" t="str">
        <x:v>Stackr disambiguated child code under the Japanese BW6 dual-expansion block</x:v>
      </x:c>
      <x:c r="F132" t="str">
        <x:v>https://bulbapedia.bulbagarden.net/wiki/List_of_Japanese_TCG_Expansions</x:v>
      </x:c>
      <x:c r="G132" t="str">
        <x:v>Filled final Japanese catalogue-code blank</x:v>
      </x:c>
    </x:row>
    <x:row r="133">
      <x:c r="A133" t="n">
        <x:v>279</x:v>
      </x:c>
      <x:c r="B133" t="str">
        <x:v>ja</x:v>
      </x:c>
      <x:c r="C133" t="str">
        <x:v>Spiral Force</x:v>
      </x:c>
      <x:c r="D133" t="str">
        <x:v>BW8-Spiral</x:v>
      </x:c>
      <x:c r="E133" t="str">
        <x:v>Stackr disambiguated child code under the Japanese BW8 dual-expansion block</x:v>
      </x:c>
      <x:c r="F133" t="str">
        <x:v>https://bulbapedia.bulbagarden.net/wiki/List_of_Japanese_TCG_Expansions</x:v>
      </x:c>
      <x:c r="G133" t="str">
        <x:v>Filled final Japanese catalogue-code blank</x:v>
      </x:c>
    </x:row>
    <x:row r="134">
      <x:c r="A134" t="n">
        <x:v>280</x:v>
      </x:c>
      <x:c r="B134" t="str">
        <x:v>ja</x:v>
      </x:c>
      <x:c r="C134" t="str">
        <x:v>Thunder Knuckle</x:v>
      </x:c>
      <x:c r="D134" t="str">
        <x:v>BW8-Thunder</x:v>
      </x:c>
      <x:c r="E134" t="str">
        <x:v>Stackr disambiguated child code under the Japanese BW8 dual-expansion block</x:v>
      </x:c>
      <x:c r="F134" t="str">
        <x:v>https://bulbapedia.bulbagarden.net/wiki/List_of_Japanese_TCG_Expansions</x:v>
      </x:c>
      <x:c r="G134" t="str">
        <x:v>Filled final Japanese catalogue-code blank</x:v>
      </x:c>
    </x:row>
    <x:row r="135">
      <x:c r="A135" t="n">
        <x:v>285</x:v>
      </x:c>
      <x:c r="B135" t="str">
        <x:v>ja</x:v>
      </x:c>
      <x:c r="C135" t="str">
        <x:v>Collection X</x:v>
      </x:c>
      <x:c r="D135" t="str">
        <x:v>XY1-X</x:v>
      </x:c>
      <x:c r="E135" t="str">
        <x:v>Stackr disambiguated child code under the Japanese XY1 dual-expansion block</x:v>
      </x:c>
      <x:c r="F135" t="str">
        <x:v>https://bulbapedia.bulbagarden.net/wiki/List_of_Japanese_TCG_Expansions</x:v>
      </x:c>
      <x:c r="G135" t="str">
        <x:v>Filled final Japanese catalogue-code blank</x:v>
      </x:c>
    </x:row>
    <x:row r="136">
      <x:c r="A136" t="n">
        <x:v>286</x:v>
      </x:c>
      <x:c r="B136" t="str">
        <x:v>ja</x:v>
      </x:c>
      <x:c r="C136" t="str">
        <x:v>Collection Y</x:v>
      </x:c>
      <x:c r="D136" t="str">
        <x:v>XY1-Y</x:v>
      </x:c>
      <x:c r="E136" t="str">
        <x:v>Stackr disambiguated child code under the Japanese XY1 dual-expansion block</x:v>
      </x:c>
      <x:c r="F136" t="str">
        <x:v>https://bulbapedia.bulbagarden.net/wiki/List_of_Japanese_TCG_Expansions</x:v>
      </x:c>
      <x:c r="G136" t="str">
        <x:v>Filled final Japanese catalogue-code blank</x:v>
      </x:c>
    </x:row>
    <x:row r="137">
      <x:c r="A137" t="n">
        <x:v>290</x:v>
      </x:c>
      <x:c r="B137" t="str">
        <x:v>ja</x:v>
      </x:c>
      <x:c r="C137" t="str">
        <x:v>Gaia Volcano</x:v>
      </x:c>
      <x:c r="D137" t="str">
        <x:v>XY5-Gaia</x:v>
      </x:c>
      <x:c r="E137" t="str">
        <x:v>Stackr disambiguated child code under the Japanese XY5 dual-expansion block</x:v>
      </x:c>
      <x:c r="F137" t="str">
        <x:v>https://bulbapedia.bulbagarden.net/wiki/List_of_Japanese_TCG_Expansions</x:v>
      </x:c>
      <x:c r="G137" t="str">
        <x:v>Filled final Japanese catalogue-code blank</x:v>
      </x:c>
    </x:row>
    <x:row r="138">
      <x:c r="A138" t="n">
        <x:v>291</x:v>
      </x:c>
      <x:c r="B138" t="str">
        <x:v>ja</x:v>
      </x:c>
      <x:c r="C138" t="str">
        <x:v>Tidal Storm</x:v>
      </x:c>
      <x:c r="D138" t="str">
        <x:v>XY5-Tidal</x:v>
      </x:c>
      <x:c r="E138" t="str">
        <x:v>Stackr disambiguated child code under the Japanese XY5 dual-expansion block</x:v>
      </x:c>
      <x:c r="F138" t="str">
        <x:v>https://bulbapedia.bulbagarden.net/wiki/List_of_Japanese_TCG_Expansions</x:v>
      </x:c>
      <x:c r="G138" t="str">
        <x:v>Filled final Japanese catalogue-code blank</x:v>
      </x:c>
    </x:row>
    <x:row r="139">
      <x:c r="A139" t="n">
        <x:v>296</x:v>
      </x:c>
      <x:c r="B139" t="str">
        <x:v>ja</x:v>
      </x:c>
      <x:c r="C139" t="str">
        <x:v>Blue Shock</x:v>
      </x:c>
      <x:c r="D139" t="str">
        <x:v>XY8-Blue</x:v>
      </x:c>
      <x:c r="E139" t="str">
        <x:v>Stackr disambiguated child code under the Japanese XY8 dual-expansion block</x:v>
      </x:c>
      <x:c r="F139" t="str">
        <x:v>https://bulbapedia.bulbagarden.net/wiki/XY8</x:v>
      </x:c>
      <x:c r="G139" t="str">
        <x:v>Filled final Japanese catalogue-code blank</x:v>
      </x:c>
    </x:row>
    <x:row r="140">
      <x:c r="A140" t="n">
        <x:v>297</x:v>
      </x:c>
      <x:c r="B140" t="str">
        <x:v>ja</x:v>
      </x:c>
      <x:c r="C140" t="str">
        <x:v>Red Flash</x:v>
      </x:c>
      <x:c r="D140" t="str">
        <x:v>XY8-Red</x:v>
      </x:c>
      <x:c r="E140" t="str">
        <x:v>Stackr disambiguated child code under the Japanese XY8 dual-expansion block</x:v>
      </x:c>
      <x:c r="F140" t="str">
        <x:v>https://bulbapedia.bulbagarden.net/wiki/XY8</x:v>
      </x:c>
      <x:c r="G140" t="str">
        <x:v>Filled final Japanese catalogue-code blank</x:v>
      </x:c>
    </x:row>
    <x:row r="141">
      <x:c r="A141" t="n">
        <x:v>302</x:v>
      </x:c>
      <x:c r="B141" t="str">
        <x:v>ja</x:v>
      </x:c>
      <x:c r="C141" t="str">
        <x:v>Cruel Traitor</x:v>
      </x:c>
      <x:c r="D141" t="str">
        <x:v>XY11-Cruel</x:v>
      </x:c>
      <x:c r="E141" t="str">
        <x:v>Stackr disambiguated child code under the Japanese XY11 dual-expansion block</x:v>
      </x:c>
      <x:c r="F141" t="str">
        <x:v>https://bulbapedia.bulbagarden.net/wiki/List_of_Japanese_TCG_Expansions</x:v>
      </x:c>
      <x:c r="G141" t="str">
        <x:v>Filled final Japanese catalogue-code blank</x:v>
      </x:c>
    </x:row>
    <x:row r="142">
      <x:c r="A142" t="n">
        <x:v>303</x:v>
      </x:c>
      <x:c r="B142" t="str">
        <x:v>ja</x:v>
      </x:c>
      <x:c r="C142" t="str">
        <x:v>Fever-Burst Fighter</x:v>
      </x:c>
      <x:c r="D142" t="str">
        <x:v>XY11-Fever</x:v>
      </x:c>
      <x:c r="E142" t="str">
        <x:v>Stackr disambiguated child code under the Japanese XY11 dual-expansion block</x:v>
      </x:c>
      <x:c r="F142" t="str">
        <x:v>https://bulbapedia.bulbagarden.net/wiki/List_of_Japanese_TCG_Expansions</x:v>
      </x:c>
      <x:c r="G142" t="str">
        <x:v>Filled final Japanese catalogue-code blank</x:v>
      </x:c>
    </x:row>
    <x:row r="143">
      <x:c r="A143" t="n">
        <x:v>365</x:v>
      </x:c>
      <x:c r="B143" t="str">
        <x:v>ja</x:v>
      </x:c>
      <x:c r="C143" t="str">
        <x:v>Promo Card Pack 25th Anniversary Edition</x:v>
      </x:c>
      <x:c r="D143" t="str">
        <x:v>S8aP</x:v>
      </x:c>
      <x:c r="E143" t="str">
        <x:v>Established database identifier for the Promo Card Pack 25th Anniversary Edition</x:v>
      </x:c>
      <x:c r="F143" t="str">
        <x:v>https://bulbapedia.bulbagarden.net/wiki/S8aP</x:v>
      </x:c>
      <x:c r="G143" t="str">
        <x:v>Filled final Japanese catalogue-code blank</x:v>
      </x:c>
    </x:row>
    <x:row r="144">
      <x:c r="A144" t="n">
        <x:v>414</x:v>
      </x:c>
      <x:c r="B144" t="str">
        <x:v>ja</x:v>
      </x:c>
      <x:c r="C144" t="str">
        <x:v>Aura Seeker</x:v>
      </x:c>
      <x:c r="D144" t="str">
        <x:v>JA-AURA</x:v>
      </x:c>
      <x:c r="E144" t="str">
        <x:v>PROVISIONAL Stackr identifier only. Aura Seeker is an expected future Japanese MEGA-era set; no official expansion code is established as of 26 September 2026</x:v>
      </x:c>
      <x:c r="F144" t="str">
        <x:v>https://bulbapedia.bulbagarden.net/wiki/Aura_Seeker_%28TCG%29</x:v>
      </x:c>
      <x:c r="G144" t="str">
        <x:v>Filled final Japanese catalogue-code blank</x:v>
      </x:c>
    </x:row>
    <x:row r="145">
      <x:c r="A145" t="n">
        <x:v>434</x:v>
      </x:c>
      <x:c r="B145" t="str">
        <x:v>ja</x:v>
      </x:c>
      <x:c r="C145" t="str">
        <x:v>Start Deck 100</x:v>
      </x:c>
      <x:c r="D145" t="str">
        <x:v>SI</x:v>
      </x:c>
      <x:c r="E145" t="str">
        <x:v>Established Japanese set/product code; official Pokémon card-search entries show SI collector numbering for Start Deck 100</x:v>
      </x:c>
      <x:c r="F145" t="str">
        <x:v>https://www.pokemon-card.com/card-search/details.php/card/40767</x:v>
      </x:c>
      <x:c r="G145" t="str">
        <x:v>Filled final Japanese catalogue-code blank</x:v>
      </x:c>
    </x:row>
    <x:row r="146">
      <x:c r="A146" t="n">
        <x:v>437</x:v>
      </x:c>
      <x:c r="B146" t="str">
        <x:v>ja</x:v>
      </x:c>
      <x:c r="C146" t="str">
        <x:v>Unnumbered Promotional cards</x:v>
      </x:c>
      <x:c r="D146" t="str">
        <x:v>JA-PROMO-UN</x:v>
      </x:c>
      <x:c r="E146" t="str">
        <x:v>Stackr umbrella identifier for Japan's explicitly unnumbered promotional-card collection; by definition no collection code/number exists for the group</x:v>
      </x:c>
      <x:c r="F146" t="str">
        <x:v>https://bulbapedia.bulbagarden.net/wiki/Unnumbered_Promotional_cards</x:v>
      </x:c>
      <x:c r="G146" t="str">
        <x:v>Filled final Japanese catalogue-code blank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4" hidden="0" customWidth="1"/>
    <x:col min="4" max="4" width="18" hidden="0" customWidth="1"/>
    <x:col min="5" max="5" width="22" hidden="0" customWidth="1"/>
    <x:col min="6" max="6" width="46" hidden="0" customWidth="1"/>
    <x:col min="7" max="7" width="46" hidden="0" customWidth="1"/>
    <x:col min="8" max="8" width="22" hidden="0" customWidth="1"/>
  </x:cols>
  <x:sheetData>
    <x:row r="1">
      <x:c r="A1" s="61" t="str">
        <x:v>Reference row</x:v>
      </x:c>
      <x:c r="B1" s="61" t="str">
        <x:v>Language</x:v>
      </x:c>
      <x:c r="C1" s="61" t="str">
        <x:v>Set / product</x:v>
      </x:c>
      <x:c r="D1" s="61" t="str">
        <x:v>Canonical code</x:v>
      </x:c>
      <x:c r="E1" s="61" t="str">
        <x:v>Code class</x:v>
      </x:c>
      <x:c r="F1" s="61" t="str">
        <x:v>Code basis</x:v>
      </x:c>
      <x:c r="G1" s="61" t="str">
        <x:v>Source URL</x:v>
      </x:c>
      <x:c r="H1" s="61" t="str">
        <x:v>Reference ID</x:v>
      </x:c>
    </x:row>
    <x:row r="2">
      <x:c r="A2" s="31" t="n">
        <x:v>470</x:v>
      </x:c>
      <x:c r="B2" s="31" t="str">
        <x:v>zh-CN</x:v>
      </x:c>
      <x:c r="C2" s="31" t="str">
        <x:v>Collection 151 — shared numbered catalogue</x:v>
      </x:c>
      <x:c r="D2" s="31" t="str">
        <x:v>151C</x:v>
      </x:c>
      <x:c r="E2" s="31" t="str">
        <x:v>secondary_database</x:v>
      </x:c>
      <x:c r="F2" s="31" t="str">
        <x:v>External database family shorthand for the shared Collection 151 catalogue; official China product family verified; not asserted as a printed set mark</x:v>
      </x:c>
      <x:c r="G2" s="31" t="str">
        <x:v>https://excaliburtcg.co.uk/products ; https://www.pokemon.cn/tcg/product/15486.html</x:v>
      </x:c>
      <x:c r="H2" s="31" t="str">
        <x:v>zh-CN-a61ae6f4afab</x:v>
      </x:c>
    </x:row>
    <x:row r="3">
      <x:c r="A3" s="31" t="n">
        <x:v>471</x:v>
      </x:c>
      <x:c r="B3" s="31" t="str">
        <x:v>zh-CN</x:v>
      </x:c>
      <x:c r="C3" s="31" t="str">
        <x:v>Collection 151: Journey</x:v>
      </x:c>
      <x:c r="D3" s="31" t="str">
        <x:v>151C1</x:v>
      </x:c>
      <x:c r="E3" s="31" t="str">
        <x:v>secondary_database</x:v>
      </x:c>
      <x:c r="F3" s="31" t="str">
        <x:v>Established external database shorthand for Collection 151: Journey; official China product verified; not asserted as a printed set mark</x:v>
      </x:c>
      <x:c r="G3" s="31" t="str">
        <x:v>https://excaliburtcg.co.uk/products ; https://www.pokemon.cn/tcg/product/15688.html</x:v>
      </x:c>
      <x:c r="H3" s="31" t="str">
        <x:v>zh-CN-d1ae3e65a60e</x:v>
      </x:c>
    </x:row>
    <x:row r="4">
      <x:c r="A4" s="31" t="n">
        <x:v>474</x:v>
      </x:c>
      <x:c r="B4" s="31" t="str">
        <x:v>zh-CN</x:v>
      </x:c>
      <x:c r="C4" s="31" t="str">
        <x:v>Collection 151: Hope</x:v>
      </x:c>
      <x:c r="D4" s="31" t="str">
        <x:v>151C2</x:v>
      </x:c>
      <x:c r="E4" s="31" t="str">
        <x:v>secondary_database</x:v>
      </x:c>
      <x:c r="F4" s="31" t="str">
        <x:v>Established external database shorthand for Collection 151: Hope; official China product verified; not asserted as a printed set mark</x:v>
      </x:c>
      <x:c r="G4" s="31" t="str">
        <x:v>https://excaliburtcg.co.uk/products ; https://www.pokemon.cn/tcg/product/15541.html</x:v>
      </x:c>
      <x:c r="H4" s="31" t="str">
        <x:v>zh-CN-8e72634373e1</x:v>
      </x:c>
    </x:row>
    <x:row r="5">
      <x:c r="A5" s="31" t="n">
        <x:v>479</x:v>
      </x:c>
      <x:c r="B5" s="31" t="str">
        <x:v>zh-CN</x:v>
      </x:c>
      <x:c r="C5" s="31" t="str">
        <x:v>Collection 151: Scare</x:v>
      </x:c>
      <x:c r="D5" s="31" t="str">
        <x:v>151C3</x:v>
      </x:c>
      <x:c r="E5" s="31" t="str">
        <x:v>secondary_database</x:v>
      </x:c>
      <x:c r="F5" s="31" t="str">
        <x:v>Established external database shorthand for Collection 151: Scare; official China product verified; not asserted as a printed set mark</x:v>
      </x:c>
      <x:c r="G5" s="31" t="str">
        <x:v>https://excaliburtcg.co.uk/products ; https://www.pokemon.cn/tcg/product/15486.html</x:v>
      </x:c>
      <x:c r="H5" s="31" t="str">
        <x:v>zh-CN-06deae5bed81</x:v>
      </x:c>
    </x:row>
    <x:row r="6">
      <x:c r="A6" s="31" t="n">
        <x:v>482</x:v>
      </x:c>
      <x:c r="B6" s="31" t="str">
        <x:v>zh-CN</x:v>
      </x:c>
      <x:c r="C6" s="31" t="str">
        <x:v>Collection 151: Gather</x:v>
      </x:c>
      <x:c r="D6" s="31" t="str">
        <x:v>151C4</x:v>
      </x:c>
      <x:c r="E6" s="31" t="str">
        <x:v>secondary_database</x:v>
      </x:c>
      <x:c r="F6" s="31" t="str">
        <x:v>Established external database shorthand for Collection 151: Gather; official China product verified; not asserted as a printed set mark</x:v>
      </x:c>
      <x:c r="G6" s="31" t="str">
        <x:v>https://excaliburtcg.co.uk/products ; https://www.pokemon.cn/tcg/product/15486.html</x:v>
      </x:c>
      <x:c r="H6" s="31" t="str">
        <x:v>zh-CN-18809c23b06f</x:v>
      </x:c>
    </x:row>
    <x:row r="7">
      <x:c r="A7" s="31" t="n">
        <x:v>496</x:v>
      </x:c>
      <x:c r="B7" s="31" t="str">
        <x:v>zh-CN</x:v>
      </x:c>
      <x:c r="C7" s="31" t="str">
        <x:v>Dynamax Clash V Starter Decks</x:v>
      </x:c>
      <x:c r="D7" s="31" t="str">
        <x:v>CS1D</x:v>
      </x:c>
      <x:c r="E7" s="31" t="str">
        <x:v>secondary_reference</x:v>
      </x:c>
      <x:c r="F7" s="31" t="str">
        <x:v>Established Simplified Chinese Sword &amp; Shield starter-deck set mark</x:v>
      </x:c>
      <x:c r="G7" s="31" t="str">
        <x:v>https://bulbapedia.bulbagarden.net/wiki/Pok%C3%A9mon_in_mainland_China</x:v>
      </x:c>
      <x:c r="H7" s="31" t="str">
        <x:v>zh-CN-b9059c7402f0</x:v>
      </x:c>
    </x:row>
    <x:row r="8">
      <x:c r="A8" s="31" t="n">
        <x:v>497</x:v>
      </x:c>
      <x:c r="B8" s="31" t="str">
        <x:v>zh-CN</x:v>
      </x:c>
      <x:c r="C8" s="31" t="str">
        <x:v>Gallant Galaxy V Starter Decks</x:v>
      </x:c>
      <x:c r="D8" s="31" t="str">
        <x:v>CS5D</x:v>
      </x:c>
      <x:c r="E8" s="31" t="str">
        <x:v>secondary_reference</x:v>
      </x:c>
      <x:c r="F8" s="31" t="str">
        <x:v>Established Simplified Chinese Sword &amp; Shield starter-deck set mark</x:v>
      </x:c>
      <x:c r="G8" s="31" t="str">
        <x:v>https://bulbapedia.bulbagarden.net/wiki/Pok%C3%A9mon_in_mainland_China</x:v>
      </x:c>
      <x:c r="H8" s="31" t="str">
        <x:v>zh-CN-754715d30142</x:v>
      </x:c>
    </x:row>
    <x:row r="9">
      <x:c r="A9" s="31" t="n">
        <x:v>499</x:v>
      </x:c>
      <x:c r="B9" s="31" t="str">
        <x:v>zh-CN</x:v>
      </x:c>
      <x:c r="C9" s="31" t="str">
        <x:v>Pokémon Card Game Battle Academy</x:v>
      </x:c>
      <x:c r="D9" s="31" t="str">
        <x:v>CSVS</x:v>
      </x:c>
      <x:c r="E9" s="31" t="str">
        <x:v>secondary_reference</x:v>
      </x:c>
      <x:c r="F9" s="31" t="str">
        <x:v>Established Simplified Chinese Battle Academy set code; official mainland-China product verified</x:v>
      </x:c>
      <x:c r="G9" s="31" t="str">
        <x:v>https://wiki.52poke.com/wiki/CSVS ; https://www.pokemon.cn/tcg/product/15476.html</x:v>
      </x:c>
      <x:c r="H9" s="31" t="str">
        <x:v>zh-CN-17407eca3331</x:v>
      </x:c>
    </x:row>
    <x:row r="10">
      <x:c r="A10" s="31" t="n">
        <x:v>500</x:v>
      </x:c>
      <x:c r="B10" s="31" t="str">
        <x:v>zh-CN</x:v>
      </x:c>
      <x:c r="C10" s="31" t="str">
        <x:v>Primordial Arts V Starter Decks</x:v>
      </x:c>
      <x:c r="D10" s="31" t="str">
        <x:v>CS3D</x:v>
      </x:c>
      <x:c r="E10" s="31" t="str">
        <x:v>secondary_reference</x:v>
      </x:c>
      <x:c r="F10" s="31" t="str">
        <x:v>Established Simplified Chinese Sword &amp; Shield starter-deck set mark</x:v>
      </x:c>
      <x:c r="G10" s="31" t="str">
        <x:v>https://bulbapedia.bulbagarden.net/wiki/Pok%C3%A9mon_in_mainland_China</x:v>
      </x:c>
      <x:c r="H10" s="31" t="str">
        <x:v>zh-CN-0f55490115e0</x:v>
      </x:c>
    </x:row>
    <x:row r="11">
      <x:c r="A11" s="31" t="n">
        <x:v>505</x:v>
      </x:c>
      <x:c r="B11" s="31" t="str">
        <x:v>zh-CN</x:v>
      </x:c>
      <x:c r="C11" s="31" t="str">
        <x:v>Start Deck 100</x:v>
      </x:c>
      <x:c r="D11" s="31" t="str">
        <x:v>CS4Da</x:v>
      </x:c>
      <x:c r="E11" s="31" t="str">
        <x:v>secondary_reference</x:v>
      </x:c>
      <x:c r="F11" s="31" t="str">
        <x:v>Established Simplified Chinese Start Deck 100 database shorthand; official mainland-China product verified</x:v>
      </x:c>
      <x:c r="G11" s="31" t="str">
        <x:v>https://wiki.52poke.com/wiki/CS4Da ; https://www.pokemon.cn/tcg/product/15882.html</x:v>
      </x:c>
      <x:c r="H11" s="31" t="str">
        <x:v>zh-CN-f17188026f82</x:v>
      </x:c>
    </x:row>
    <x:row r="12">
      <x:c r="A12" s="31" t="n">
        <x:v>506</x:v>
      </x:c>
      <x:c r="B12" s="31" t="str">
        <x:v>zh-CN</x:v>
      </x:c>
      <x:c r="C12" s="31" t="str">
        <x:v>Storming Emergence GX Starter Decks</x:v>
      </x:c>
      <x:c r="D12" s="31" t="str">
        <x:v>CSM1D</x:v>
      </x:c>
      <x:c r="E12" s="31" t="str">
        <x:v>secondary_reference</x:v>
      </x:c>
      <x:c r="F12" s="31" t="str">
        <x:v>Established Simplified Chinese Sun &amp; Moon GX starter-deck set mark</x:v>
      </x:c>
      <x:c r="G12" s="31" t="str">
        <x:v>https://bulbapedia.bulbagarden.net/wiki/CSM1D ; https://www.pokemon.cn/tcg/product/16368.html</x:v>
      </x:c>
      <x:c r="H12" s="31" t="str">
        <x:v>zh-CN-0fba1dd957df</x:v>
      </x:c>
    </x:row>
    <x:row r="13">
      <x:c r="A13" s="31" t="n">
        <x:v>507</x:v>
      </x:c>
      <x:c r="B13" s="31" t="str">
        <x:v>zh-TW</x:v>
      </x:c>
      <x:c r="C13" s="31" t="str">
        <x:v>Base Set</x:v>
      </x:c>
      <x:c r="D13" s="31" t="str">
        <x:v>TW-BASE</x:v>
      </x:c>
      <x:c r="E13" s="31" t="str">
        <x:v>internal_alias</x:v>
      </x:c>
      <x:c r="F13" s="31" t="str">
        <x:v>Stackr internal language-qualified identifier for the historical Traditional Chinese Base Set; not asserted as an official printed code</x:v>
      </x:c>
      <x:c r="G13" s="31" t="str"/>
      <x:c r="H13" s="31" t="str">
        <x:v>zh-TW-de875ceeabe3</x:v>
      </x:c>
    </x:row>
    <x:row r="14">
      <x:c r="A14" s="31" t="n">
        <x:v>508</x:v>
      </x:c>
      <x:c r="B14" s="31" t="str">
        <x:v>zh-TW</x:v>
      </x:c>
      <x:c r="C14" s="31" t="str">
        <x:v>Pikachu World Collection — Traditional Chinese card</x:v>
      </x:c>
      <x:c r="D14" s="31" t="str">
        <x:v>TW-PWC</x:v>
      </x:c>
      <x:c r="E14" s="31" t="str">
        <x:v>internal_alias</x:v>
      </x:c>
      <x:c r="F14" s="31" t="str">
        <x:v>Stackr internal identifier for the Traditional Chinese Pikachu World Collection card</x:v>
      </x:c>
      <x:c r="G14" s="31" t="str"/>
      <x:c r="H14" s="31" t="str">
        <x:v>zh-TW-e8c0625ae4df</x:v>
      </x:c>
    </x:row>
    <x:row r="15">
      <x:c r="A15" s="31" t="n">
        <x:v>509</x:v>
      </x:c>
      <x:c r="B15" s="31" t="str">
        <x:v>zh-TW</x:v>
      </x:c>
      <x:c r="C15" s="31" t="str">
        <x:v>EX Legend Maker</x:v>
      </x:c>
      <x:c r="D15" s="31" t="str">
        <x:v>TW-EXLM</x:v>
      </x:c>
      <x:c r="E15" s="31" t="str">
        <x:v>internal_alias</x:v>
      </x:c>
      <x:c r="F15" s="31" t="str">
        <x:v>Stackr internal identifier for Traditional Chinese EX Legend Maker; not asserted as an official printed code</x:v>
      </x:c>
      <x:c r="G15" s="31" t="str"/>
      <x:c r="H15" s="31" t="str">
        <x:v>zh-TW-174859e51cd4</x:v>
      </x:c>
    </x:row>
    <x:row r="16">
      <x:c r="A16" s="31" t="n">
        <x:v>510</x:v>
      </x:c>
      <x:c r="B16" s="31" t="str">
        <x:v>zh-TW</x:v>
      </x:c>
      <x:c r="C16" s="31" t="str">
        <x:v>EX Trainer Kit 2</x:v>
      </x:c>
      <x:c r="D16" s="31" t="str">
        <x:v>TW-EXTK2</x:v>
      </x:c>
      <x:c r="E16" s="31" t="str">
        <x:v>internal_alias</x:v>
      </x:c>
      <x:c r="F16" s="31" t="str">
        <x:v>Stackr internal identifier for Traditional Chinese EX Trainer Kit 2; not asserted as an official printed code</x:v>
      </x:c>
      <x:c r="G16" s="31" t="str"/>
      <x:c r="H16" s="31" t="str">
        <x:v>zh-TW-1d61985413dc</x:v>
      </x:c>
    </x:row>
    <x:row r="17">
      <x:c r="A17" s="31" t="n">
        <x:v>513</x:v>
      </x:c>
      <x:c r="B17" s="31" t="str">
        <x:v>zh-TW</x:v>
      </x:c>
      <x:c r="C17" s="31" t="str">
        <x:v>All Stars GX Starter Deck</x:v>
      </x:c>
      <x:c r="D17" s="31" t="str">
        <x:v>TW-GXSD-AS</x:v>
      </x:c>
      <x:c r="E17" s="31" t="str">
        <x:v>internal_alias</x:v>
      </x:c>
      <x:c r="F17" s="31" t="str">
        <x:v>Stackr internal identifier for All Stars GX Starter Deck</x:v>
      </x:c>
      <x:c r="G17" s="31" t="str"/>
      <x:c r="H17" s="31" t="str">
        <x:v>zh-TW-bbd57f4d265f</x:v>
      </x:c>
    </x:row>
    <x:row r="18">
      <x:c r="A18" s="31" t="n">
        <x:v>516</x:v>
      </x:c>
      <x:c r="B18" s="31" t="str">
        <x:v>zh-TW</x:v>
      </x:c>
      <x:c r="C18" s="31" t="str">
        <x:v>Dreams Come True GX Starter Deck</x:v>
      </x:c>
      <x:c r="D18" s="31" t="str">
        <x:v>TW-GXSD-DCT</x:v>
      </x:c>
      <x:c r="E18" s="31" t="str">
        <x:v>internal_alias</x:v>
      </x:c>
      <x:c r="F18" s="31" t="str">
        <x:v>Stackr internal identifier for Dreams Come True GX Starter Deck</x:v>
      </x:c>
      <x:c r="G18" s="31" t="str"/>
      <x:c r="H18" s="31" t="str">
        <x:v>zh-TW-6f7e74c62ae7</x:v>
      </x:c>
    </x:row>
    <x:row r="19">
      <x:c r="A19" s="31" t="n">
        <x:v>517</x:v>
      </x:c>
      <x:c r="B19" s="31" t="str">
        <x:v>zh-TW</x:v>
      </x:c>
      <x:c r="C19" s="31" t="str">
        <x:v>Double Burst GX Starter Deck</x:v>
      </x:c>
      <x:c r="D19" s="31" t="str">
        <x:v>TW-GXSD-DB</x:v>
      </x:c>
      <x:c r="E19" s="31" t="str">
        <x:v>internal_alias</x:v>
      </x:c>
      <x:c r="F19" s="31" t="str">
        <x:v>Stackr internal identifier for Double Burst GX Starter Deck</x:v>
      </x:c>
      <x:c r="G19" s="31" t="str"/>
      <x:c r="H19" s="31" t="str">
        <x:v>zh-TW-fa701929df73</x:v>
      </x:c>
    </x:row>
    <x:row r="20">
      <x:c r="A20" s="31" t="n">
        <x:v>520</x:v>
      </x:c>
      <x:c r="B20" s="31" t="str">
        <x:v>zh-TW</x:v>
      </x:c>
      <x:c r="C20" s="31" t="str">
        <x:v>Legendary Clash GX Starter Deck</x:v>
      </x:c>
      <x:c r="D20" s="31" t="str">
        <x:v>TW-GXSD-LC</x:v>
      </x:c>
      <x:c r="E20" s="31" t="str">
        <x:v>internal_alias</x:v>
      </x:c>
      <x:c r="F20" s="31" t="str">
        <x:v>Stackr internal identifier for Legendary Clash GX Starter Deck</x:v>
      </x:c>
      <x:c r="G20" s="31" t="str"/>
      <x:c r="H20" s="31" t="str">
        <x:v>zh-TW-ffbc69fcb8f3</x:v>
      </x:c>
    </x:row>
    <x:row r="21">
      <x:c r="A21" s="31" t="n">
        <x:v>523</x:v>
      </x:c>
      <x:c r="B21" s="31" t="str">
        <x:v>zh-TW</x:v>
      </x:c>
      <x:c r="C21" s="31" t="str">
        <x:v>Sword &amp; Shield V Starter Deck</x:v>
      </x:c>
      <x:c r="D21" s="31" t="str">
        <x:v>TW-VSD-SS</x:v>
      </x:c>
      <x:c r="E21" s="31" t="str">
        <x:v>internal_alias</x:v>
      </x:c>
      <x:c r="F21" s="31" t="str">
        <x:v>Stackr internal identifier for Sword &amp; Shield V Starter Deck</x:v>
      </x:c>
      <x:c r="G21" s="31" t="str">
        <x:v>https://asia.pokemon-card.com/tw/card-search/</x:v>
      </x:c>
      <x:c r="H21" s="31" t="str">
        <x:v>zh-TW-7a214d78ab26</x:v>
      </x:c>
    </x:row>
    <x:row r="22">
      <x:c r="A22" s="31" t="n">
        <x:v>526</x:v>
      </x:c>
      <x:c r="B22" s="31" t="str">
        <x:v>zh-TW</x:v>
      </x:c>
      <x:c r="C22" s="31" t="str">
        <x:v>Infinite Power V Starter Deck</x:v>
      </x:c>
      <x:c r="D22" s="31" t="str">
        <x:v>TW-VSD-IP</x:v>
      </x:c>
      <x:c r="E22" s="31" t="str">
        <x:v>internal_alias</x:v>
      </x:c>
      <x:c r="F22" s="31" t="str">
        <x:v>Stackr internal identifier for Infinite Power V Starter Deck</x:v>
      </x:c>
      <x:c r="G22" s="31" t="str">
        <x:v>https://asia.pokemon-card.com/tw/card-search/</x:v>
      </x:c>
      <x:c r="H22" s="31" t="str">
        <x:v>zh-TW-881ba9c7b206</x:v>
      </x:c>
    </x:row>
    <x:row r="23">
      <x:c r="A23" s="31" t="n">
        <x:v>531</x:v>
      </x:c>
      <x:c r="B23" s="31" t="str">
        <x:v>zh-TW</x:v>
      </x:c>
      <x:c r="C23" s="31" t="str">
        <x:v>V Starter Deck: Partner</x:v>
      </x:c>
      <x:c r="D23" s="31" t="str">
        <x:v>TW-VSD-PARTNER</x:v>
      </x:c>
      <x:c r="E23" s="31" t="str">
        <x:v>internal_alias</x:v>
      </x:c>
      <x:c r="F23" s="31" t="str">
        <x:v>Stackr internal identifier for V Starter Deck: Partner</x:v>
      </x:c>
      <x:c r="G23" s="31" t="str">
        <x:v>https://asia.pokemon-card.com/tw/card-search/</x:v>
      </x:c>
      <x:c r="H23" s="31" t="str">
        <x:v>zh-TW-34fe73a731d5</x:v>
      </x:c>
    </x:row>
    <x:row r="24">
      <x:c r="A24" s="31" t="n">
        <x:v>534</x:v>
      </x:c>
      <x:c r="B24" s="31" t="str">
        <x:v>zh-TW</x:v>
      </x:c>
      <x:c r="C24" s="31" t="str">
        <x:v>V Starter Deck: Challenge</x:v>
      </x:c>
      <x:c r="D24" s="31" t="str">
        <x:v>TW-VSD-CHALLENGE</x:v>
      </x:c>
      <x:c r="E24" s="31" t="str">
        <x:v>internal_alias</x:v>
      </x:c>
      <x:c r="F24" s="31" t="str">
        <x:v>Stackr internal identifier for V Starter Deck: Challenge</x:v>
      </x:c>
      <x:c r="G24" s="31" t="str">
        <x:v>https://asia.pokemon-card.com/tw/card-search/</x:v>
      </x:c>
      <x:c r="H24" s="31" t="str">
        <x:v>zh-TW-4f37ed1f19a0</x:v>
      </x:c>
    </x:row>
    <x:row r="25">
      <x:c r="A25" s="31" t="n">
        <x:v>539</x:v>
      </x:c>
      <x:c r="B25" s="31" t="str">
        <x:v>zh-TW</x:v>
      </x:c>
      <x:c r="C25" s="31" t="str">
        <x:v>V Starter Deck: Evolution</x:v>
      </x:c>
      <x:c r="D25" s="31" t="str">
        <x:v>TW-VSD-EVOLUTION</x:v>
      </x:c>
      <x:c r="E25" s="31" t="str">
        <x:v>internal_alias</x:v>
      </x:c>
      <x:c r="F25" s="31" t="str">
        <x:v>Stackr internal identifier for V Starter Deck: Evolution</x:v>
      </x:c>
      <x:c r="G25" s="31" t="str">
        <x:v>https://asia.pokemon-card.com/tw/card-search/</x:v>
      </x:c>
      <x:c r="H25" s="31" t="str">
        <x:v>zh-TW-e025c97a3003</x:v>
      </x:c>
    </x:row>
    <x:row r="26">
      <x:c r="A26" s="31" t="n">
        <x:v>542</x:v>
      </x:c>
      <x:c r="B26" s="31" t="str">
        <x:v>zh-TW</x:v>
      </x:c>
      <x:c r="C26" s="31" t="str">
        <x:v>Family Pokémon Card Game</x:v>
      </x:c>
      <x:c r="D26" s="31" t="str">
        <x:v>TW-FAMILY</x:v>
      </x:c>
      <x:c r="E26" s="31" t="str">
        <x:v>internal_alias</x:v>
      </x:c>
      <x:c r="F26" s="31" t="str">
        <x:v>Stackr internal identifier for Family Pokémon Card Game</x:v>
      </x:c>
      <x:c r="G26" s="31" t="str">
        <x:v>https://asia.pokemon-card.com/tw/card-search/</x:v>
      </x:c>
      <x:c r="H26" s="31" t="str">
        <x:v>zh-TW-ea9bed1e2837</x:v>
      </x:c>
    </x:row>
    <x:row r="27">
      <x:c r="A27" s="31" t="n">
        <x:v>543</x:v>
      </x:c>
      <x:c r="B27" s="31" t="str">
        <x:v>zh-TW</x:v>
      </x:c>
      <x:c r="C27" s="31" t="str">
        <x:v>Greninja V-UNION</x:v>
      </x:c>
      <x:c r="D27" s="31" t="str">
        <x:v>TW-VUN-GREN</x:v>
      </x:c>
      <x:c r="E27" s="31" t="str">
        <x:v>internal_alias</x:v>
      </x:c>
      <x:c r="F27" s="31" t="str">
        <x:v>Stackr internal identifier for Greninja V-UNION</x:v>
      </x:c>
      <x:c r="G27" s="31" t="str">
        <x:v>https://asia.pokemon-card.com/tw/card-search/</x:v>
      </x:c>
      <x:c r="H27" s="31" t="str">
        <x:v>zh-TW-1e56408052d8</x:v>
      </x:c>
    </x:row>
    <x:row r="28">
      <x:c r="A28" s="31" t="n">
        <x:v>544</x:v>
      </x:c>
      <x:c r="B28" s="31" t="str">
        <x:v>zh-TW</x:v>
      </x:c>
      <x:c r="C28" s="31" t="str">
        <x:v>Mewtwo V-UNION</x:v>
      </x:c>
      <x:c r="D28" s="31" t="str">
        <x:v>TW-VUN-MEWTWO</x:v>
      </x:c>
      <x:c r="E28" s="31" t="str">
        <x:v>internal_alias</x:v>
      </x:c>
      <x:c r="F28" s="31" t="str">
        <x:v>Stackr internal identifier for Mewtwo V-UNION</x:v>
      </x:c>
      <x:c r="G28" s="31" t="str">
        <x:v>https://asia.pokemon-card.com/tw/card-search/</x:v>
      </x:c>
      <x:c r="H28" s="31" t="str">
        <x:v>zh-TW-4be3f10dba4e</x:v>
      </x:c>
    </x:row>
    <x:row r="29">
      <x:c r="A29" s="31" t="n">
        <x:v>545</x:v>
      </x:c>
      <x:c r="B29" s="31" t="str">
        <x:v>zh-TW</x:v>
      </x:c>
      <x:c r="C29" s="31" t="str">
        <x:v>Zacian V-UNION</x:v>
      </x:c>
      <x:c r="D29" s="31" t="str">
        <x:v>TW-VUN-ZACIAN</x:v>
      </x:c>
      <x:c r="E29" s="31" t="str">
        <x:v>internal_alias</x:v>
      </x:c>
      <x:c r="F29" s="31" t="str">
        <x:v>Stackr internal identifier for Zacian V-UNION</x:v>
      </x:c>
      <x:c r="G29" s="31" t="str">
        <x:v>https://asia.pokemon-card.com/tw/card-search/</x:v>
      </x:c>
      <x:c r="H29" s="31" t="str">
        <x:v>zh-TW-fd587194a3dc</x:v>
      </x:c>
    </x:row>
    <x:row r="30">
      <x:c r="A30" s="31" t="n">
        <x:v>547</x:v>
      </x:c>
      <x:c r="B30" s="31" t="str">
        <x:v>zh-TW</x:v>
      </x:c>
      <x:c r="C30" s="31" t="str">
        <x:v>V Starter Deck: Power</x:v>
      </x:c>
      <x:c r="D30" s="31" t="str">
        <x:v>TW-VSD-POWER</x:v>
      </x:c>
      <x:c r="E30" s="31" t="str">
        <x:v>internal_alias</x:v>
      </x:c>
      <x:c r="F30" s="31" t="str">
        <x:v>Stackr internal identifier for V Starter Deck: Power</x:v>
      </x:c>
      <x:c r="G30" s="31" t="str">
        <x:v>https://asia.pokemon-card.com/tw/card-search/</x:v>
      </x:c>
      <x:c r="H30" s="31" t="str">
        <x:v>zh-TW-b504d14277db</x:v>
      </x:c>
    </x:row>
    <x:row r="31">
      <x:c r="A31" s="31" t="n">
        <x:v>550</x:v>
      </x:c>
      <x:c r="B31" s="31" t="str">
        <x:v>zh-TW</x:v>
      </x:c>
      <x:c r="C31" s="31" t="str">
        <x:v>Premium Trainer Box VSTAR</x:v>
      </x:c>
      <x:c r="D31" s="31" t="str">
        <x:v>TW-PTB-VSTAR</x:v>
      </x:c>
      <x:c r="E31" s="31" t="str">
        <x:v>internal_alias</x:v>
      </x:c>
      <x:c r="F31" s="31" t="str">
        <x:v>Stackr internal identifier for Premium Trainer Box VSTAR</x:v>
      </x:c>
      <x:c r="G31" s="31" t="str">
        <x:v>https://asia.pokemon-card.com/tw/archives/1289/</x:v>
      </x:c>
      <x:c r="H31" s="31" t="str">
        <x:v>zh-TW-da84927efd3c</x:v>
      </x:c>
    </x:row>
    <x:row r="32">
      <x:c r="A32" s="31" t="n">
        <x:v>551</x:v>
      </x:c>
      <x:c r="B32" s="31" t="str">
        <x:v>zh-TW</x:v>
      </x:c>
      <x:c r="C32" s="31" t="str">
        <x:v>Special Deck Set: Zacian &amp; Zamazenta vs Eternatus</x:v>
      </x:c>
      <x:c r="D32" s="31" t="str">
        <x:v>TW-SDS-ZZE</x:v>
      </x:c>
      <x:c r="E32" s="31" t="str">
        <x:v>internal_alias</x:v>
      </x:c>
      <x:c r="F32" s="31" t="str">
        <x:v>Stackr internal identifier for Special Deck Set: Zacian &amp; Zamazenta vs Eternatus</x:v>
      </x:c>
      <x:c r="G32" s="31" t="str">
        <x:v>https://asia.pokemon-card.com/tw/card-search/</x:v>
      </x:c>
      <x:c r="H32" s="31" t="str">
        <x:v>zh-TW-49aecb4f6801</x:v>
      </x:c>
    </x:row>
    <x:row r="33">
      <x:c r="A33" s="31" t="n">
        <x:v>553</x:v>
      </x:c>
      <x:c r="B33" s="31" t="str">
        <x:v>zh-TW</x:v>
      </x:c>
      <x:c r="C33" s="31" t="str">
        <x:v>Start Deck 100</x:v>
      </x:c>
      <x:c r="D33" s="31" t="str">
        <x:v>SI</x:v>
      </x:c>
      <x:c r="E33" s="31" t="str">
        <x:v>established_shorthand</x:v>
      </x:c>
      <x:c r="F33" s="31" t="str">
        <x:v>Established Start Deck 100 shorthand; Taiwan official product route uses /si/ and the code is retained as a product/database identifier</x:v>
      </x:c>
      <x:c r="G33" s="31" t="str">
        <x:v>https://asia.pokemon-card.com/tw/archive/special/card/si/</x:v>
      </x:c>
      <x:c r="H33" s="31" t="str">
        <x:v>zh-TW-79452a9b4969</x:v>
      </x:c>
    </x:row>
    <x:row r="34">
      <x:c r="A34" s="31" t="n">
        <x:v>555</x:v>
      </x:c>
      <x:c r="B34" s="31" t="str">
        <x:v>zh-TW</x:v>
      </x:c>
      <x:c r="C34" s="31" t="str">
        <x:v>Starter Set VSTAR: Darkrai</x:v>
      </x:c>
      <x:c r="D34" s="31" t="str">
        <x:v>TW-SSV-DARKRAI</x:v>
      </x:c>
      <x:c r="E34" s="31" t="str">
        <x:v>internal_alias</x:v>
      </x:c>
      <x:c r="F34" s="31" t="str">
        <x:v>Stackr internal identifier for Starter Set VSTAR: Darkrai</x:v>
      </x:c>
      <x:c r="G34" s="31" t="str">
        <x:v>https://asia.pokemon-card.com/tw/card-search/</x:v>
      </x:c>
      <x:c r="H34" s="31" t="str">
        <x:v>zh-TW-c1e632571ef2</x:v>
      </x:c>
    </x:row>
    <x:row r="35">
      <x:c r="A35" s="31" t="n">
        <x:v>556</x:v>
      </x:c>
      <x:c r="B35" s="31" t="str">
        <x:v>zh-TW</x:v>
      </x:c>
      <x:c r="C35" s="31" t="str">
        <x:v>Starter Set VSTAR: Lucario</x:v>
      </x:c>
      <x:c r="D35" s="31" t="str">
        <x:v>TW-SSV-LUCARIO</x:v>
      </x:c>
      <x:c r="E35" s="31" t="str">
        <x:v>internal_alias</x:v>
      </x:c>
      <x:c r="F35" s="31" t="str">
        <x:v>Stackr internal identifier for Starter Set VSTAR: Lucario</x:v>
      </x:c>
      <x:c r="G35" s="31" t="str">
        <x:v>https://asia.pokemon-card.com/tw/card-search/</x:v>
      </x:c>
      <x:c r="H35" s="31" t="str">
        <x:v>zh-TW-9b45ecdadbd5</x:v>
      </x:c>
    </x:row>
    <x:row r="36">
      <x:c r="A36" s="31" t="n">
        <x:v>562</x:v>
      </x:c>
      <x:c r="B36" s="31" t="str">
        <x:v>zh-TW</x:v>
      </x:c>
      <x:c r="C36" s="31" t="str">
        <x:v>VSTAR &amp; VMAX High-Class Deck: Deoxys</x:v>
      </x:c>
      <x:c r="D36" s="31" t="str">
        <x:v>TW-HCD-DEOXYS</x:v>
      </x:c>
      <x:c r="E36" s="31" t="str">
        <x:v>internal_alias</x:v>
      </x:c>
      <x:c r="F36" s="31" t="str">
        <x:v>Stackr internal identifier for VSTAR &amp; VMAX High-Class Deck: Deoxys</x:v>
      </x:c>
      <x:c r="G36" s="31" t="str">
        <x:v>https://asia.pokemon-card.com/tw/card-search/</x:v>
      </x:c>
      <x:c r="H36" s="31" t="str">
        <x:v>zh-TW-b04e14397ea6</x:v>
      </x:c>
    </x:row>
    <x:row r="37">
      <x:c r="A37" s="31" t="n">
        <x:v>564</x:v>
      </x:c>
      <x:c r="B37" s="31" t="str">
        <x:v>zh-TW</x:v>
      </x:c>
      <x:c r="C37" s="31" t="str">
        <x:v>VSTAR Special Set</x:v>
      </x:c>
      <x:c r="D37" s="31" t="str">
        <x:v>TW-VSTAR-SS</x:v>
      </x:c>
      <x:c r="E37" s="31" t="str">
        <x:v>internal_alias</x:v>
      </x:c>
      <x:c r="F37" s="31" t="str">
        <x:v>Stackr internal identifier for VSTAR Special Set</x:v>
      </x:c>
      <x:c r="G37" s="31" t="str">
        <x:v>https://asia.pokemon-card.com/tw/card-search/</x:v>
      </x:c>
      <x:c r="H37" s="31" t="str">
        <x:v>zh-TW-c31260236d59</x:v>
      </x:c>
    </x:row>
    <x:row r="38">
      <x:c r="A38" s="31" t="n">
        <x:v>566</x:v>
      </x:c>
      <x:c r="B38" s="31" t="str">
        <x:v>zh-TW</x:v>
      </x:c>
      <x:c r="C38" s="31" t="str">
        <x:v>Start Deck 100 Special Edition</x:v>
      </x:c>
      <x:c r="D38" s="31" t="str">
        <x:v>TW-SI-SP</x:v>
      </x:c>
      <x:c r="E38" s="31" t="str">
        <x:v>internal_alias</x:v>
      </x:c>
      <x:c r="F38" s="31" t="str">
        <x:v>Stackr internal identifier for Start Deck 100 Special Edition; related to SI product family</x:v>
      </x:c>
      <x:c r="G38" s="31" t="str">
        <x:v>https://asia.pokemon-card.com/tw/card-search/</x:v>
      </x:c>
      <x:c r="H38" s="31" t="str">
        <x:v>zh-TW-1d3741cdbc9b</x:v>
      </x:c>
    </x:row>
    <x:row r="39">
      <x:c r="A39" s="31" t="n">
        <x:v>568</x:v>
      </x:c>
      <x:c r="B39" s="31" t="str">
        <x:v>zh-TW</x:v>
      </x:c>
      <x:c r="C39" s="31" t="str">
        <x:v>V Start Deck: Charizard</x:v>
      </x:c>
      <x:c r="D39" s="31" t="str">
        <x:v>TW-VSD-CHARIZARD</x:v>
      </x:c>
      <x:c r="E39" s="31" t="str">
        <x:v>internal_alias</x:v>
      </x:c>
      <x:c r="F39" s="31" t="str">
        <x:v>Stackr internal identifier for V Start Deck: Charizard</x:v>
      </x:c>
      <x:c r="G39" s="31" t="str">
        <x:v>https://asia.pokemon-card.com/tw/card-search/</x:v>
      </x:c>
      <x:c r="H39" s="31" t="str">
        <x:v>zh-TW-35e579fae35b</x:v>
      </x:c>
    </x:row>
    <x:row r="40">
      <x:c r="A40" s="31" t="n">
        <x:v>569</x:v>
      </x:c>
      <x:c r="B40" s="31" t="str">
        <x:v>zh-TW</x:v>
      </x:c>
      <x:c r="C40" s="31" t="str">
        <x:v>V Start Deck: Mewtwo</x:v>
      </x:c>
      <x:c r="D40" s="31" t="str">
        <x:v>TW-VSD-MEWTWO</x:v>
      </x:c>
      <x:c r="E40" s="31" t="str">
        <x:v>internal_alias</x:v>
      </x:c>
      <x:c r="F40" s="31" t="str">
        <x:v>Stackr internal identifier for V Start Deck: Mewtwo</x:v>
      </x:c>
      <x:c r="G40" s="31" t="str">
        <x:v>https://asia.pokemon-card.com/tw/card-search/</x:v>
      </x:c>
      <x:c r="H40" s="31" t="str">
        <x:v>zh-TW-a438f4fbf85e</x:v>
      </x:c>
    </x:row>
    <x:row r="41">
      <x:c r="A41" s="31" t="n">
        <x:v>570</x:v>
      </x:c>
      <x:c r="B41" s="31" t="str">
        <x:v>zh-TW</x:v>
      </x:c>
      <x:c r="C41" s="31" t="str">
        <x:v>V Start Deck: Pikachu</x:v>
      </x:c>
      <x:c r="D41" s="31" t="str">
        <x:v>TW-VSD-PIKACHU</x:v>
      </x:c>
      <x:c r="E41" s="31" t="str">
        <x:v>internal_alias</x:v>
      </x:c>
      <x:c r="F41" s="31" t="str">
        <x:v>Stackr internal identifier for V Start Deck: Pikachu</x:v>
      </x:c>
      <x:c r="G41" s="31" t="str">
        <x:v>https://asia.pokemon-card.com/tw/card-search/</x:v>
      </x:c>
      <x:c r="H41" s="31" t="str">
        <x:v>zh-TW-698096b84e15</x:v>
      </x:c>
    </x:row>
    <x:row r="42">
      <x:c r="A42" s="31" t="n">
        <x:v>574</x:v>
      </x:c>
      <x:c r="B42" s="31" t="str">
        <x:v>zh-TW</x:v>
      </x:c>
      <x:c r="C42" s="31" t="str">
        <x:v>Starter Set ex: Fuecoco &amp; Ampharos ex</x:v>
      </x:c>
      <x:c r="D42" s="31" t="str">
        <x:v>TW-SSEX-FUECOCO</x:v>
      </x:c>
      <x:c r="E42" s="31" t="str">
        <x:v>internal_alias</x:v>
      </x:c>
      <x:c r="F42" s="31" t="str">
        <x:v>Stackr internal identifier for Starter Set ex: Fuecoco &amp; Ampharos ex</x:v>
      </x:c>
      <x:c r="G42" s="31" t="str">
        <x:v>https://asia.pokemon-card.com/tw/card-search/</x:v>
      </x:c>
      <x:c r="H42" s="31" t="str">
        <x:v>zh-TW-1431bed2cddd</x:v>
      </x:c>
    </x:row>
    <x:row r="43">
      <x:c r="A43" s="31" t="n">
        <x:v>575</x:v>
      </x:c>
      <x:c r="B43" s="31" t="str">
        <x:v>zh-TW</x:v>
      </x:c>
      <x:c r="C43" s="31" t="str">
        <x:v>Starter Set ex: Quaxly &amp; Mimikyu ex</x:v>
      </x:c>
      <x:c r="D43" s="31" t="str">
        <x:v>TW-SSEX-QUAXLY</x:v>
      </x:c>
      <x:c r="E43" s="31" t="str">
        <x:v>internal_alias</x:v>
      </x:c>
      <x:c r="F43" s="31" t="str">
        <x:v>Stackr internal identifier for Starter Set ex: Quaxly &amp; Mimikyu ex</x:v>
      </x:c>
      <x:c r="G43" s="31" t="str">
        <x:v>https://asia.pokemon-card.com/tw/card-search/</x:v>
      </x:c>
      <x:c r="H43" s="31" t="str">
        <x:v>zh-TW-0e91100f19e4</x:v>
      </x:c>
    </x:row>
    <x:row r="44">
      <x:c r="A44" s="31" t="n">
        <x:v>577</x:v>
      </x:c>
      <x:c r="B44" s="31" t="str">
        <x:v>zh-TW</x:v>
      </x:c>
      <x:c r="C44" s="31" t="str">
        <x:v>Violet ex</x:v>
      </x:c>
      <x:c r="D44" s="31" t="str">
        <x:v>SV1V</x:v>
      </x:c>
      <x:c r="E44" s="31" t="str">
        <x:v>established_series_code</x:v>
      </x:c>
      <x:c r="F44" s="31" t="str">
        <x:v>Established Scarlet &amp; Violet series code for Violet ex in Traditional Chinese</x:v>
      </x:c>
      <x:c r="G44" s="31" t="str">
        <x:v>https://bulbapedia.bulbagarden.net/wiki/Scarlet_%26_Violet_Era_%28TCG%29</x:v>
      </x:c>
      <x:c r="H44" s="31" t="str">
        <x:v>zh-TW-88527930c211</x:v>
      </x:c>
    </x:row>
    <x:row r="45">
      <x:c r="A45" s="31" t="n">
        <x:v>598</x:v>
      </x:c>
      <x:c r="B45" s="31" t="str">
        <x:v>zh-TW</x:v>
      </x:c>
      <x:c r="C45" s="31" t="str">
        <x:v>Crimson Haze</x:v>
      </x:c>
      <x:c r="D45" s="31" t="str">
        <x:v>SV5a</x:v>
      </x:c>
      <x:c r="E45" s="31" t="str">
        <x:v>established_series_code</x:v>
      </x:c>
      <x:c r="F45" s="31" t="str">
        <x:v>Established Scarlet &amp; Violet series code for Crimson Haze in Traditional Chinese</x:v>
      </x:c>
      <x:c r="G45" s="31" t="str">
        <x:v>https://asia.pokemon-card.com/tw/card-search/</x:v>
      </x:c>
      <x:c r="H45" s="31" t="str">
        <x:v>zh-TW-8fe572a829b0</x:v>
      </x:c>
    </x:row>
    <x:row r="46">
      <x:c r="A46" s="31" t="n">
        <x:v>601</x:v>
      </x:c>
      <x:c r="B46" s="31" t="str">
        <x:v>zh-TW</x:v>
      </x:c>
      <x:c r="C46" s="31" t="str">
        <x:v>Tactical Deck: Gardevoir ex</x:v>
      </x:c>
      <x:c r="D46" s="31" t="str">
        <x:v>TW-TD-GARDEVOIR</x:v>
      </x:c>
      <x:c r="E46" s="31" t="str">
        <x:v>internal_alias</x:v>
      </x:c>
      <x:c r="F46" s="31" t="str">
        <x:v>Stackr internal identifier for Tactical Deck: Gardevoir ex</x:v>
      </x:c>
      <x:c r="G46" s="31" t="str">
        <x:v>https://asia.pokemon-card.com/tw/card-search/</x:v>
      </x:c>
      <x:c r="H46" s="31" t="str">
        <x:v>zh-TW-4de816b05a4e</x:v>
      </x:c>
    </x:row>
    <x:row r="47">
      <x:c r="A47" s="31" t="n">
        <x:v>602</x:v>
      </x:c>
      <x:c r="B47" s="31" t="str">
        <x:v>zh-TW</x:v>
      </x:c>
      <x:c r="C47" s="31" t="str">
        <x:v>Tactical Deck: Meowscarada ex</x:v>
      </x:c>
      <x:c r="D47" s="31" t="str">
        <x:v>TW-TD-MEOWSCARADA</x:v>
      </x:c>
      <x:c r="E47" s="31" t="str">
        <x:v>internal_alias</x:v>
      </x:c>
      <x:c r="F47" s="31" t="str">
        <x:v>Stackr internal identifier for Tactical Deck: Meowscarada ex</x:v>
      </x:c>
      <x:c r="G47" s="31" t="str">
        <x:v>https://asia.pokemon-card.com/tw/card-search/</x:v>
      </x:c>
      <x:c r="H47" s="31" t="str">
        <x:v>zh-TW-c9078c8d0f32</x:v>
      </x:c>
    </x:row>
    <x:row r="48">
      <x:c r="A48" s="31" t="n">
        <x:v>603</x:v>
      </x:c>
      <x:c r="B48" s="31" t="str">
        <x:v>zh-TW</x:v>
      </x:c>
      <x:c r="C48" s="31" t="str">
        <x:v>Tactical Deck: Miraidon ex</x:v>
      </x:c>
      <x:c r="D48" s="31" t="str">
        <x:v>TW-TD-MIRAIDON</x:v>
      </x:c>
      <x:c r="E48" s="31" t="str">
        <x:v>internal_alias</x:v>
      </x:c>
      <x:c r="F48" s="31" t="str">
        <x:v>Stackr internal identifier for Tactical Deck: Miraidon ex</x:v>
      </x:c>
      <x:c r="G48" s="31" t="str">
        <x:v>https://asia.pokemon-card.com/tw/card-search/</x:v>
      </x:c>
      <x:c r="H48" s="31" t="str">
        <x:v>zh-TW-558de9471c94</x:v>
      </x:c>
    </x:row>
    <x:row r="49">
      <x:c r="A49" s="31" t="n">
        <x:v>604</x:v>
      </x:c>
      <x:c r="B49" s="31" t="str">
        <x:v>zh-TW</x:v>
      </x:c>
      <x:c r="C49" s="31" t="str">
        <x:v>Tactical Deck: Scizor ex</x:v>
      </x:c>
      <x:c r="D49" s="31" t="str">
        <x:v>TW-TD-SCIZOR</x:v>
      </x:c>
      <x:c r="E49" s="31" t="str">
        <x:v>internal_alias</x:v>
      </x:c>
      <x:c r="F49" s="31" t="str">
        <x:v>Stackr internal identifier for Tactical Deck: Scizor ex</x:v>
      </x:c>
      <x:c r="G49" s="31" t="str">
        <x:v>https://asia.pokemon-card.com/tw/card-search/</x:v>
      </x:c>
      <x:c r="H49" s="31" t="str">
        <x:v>zh-TW-15708abcba22</x:v>
      </x:c>
    </x:row>
    <x:row r="50">
      <x:c r="A50" s="31" t="n">
        <x:v>605</x:v>
      </x:c>
      <x:c r="B50" s="31" t="str">
        <x:v>zh-TW</x:v>
      </x:c>
      <x:c r="C50" s="31" t="str">
        <x:v>Tactical Deck: Tera Charizard ex</x:v>
      </x:c>
      <x:c r="D50" s="31" t="str">
        <x:v>TW-TD-TCHAR</x:v>
      </x:c>
      <x:c r="E50" s="31" t="str">
        <x:v>internal_alias</x:v>
      </x:c>
      <x:c r="F50" s="31" t="str">
        <x:v>Stackr internal identifier for Tactical Deck: Tera Charizard ex</x:v>
      </x:c>
      <x:c r="G50" s="31" t="str">
        <x:v>https://asia.pokemon-card.com/tw/card-search/</x:v>
      </x:c>
      <x:c r="H50" s="31" t="str">
        <x:v>zh-TW-d004bb41fcd7</x:v>
      </x:c>
    </x:row>
    <x:row r="51">
      <x:c r="A51" s="31" t="n">
        <x:v>608</x:v>
      </x:c>
      <x:c r="B51" s="31" t="str">
        <x:v>zh-TW</x:v>
      </x:c>
      <x:c r="C51" s="31" t="str">
        <x:v>Trainers Camp</x:v>
      </x:c>
      <x:c r="D51" s="31" t="str">
        <x:v>TW-TRAINERS-CAMP</x:v>
      </x:c>
      <x:c r="E51" s="31" t="str">
        <x:v>internal_alias</x:v>
      </x:c>
      <x:c r="F51" s="31" t="str">
        <x:v>Stackr internal identifier for Trainers Camp; not asserted as an official printed code</x:v>
      </x:c>
      <x:c r="G51" s="31" t="str">
        <x:v>https://asia.pokemon-card.com/tw/card-search/</x:v>
      </x:c>
      <x:c r="H51" s="31" t="str">
        <x:v>zh-TW-241fc26dea17</x:v>
      </x:c>
    </x:row>
    <x:row r="52">
      <x:c r="A52" s="31" t="n">
        <x:v>611</x:v>
      </x:c>
      <x:c r="B52" s="31" t="str">
        <x:v>zh-TW</x:v>
      </x:c>
      <x:c r="C52" s="31" t="str">
        <x:v>Stellar Tera ex Special Set: Ceruledge ex</x:v>
      </x:c>
      <x:c r="D52" s="31" t="str">
        <x:v>TW-STEX-CERU</x:v>
      </x:c>
      <x:c r="E52" s="31" t="str">
        <x:v>internal_alias</x:v>
      </x:c>
      <x:c r="F52" s="31" t="str">
        <x:v>Stackr internal identifier for Stellar Tera ex Special Set: Ceruledge ex</x:v>
      </x:c>
      <x:c r="G52" s="31" t="str">
        <x:v>https://asia.pokemon-card.com/tw/card-search/</x:v>
      </x:c>
      <x:c r="H52" s="31" t="str">
        <x:v>zh-TW-c86b9b559cbe</x:v>
      </x:c>
    </x:row>
    <x:row r="53">
      <x:c r="A53" s="31" t="n">
        <x:v>612</x:v>
      </x:c>
      <x:c r="B53" s="31" t="str">
        <x:v>zh-TW</x:v>
      </x:c>
      <x:c r="C53" s="31" t="str">
        <x:v>Stellar Tera ex Special Set: Sylveon ex</x:v>
      </x:c>
      <x:c r="D53" s="31" t="str">
        <x:v>TW-STEX-SYLV</x:v>
      </x:c>
      <x:c r="E53" s="31" t="str">
        <x:v>internal_alias</x:v>
      </x:c>
      <x:c r="F53" s="31" t="str">
        <x:v>Stackr internal identifier for Stellar Tera ex Special Set: Sylveon ex</x:v>
      </x:c>
      <x:c r="G53" s="31" t="str">
        <x:v>https://asia.pokemon-card.com/tw/card-search/</x:v>
      </x:c>
      <x:c r="H53" s="31" t="str">
        <x:v>zh-TW-1afd1f797fa7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8" hidden="0" customWidth="1"/>
    <x:col min="4" max="4" width="18" hidden="0" customWidth="1"/>
    <x:col min="5" max="5" width="20" hidden="0" customWidth="1"/>
    <x:col min="6" max="6" width="44" hidden="0" customWidth="1"/>
    <x:col min="7" max="7" width="52" hidden="0" customWidth="1"/>
  </x:cols>
  <x:sheetData>
    <x:row r="1">
      <x:c r="A1" s="65" t="str">
        <x:v>Language</x:v>
      </x:c>
      <x:c r="B1" s="65" t="str">
        <x:v>Set / product</x:v>
      </x:c>
      <x:c r="C1" s="65" t="str">
        <x:v>Code</x:v>
      </x:c>
      <x:c r="D1" s="65" t="str">
        <x:v>Code class</x:v>
      </x:c>
      <x:c r="E1" s="65" t="str">
        <x:v>Status</x:v>
      </x:c>
      <x:c r="F1" s="65" t="str">
        <x:v>Source</x:v>
      </x:c>
      <x:c r="G1" s="65" t="str">
        <x:v>Notes</x:v>
      </x:c>
    </x:row>
    <x:row r="2">
      <x:c r="A2" s="31" t="str">
        <x:v>ja</x:v>
      </x:c>
      <x:c r="B2" s="31" t="str">
        <x:v>McDonald's Original Minimum★Pack</x:v>
      </x:c>
      <x:c r="C2" s="31" t="str">
        <x:v>MCD02</x:v>
      </x:c>
      <x:c r="D2" s="31" t="str">
        <x:v>Internal alias</x:v>
      </x:c>
      <x:c r="E2" s="31" t="str">
        <x:v>Resolved</x:v>
      </x:c>
      <x:c r="F2" s="31" t="str">
        <x:v>https://bulbapedia.bulbagarden.net/wiki/McDonald%27s_Pokemon-e_Minimum_Pack</x:v>
      </x:c>
      <x:c r="G2" s="31" t="str">
        <x:v>Stackr internal alias for the 2002 McDonald's Original Minimum★Pack; no normal expansion code established</x:v>
      </x:c>
    </x:row>
    <x:row r="3">
      <x:c r="A3" s="31" t="str">
        <x:v>ja</x:v>
      </x:c>
      <x:c r="B3" s="31" t="str">
        <x:v>Movie 10th Anniversary Premium Sheet</x:v>
      </x:c>
      <x:c r="C3" s="31" t="str">
        <x:v>MOV10</x:v>
      </x:c>
      <x:c r="D3" s="31" t="str">
        <x:v>Internal alias</x:v>
      </x:c>
      <x:c r="E3" s="31" t="str">
        <x:v>Resolved</x:v>
      </x:c>
      <x:c r="F3" s="31" t="str">
        <x:v>https://bulbapedia.bulbagarden.net/wiki/10th_Movie_Commemoration_Set_%28TCG%29</x:v>
      </x:c>
      <x:c r="G3" s="31" t="str">
        <x:v>Stackr internal alias for the 10th Movie Commemoration Set; special collection, not a normal numbered expansion</x:v>
      </x:c>
    </x:row>
    <x:row r="4">
      <x:c r="A4" s="31" t="str">
        <x:v>ja</x:v>
      </x:c>
      <x:c r="B4" s="31" t="str">
        <x:v>Movie Commemoration Premium Sheet</x:v>
      </x:c>
      <x:c r="C4" s="31" t="str">
        <x:v>MOV11</x:v>
      </x:c>
      <x:c r="D4" s="31" t="str">
        <x:v>Internal alias</x:v>
      </x:c>
      <x:c r="E4" s="31" t="str">
        <x:v>Resolved</x:v>
      </x:c>
      <x:c r="F4" s="31" t="str">
        <x:v>https://bulbapedia.bulbagarden.net/wiki/11th_Movie_Commemoration_Set_%28TCG%29</x:v>
      </x:c>
      <x:c r="G4" s="31" t="str">
        <x:v>Stackr internal alias for the 11th Movie Commemoration Set; special collection, not a normal numbered expansion</x:v>
      </x:c>
    </x:row>
    <x:row r="5">
      <x:c r="A5" s="31" t="str">
        <x:v>ja</x:v>
      </x:c>
      <x:c r="B5" s="31" t="str">
        <x:v>World Collection</x:v>
      </x:c>
      <x:c r="C5" s="31" t="str">
        <x:v>WC10</x:v>
      </x:c>
      <x:c r="D5" s="31" t="str">
        <x:v>Internal alias</x:v>
      </x:c>
      <x:c r="E5" s="31" t="str">
        <x:v>Resolved</x:v>
      </x:c>
      <x:c r="F5" s="31" t="str">
        <x:v>https://bulbapedia.bulbagarden.net/wiki/Pikachu_World_%28TCG%29</x:v>
      </x:c>
      <x:c r="G5" s="31" t="str">
        <x:v>Stackr internal/database shorthand for the 2010 World Collection (Pikachu World); not asserted as a printed expansion code</x:v>
      </x:c>
    </x:row>
    <x:row r="6">
      <x:c r="A6" s="31" t="str">
        <x:v>ja</x:v>
      </x:c>
      <x:c r="B6" s="31" t="str">
        <x:v>Black Collection</x:v>
      </x:c>
      <x:c r="C6" s="31" t="str">
        <x:v>BW1-Black</x:v>
      </x:c>
      <x:c r="D6" s="31" t="str">
        <x:v>Internal alias</x:v>
      </x:c>
      <x:c r="E6" s="31" t="str">
        <x:v>Resolved</x:v>
      </x:c>
      <x:c r="F6" s="31" t="str">
        <x:v>https://bulbapedia.bulbagarden.net/wiki/BW1</x:v>
      </x:c>
      <x:c r="G6" s="31" t="str">
        <x:v>Stackr disambiguated child code under the Japanese BW1 dual-expansion block</x:v>
      </x:c>
    </x:row>
    <x:row r="7">
      <x:c r="A7" s="31" t="str">
        <x:v>ja</x:v>
      </x:c>
      <x:c r="B7" s="31" t="str">
        <x:v>White Collection</x:v>
      </x:c>
      <x:c r="C7" s="31" t="str">
        <x:v>BW1-White</x:v>
      </x:c>
      <x:c r="D7" s="31" t="str">
        <x:v>Internal alias</x:v>
      </x:c>
      <x:c r="E7" s="31" t="str">
        <x:v>Resolved</x:v>
      </x:c>
      <x:c r="F7" s="31" t="str">
        <x:v>https://bulbapedia.bulbagarden.net/wiki/BW1</x:v>
      </x:c>
      <x:c r="G7" s="31" t="str">
        <x:v>Stackr disambiguated child code under the Japanese BW1 dual-expansion block</x:v>
      </x:c>
    </x:row>
    <x:row r="8">
      <x:c r="A8" s="31" t="str">
        <x:v>ja</x:v>
      </x:c>
      <x:c r="B8" s="31" t="str">
        <x:v>Hail Blizzard</x:v>
      </x:c>
      <x:c r="C8" s="31" t="str">
        <x:v>BW3-Hail</x:v>
      </x:c>
      <x:c r="D8" s="31" t="str">
        <x:v>Internal alias</x:v>
      </x:c>
      <x:c r="E8" s="31" t="str">
        <x:v>Resolved</x:v>
      </x:c>
      <x:c r="F8" s="31" t="str">
        <x:v>https://bulbapedia.bulbagarden.net/wiki/Next_Destinies_%28TCG%29</x:v>
      </x:c>
      <x:c r="G8" s="31" t="str">
        <x:v>Stackr disambiguated child code under the Japanese BW3 dual-expansion block</x:v>
      </x:c>
    </x:row>
    <x:row r="9">
      <x:c r="A9" s="31" t="str">
        <x:v>ja</x:v>
      </x:c>
      <x:c r="B9" s="31" t="str">
        <x:v>Psycho Drive</x:v>
      </x:c>
      <x:c r="C9" s="31" t="str">
        <x:v>BW3-Psycho</x:v>
      </x:c>
      <x:c r="D9" s="31" t="str">
        <x:v>Internal alias</x:v>
      </x:c>
      <x:c r="E9" s="31" t="str">
        <x:v>Resolved</x:v>
      </x:c>
      <x:c r="F9" s="31" t="str">
        <x:v>https://bulbapedia.bulbagarden.net/wiki/Next_Destinies_%28TCG%29</x:v>
      </x:c>
      <x:c r="G9" s="31" t="str">
        <x:v>Stackr disambiguated child code under the Japanese BW3 dual-expansion block</x:v>
      </x:c>
    </x:row>
    <x:row r="10">
      <x:c r="A10" s="31" t="str">
        <x:v>ja</x:v>
      </x:c>
      <x:c r="B10" s="31" t="str">
        <x:v>Dragon Blade</x:v>
      </x:c>
      <x:c r="C10" s="31" t="str">
        <x:v>BW5-Blade</x:v>
      </x:c>
      <x:c r="D10" s="31" t="str">
        <x:v>Internal alias</x:v>
      </x:c>
      <x:c r="E10" s="31" t="str">
        <x:v>Resolved</x:v>
      </x:c>
      <x:c r="F10" s="31" t="str">
        <x:v>https://bulbapedia.bulbagarden.net/wiki/Dragons_Exalted_%28TCG%29</x:v>
      </x:c>
      <x:c r="G10" s="31" t="str">
        <x:v>Stackr disambiguated child code under the Japanese BW5 dual-expansion block</x:v>
      </x:c>
    </x:row>
    <x:row r="11">
      <x:c r="A11" s="31" t="str">
        <x:v>ja</x:v>
      </x:c>
      <x:c r="B11" s="31" t="str">
        <x:v>Dragon Blast</x:v>
      </x:c>
      <x:c r="C11" s="31" t="str">
        <x:v>BW5-Blast</x:v>
      </x:c>
      <x:c r="D11" s="31" t="str">
        <x:v>Internal alias</x:v>
      </x:c>
      <x:c r="E11" s="31" t="str">
        <x:v>Resolved</x:v>
      </x:c>
      <x:c r="F11" s="31" t="str">
        <x:v>https://bulbapedia.bulbagarden.net/wiki/Dragons_Exalted_%28TCG%29</x:v>
      </x:c>
      <x:c r="G11" s="31" t="str">
        <x:v>Stackr disambiguated child code under the Japanese BW5 dual-expansion block</x:v>
      </x:c>
    </x:row>
    <x:row r="12">
      <x:c r="A12" s="31" t="str">
        <x:v>ja</x:v>
      </x:c>
      <x:c r="B12" s="31" t="str">
        <x:v>Cold Flare</x:v>
      </x:c>
      <x:c r="C12" s="31" t="str">
        <x:v>BW6-Cold</x:v>
      </x:c>
      <x:c r="D12" s="31" t="str">
        <x:v>Internal alias</x:v>
      </x:c>
      <x:c r="E12" s="31" t="str">
        <x:v>Resolved</x:v>
      </x:c>
      <x:c r="F12" s="31" t="str">
        <x:v>https://bulbapedia.bulbagarden.net/wiki/List_of_Japanese_TCG_Expansions</x:v>
      </x:c>
      <x:c r="G12" s="31" t="str">
        <x:v>Stackr disambiguated child code under the Japanese BW6 dual-expansion block</x:v>
      </x:c>
    </x:row>
    <x:row r="13">
      <x:c r="A13" s="31" t="str">
        <x:v>ja</x:v>
      </x:c>
      <x:c r="B13" s="31" t="str">
        <x:v>Freeze Bolt</x:v>
      </x:c>
      <x:c r="C13" s="31" t="str">
        <x:v>BW6-Freeze</x:v>
      </x:c>
      <x:c r="D13" s="31" t="str">
        <x:v>Internal alias</x:v>
      </x:c>
      <x:c r="E13" s="31" t="str">
        <x:v>Resolved</x:v>
      </x:c>
      <x:c r="F13" s="31" t="str">
        <x:v>https://bulbapedia.bulbagarden.net/wiki/List_of_Japanese_TCG_Expansions</x:v>
      </x:c>
      <x:c r="G13" s="31" t="str">
        <x:v>Stackr disambiguated child code under the Japanese BW6 dual-expansion block</x:v>
      </x:c>
    </x:row>
    <x:row r="14">
      <x:c r="A14" s="31" t="str">
        <x:v>ja</x:v>
      </x:c>
      <x:c r="B14" s="31" t="str">
        <x:v>Spiral Force</x:v>
      </x:c>
      <x:c r="C14" s="31" t="str">
        <x:v>BW8-Spiral</x:v>
      </x:c>
      <x:c r="D14" s="31" t="str">
        <x:v>Internal alias</x:v>
      </x:c>
      <x:c r="E14" s="31" t="str">
        <x:v>Resolved</x:v>
      </x:c>
      <x:c r="F14" s="31" t="str">
        <x:v>https://bulbapedia.bulbagarden.net/wiki/List_of_Japanese_TCG_Expansions</x:v>
      </x:c>
      <x:c r="G14" s="31" t="str">
        <x:v>Stackr disambiguated child code under the Japanese BW8 dual-expansion block</x:v>
      </x:c>
    </x:row>
    <x:row r="15">
      <x:c r="A15" s="31" t="str">
        <x:v>ja</x:v>
      </x:c>
      <x:c r="B15" s="31" t="str">
        <x:v>Thunder Knuckle</x:v>
      </x:c>
      <x:c r="C15" s="31" t="str">
        <x:v>BW8-Thunder</x:v>
      </x:c>
      <x:c r="D15" s="31" t="str">
        <x:v>Internal alias</x:v>
      </x:c>
      <x:c r="E15" s="31" t="str">
        <x:v>Resolved</x:v>
      </x:c>
      <x:c r="F15" s="31" t="str">
        <x:v>https://bulbapedia.bulbagarden.net/wiki/List_of_Japanese_TCG_Expansions</x:v>
      </x:c>
      <x:c r="G15" s="31" t="str">
        <x:v>Stackr disambiguated child code under the Japanese BW8 dual-expansion block</x:v>
      </x:c>
    </x:row>
    <x:row r="16">
      <x:c r="A16" s="31" t="str">
        <x:v>ja</x:v>
      </x:c>
      <x:c r="B16" s="31" t="str">
        <x:v>Collection X</x:v>
      </x:c>
      <x:c r="C16" s="31" t="str">
        <x:v>XY1-X</x:v>
      </x:c>
      <x:c r="D16" s="31" t="str">
        <x:v>Internal alias</x:v>
      </x:c>
      <x:c r="E16" s="31" t="str">
        <x:v>Resolved</x:v>
      </x:c>
      <x:c r="F16" s="31" t="str">
        <x:v>https://bulbapedia.bulbagarden.net/wiki/List_of_Japanese_TCG_Expansions</x:v>
      </x:c>
      <x:c r="G16" s="31" t="str">
        <x:v>Stackr disambiguated child code under the Japanese XY1 dual-expansion block</x:v>
      </x:c>
    </x:row>
    <x:row r="17">
      <x:c r="A17" s="31" t="str">
        <x:v>ja</x:v>
      </x:c>
      <x:c r="B17" s="31" t="str">
        <x:v>Collection Y</x:v>
      </x:c>
      <x:c r="C17" s="31" t="str">
        <x:v>XY1-Y</x:v>
      </x:c>
      <x:c r="D17" s="31" t="str">
        <x:v>Internal alias</x:v>
      </x:c>
      <x:c r="E17" s="31" t="str">
        <x:v>Resolved</x:v>
      </x:c>
      <x:c r="F17" s="31" t="str">
        <x:v>https://bulbapedia.bulbagarden.net/wiki/List_of_Japanese_TCG_Expansions</x:v>
      </x:c>
      <x:c r="G17" s="31" t="str">
        <x:v>Stackr disambiguated child code under the Japanese XY1 dual-expansion block</x:v>
      </x:c>
    </x:row>
    <x:row r="18">
      <x:c r="A18" s="31" t="str">
        <x:v>ja</x:v>
      </x:c>
      <x:c r="B18" s="31" t="str">
        <x:v>Gaia Volcano</x:v>
      </x:c>
      <x:c r="C18" s="31" t="str">
        <x:v>XY5-Gaia</x:v>
      </x:c>
      <x:c r="D18" s="31" t="str">
        <x:v>Internal alias</x:v>
      </x:c>
      <x:c r="E18" s="31" t="str">
        <x:v>Resolved</x:v>
      </x:c>
      <x:c r="F18" s="31" t="str">
        <x:v>https://bulbapedia.bulbagarden.net/wiki/List_of_Japanese_TCG_Expansions</x:v>
      </x:c>
      <x:c r="G18" s="31" t="str">
        <x:v>Stackr disambiguated child code under the Japanese XY5 dual-expansion block</x:v>
      </x:c>
    </x:row>
    <x:row r="19">
      <x:c r="A19" s="31" t="str">
        <x:v>ja</x:v>
      </x:c>
      <x:c r="B19" s="31" t="str">
        <x:v>Tidal Storm</x:v>
      </x:c>
      <x:c r="C19" s="31" t="str">
        <x:v>XY5-Tidal</x:v>
      </x:c>
      <x:c r="D19" s="31" t="str">
        <x:v>Internal alias</x:v>
      </x:c>
      <x:c r="E19" s="31" t="str">
        <x:v>Resolved</x:v>
      </x:c>
      <x:c r="F19" s="31" t="str">
        <x:v>https://bulbapedia.bulbagarden.net/wiki/List_of_Japanese_TCG_Expansions</x:v>
      </x:c>
      <x:c r="G19" s="31" t="str">
        <x:v>Stackr disambiguated child code under the Japanese XY5 dual-expansion block</x:v>
      </x:c>
    </x:row>
    <x:row r="20">
      <x:c r="A20" s="31" t="str">
        <x:v>ja</x:v>
      </x:c>
      <x:c r="B20" s="31" t="str">
        <x:v>Blue Shock</x:v>
      </x:c>
      <x:c r="C20" s="31" t="str">
        <x:v>XY8-Blue</x:v>
      </x:c>
      <x:c r="D20" s="31" t="str">
        <x:v>Internal alias</x:v>
      </x:c>
      <x:c r="E20" s="31" t="str">
        <x:v>Resolved</x:v>
      </x:c>
      <x:c r="F20" s="31" t="str">
        <x:v>https://bulbapedia.bulbagarden.net/wiki/XY8</x:v>
      </x:c>
      <x:c r="G20" s="31" t="str">
        <x:v>Stackr disambiguated child code under the Japanese XY8 dual-expansion block</x:v>
      </x:c>
    </x:row>
    <x:row r="21">
      <x:c r="A21" s="31" t="str">
        <x:v>ja</x:v>
      </x:c>
      <x:c r="B21" s="31" t="str">
        <x:v>Red Flash</x:v>
      </x:c>
      <x:c r="C21" s="31" t="str">
        <x:v>XY8-Red</x:v>
      </x:c>
      <x:c r="D21" s="31" t="str">
        <x:v>Internal alias</x:v>
      </x:c>
      <x:c r="E21" s="31" t="str">
        <x:v>Resolved</x:v>
      </x:c>
      <x:c r="F21" s="31" t="str">
        <x:v>https://bulbapedia.bulbagarden.net/wiki/XY8</x:v>
      </x:c>
      <x:c r="G21" s="31" t="str">
        <x:v>Stackr disambiguated child code under the Japanese XY8 dual-expansion block</x:v>
      </x:c>
    </x:row>
    <x:row r="22">
      <x:c r="A22" s="31" t="str">
        <x:v>ja</x:v>
      </x:c>
      <x:c r="B22" s="31" t="str">
        <x:v>Cruel Traitor</x:v>
      </x:c>
      <x:c r="C22" s="31" t="str">
        <x:v>XY11-Cruel</x:v>
      </x:c>
      <x:c r="D22" s="31" t="str">
        <x:v>Internal alias</x:v>
      </x:c>
      <x:c r="E22" s="31" t="str">
        <x:v>Resolved</x:v>
      </x:c>
      <x:c r="F22" s="31" t="str">
        <x:v>https://bulbapedia.bulbagarden.net/wiki/List_of_Japanese_TCG_Expansions</x:v>
      </x:c>
      <x:c r="G22" s="31" t="str">
        <x:v>Stackr disambiguated child code under the Japanese XY11 dual-expansion block</x:v>
      </x:c>
    </x:row>
    <x:row r="23">
      <x:c r="A23" s="31" t="str">
        <x:v>ja</x:v>
      </x:c>
      <x:c r="B23" s="31" t="str">
        <x:v>Fever-Burst Fighter</x:v>
      </x:c>
      <x:c r="C23" s="31" t="str">
        <x:v>XY11-Fever</x:v>
      </x:c>
      <x:c r="D23" s="31" t="str">
        <x:v>Internal alias</x:v>
      </x:c>
      <x:c r="E23" s="31" t="str">
        <x:v>Resolved</x:v>
      </x:c>
      <x:c r="F23" s="31" t="str">
        <x:v>https://bulbapedia.bulbagarden.net/wiki/List_of_Japanese_TCG_Expansions</x:v>
      </x:c>
      <x:c r="G23" s="31" t="str">
        <x:v>Stackr disambiguated child code under the Japanese XY11 dual-expansion block</x:v>
      </x:c>
    </x:row>
    <x:row r="24">
      <x:c r="A24" s="31" t="str">
        <x:v>ja</x:v>
      </x:c>
      <x:c r="B24" s="31" t="str">
        <x:v>Promo Card Pack 25th Anniversary Edition</x:v>
      </x:c>
      <x:c r="C24" s="31" t="str">
        <x:v>S8aP</x:v>
      </x:c>
      <x:c r="D24" s="31" t="str">
        <x:v>Established</x:v>
      </x:c>
      <x:c r="E24" s="31" t="str">
        <x:v>Resolved</x:v>
      </x:c>
      <x:c r="F24" s="31" t="str">
        <x:v>https://bulbapedia.bulbagarden.net/wiki/S8aP</x:v>
      </x:c>
      <x:c r="G24" s="31" t="str">
        <x:v>Established database identifier for the Promo Card Pack 25th Anniversary Edition</x:v>
      </x:c>
    </x:row>
    <x:row r="25">
      <x:c r="A25" s="31" t="str">
        <x:v>ja</x:v>
      </x:c>
      <x:c r="B25" s="31" t="str">
        <x:v>Aura Seeker</x:v>
      </x:c>
      <x:c r="C25" s="31" t="str">
        <x:v>JA-AURA</x:v>
      </x:c>
      <x:c r="D25" s="31" t="str">
        <x:v>Provisional</x:v>
      </x:c>
      <x:c r="E25" s="31" t="str">
        <x:v>Official code pending</x:v>
      </x:c>
      <x:c r="F25" s="31" t="str">
        <x:v>https://bulbapedia.bulbagarden.net/wiki/Aura_Seeker_%28TCG%29</x:v>
      </x:c>
      <x:c r="G25" s="31" t="str">
        <x:v>PROVISIONAL Stackr identifier only. Aura Seeker is an expected future Japanese MEGA-era set; no official expansion code is established as of 26 September 2026</x:v>
      </x:c>
    </x:row>
    <x:row r="26">
      <x:c r="A26" s="31" t="str">
        <x:v>ja</x:v>
      </x:c>
      <x:c r="B26" s="31" t="str">
        <x:v>Start Deck 100</x:v>
      </x:c>
      <x:c r="C26" s="31" t="str">
        <x:v>SI</x:v>
      </x:c>
      <x:c r="D26" s="31" t="str">
        <x:v>Established</x:v>
      </x:c>
      <x:c r="E26" s="31" t="str">
        <x:v>Resolved</x:v>
      </x:c>
      <x:c r="F26" s="31" t="str">
        <x:v>https://www.pokemon-card.com/card-search/details.php/card/40767</x:v>
      </x:c>
      <x:c r="G26" s="31" t="str">
        <x:v>Established Japanese set/product code; official Pokémon card-search entries show SI collector numbering for Start Deck 100</x:v>
      </x:c>
    </x:row>
    <x:row r="27">
      <x:c r="A27" s="31" t="str">
        <x:v>ja</x:v>
      </x:c>
      <x:c r="B27" s="31" t="str">
        <x:v>Unnumbered Promotional cards</x:v>
      </x:c>
      <x:c r="C27" s="31" t="str">
        <x:v>JA-PROMO-UN</x:v>
      </x:c>
      <x:c r="D27" s="31" t="str">
        <x:v>Internal alias</x:v>
      </x:c>
      <x:c r="E27" s="31" t="str">
        <x:v>Resolved</x:v>
      </x:c>
      <x:c r="F27" s="31" t="str">
        <x:v>https://bulbapedia.bulbagarden.net/wiki/Unnumbered_Promotional_cards</x:v>
      </x:c>
      <x:c r="G27" s="31" t="str">
        <x:v>Stackr umbrella identifier for Japan's explicitly unnumbered promotional-card collection; by definition no collection code/number exists for the group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4" hidden="0" customWidth="1"/>
    <x:col min="4" max="4" width="16" hidden="0" customWidth="1"/>
    <x:col min="5" max="5" width="34" hidden="0" customWidth="1"/>
    <x:col min="6" max="6" width="48" hidden="0" customWidth="1"/>
    <x:col min="7" max="7" width="48" hidden="0" customWidth="1"/>
    <x:col min="8" max="8" width="26" hidden="0" customWidth="1"/>
  </x:cols>
  <x:sheetData>
    <x:row r="1">
      <x:c r="A1" s="69" t="str">
        <x:v>Reference row</x:v>
      </x:c>
      <x:c r="B1" s="69" t="str">
        <x:v>Language</x:v>
      </x:c>
      <x:c r="C1" s="69" t="str">
        <x:v>Set / product</x:v>
      </x:c>
      <x:c r="D1" s="69" t="str">
        <x:v>Field</x:v>
      </x:c>
      <x:c r="E1" s="69" t="str">
        <x:v>Filled value</x:v>
      </x:c>
      <x:c r="F1" s="69" t="str">
        <x:v>Evidence basis</x:v>
      </x:c>
      <x:c r="G1" s="69" t="str">
        <x:v>Source URL</x:v>
      </x:c>
      <x:c r="H1" s="69" t="str">
        <x:v>Status</x:v>
      </x:c>
    </x:row>
    <x:row r="2">
      <x:c r="A2" s="31" t="n">
        <x:v>211</x:v>
      </x:c>
      <x:c r="B2" s="31" t="str">
        <x:v>ja</x:v>
      </x:c>
      <x:c r="C2" s="31" t="str">
        <x:v>P Promotional cards</x:v>
      </x:c>
      <x:c r="D2" s="31" t="str">
        <x:v>Native name</x:v>
      </x:c>
      <x:c r="E2" s="31" t="str">
        <x:v>Pプロモカード</x:v>
      </x:c>
      <x:c r="F2" s="31" t="str">
        <x:v>normalized Japanese catalogue label</x:v>
      </x:c>
      <x:c r="G2" s="31" t="str">
        <x:v>https://bulbapedia.bulbagarden.net/wiki/P_Promotional_cards_%28TCG%29</x:v>
      </x:c>
      <x:c r="H2" s="31" t="str">
        <x:v>Filled</x:v>
      </x:c>
    </x:row>
    <x:row r="3">
      <x:c r="A3" s="31" t="n">
        <x:v>213</x:v>
      </x:c>
      <x:c r="B3" s="31" t="str">
        <x:v>ja</x:v>
      </x:c>
      <x:c r="C3" s="31" t="str">
        <x:v>J Promotional cards</x:v>
      </x:c>
      <x:c r="D3" s="31" t="str">
        <x:v>Native name</x:v>
      </x:c>
      <x:c r="E3" s="31" t="str">
        <x:v>Jプロモカード</x:v>
      </x:c>
      <x:c r="F3" s="31" t="str">
        <x:v>normalized Japanese catalogue label</x:v>
      </x:c>
      <x:c r="G3" s="31" t="str">
        <x:v>https://bulbapedia.bulbagarden.net/wiki/Category%3AJapanese_promotional_cards</x:v>
      </x:c>
      <x:c r="H3" s="31" t="str">
        <x:v>Filled</x:v>
      </x:c>
    </x:row>
    <x:row r="4">
      <x:c r="A4" s="31" t="n">
        <x:v>216</x:v>
      </x:c>
      <x:c r="B4" s="31" t="str">
        <x:v>ja</x:v>
      </x:c>
      <x:c r="C4" s="31" t="str">
        <x:v>T Promotional cards</x:v>
      </x:c>
      <x:c r="D4" s="31" t="str">
        <x:v>Native name</x:v>
      </x:c>
      <x:c r="E4" s="31" t="str">
        <x:v>Tプロモカード</x:v>
      </x:c>
      <x:c r="F4" s="31" t="str">
        <x:v>normalized Japanese catalogue label</x:v>
      </x:c>
      <x:c r="G4" s="31" t="str">
        <x:v>https://bulbapedia.bulbagarden.net/wiki/Category%3AJapanese_promotional_cards</x:v>
      </x:c>
      <x:c r="H4" s="31" t="str">
        <x:v>Filled</x:v>
      </x:c>
    </x:row>
    <x:row r="5">
      <x:c r="A5" s="31" t="n">
        <x:v>222</x:v>
      </x:c>
      <x:c r="B5" s="31" t="str">
        <x:v>ja</x:v>
      </x:c>
      <x:c r="C5" s="31" t="str">
        <x:v>ADV-P Promotional cards</x:v>
      </x:c>
      <x:c r="D5" s="31" t="str">
        <x:v>Native name</x:v>
      </x:c>
      <x:c r="E5" s="31" t="str">
        <x:v>ADV-Pプロモカード</x:v>
      </x:c>
      <x:c r="F5" s="31" t="str">
        <x:v>normalized Japanese catalogue label</x:v>
      </x:c>
      <x:c r="G5" s="31" t="str">
        <x:v>https://bulbapedia.bulbagarden.net/wiki/ADV-P</x:v>
      </x:c>
      <x:c r="H5" s="31" t="str">
        <x:v>Filled</x:v>
      </x:c>
    </x:row>
    <x:row r="6">
      <x:c r="A6" s="31" t="n">
        <x:v>223</x:v>
      </x:c>
      <x:c r="B6" s="31" t="str">
        <x:v>ja</x:v>
      </x:c>
      <x:c r="C6" s="31" t="str">
        <x:v>PLAY Promotional cards</x:v>
      </x:c>
      <x:c r="D6" s="31" t="str">
        <x:v>Native name</x:v>
      </x:c>
      <x:c r="E6" s="31" t="str">
        <x:v>PLAYプロモカード</x:v>
      </x:c>
      <x:c r="F6" s="31" t="str">
        <x:v>normalized Japanese catalogue label</x:v>
      </x:c>
      <x:c r="G6" s="31" t="str">
        <x:v>https://bulbapedia.bulbagarden.net/wiki/Category%3AJapanese_promotional_cards</x:v>
      </x:c>
      <x:c r="H6" s="31" t="str">
        <x:v>Filled</x:v>
      </x:c>
    </x:row>
    <x:row r="7">
      <x:c r="A7" s="31" t="n">
        <x:v>229</x:v>
      </x:c>
      <x:c r="B7" s="31" t="str">
        <x:v>ja</x:v>
      </x:c>
      <x:c r="C7" s="31" t="str">
        <x:v>PCG-P Promotional cards</x:v>
      </x:c>
      <x:c r="D7" s="31" t="str">
        <x:v>Native name</x:v>
      </x:c>
      <x:c r="E7" s="31" t="str">
        <x:v>PCG-Pプロモカード</x:v>
      </x:c>
      <x:c r="F7" s="31" t="str">
        <x:v>normalized Japanese catalogue label</x:v>
      </x:c>
      <x:c r="G7" s="31" t="str">
        <x:v>https://bulbapedia.bulbagarden.net/wiki/Category%3AJapanese_promotional_cards</x:v>
      </x:c>
      <x:c r="H7" s="31" t="str">
        <x:v>Filled</x:v>
      </x:c>
    </x:row>
    <x:row r="8">
      <x:c r="A8" s="31" t="n">
        <x:v>241</x:v>
      </x:c>
      <x:c r="B8" s="31" t="str">
        <x:v>ja</x:v>
      </x:c>
      <x:c r="C8" s="31" t="str">
        <x:v>DP-P Promotional cards</x:v>
      </x:c>
      <x:c r="D8" s="31" t="str">
        <x:v>Native name</x:v>
      </x:c>
      <x:c r="E8" s="31" t="str">
        <x:v>DP-Pプロモカード</x:v>
      </x:c>
      <x:c r="F8" s="31" t="str">
        <x:v>normalized Japanese catalogue label</x:v>
      </x:c>
      <x:c r="G8" s="31" t="str">
        <x:v>https://bulbapedia.bulbagarden.net/wiki/DP-P_Promotional_cards_%28TCG%29</x:v>
      </x:c>
      <x:c r="H8" s="31" t="str">
        <x:v>Filled</x:v>
      </x:c>
    </x:row>
    <x:row r="9">
      <x:c r="A9" s="31" t="n">
        <x:v>243</x:v>
      </x:c>
      <x:c r="B9" s="31" t="str">
        <x:v>ja</x:v>
      </x:c>
      <x:c r="C9" s="31" t="str">
        <x:v>PPP Promotional cards</x:v>
      </x:c>
      <x:c r="D9" s="31" t="str">
        <x:v>Native name</x:v>
      </x:c>
      <x:c r="E9" s="31" t="str">
        <x:v>PPPプロモカード</x:v>
      </x:c>
      <x:c r="F9" s="31" t="str">
        <x:v>normalized Japanese catalogue label</x:v>
      </x:c>
      <x:c r="G9" s="31" t="str">
        <x:v>https://bulbapedia.bulbagarden.net/wiki/Category%3AJapanese_promotional_cards</x:v>
      </x:c>
      <x:c r="H9" s="31" t="str">
        <x:v>Filled</x:v>
      </x:c>
    </x:row>
    <x:row r="10">
      <x:c r="A10" s="31" t="n">
        <x:v>253</x:v>
      </x:c>
      <x:c r="B10" s="31" t="str">
        <x:v>ja</x:v>
      </x:c>
      <x:c r="C10" s="31" t="str">
        <x:v>DPt-P Promotional cards</x:v>
      </x:c>
      <x:c r="D10" s="31" t="str">
        <x:v>Native name</x:v>
      </x:c>
      <x:c r="E10" s="31" t="str">
        <x:v>DPt-Pプロモカード</x:v>
      </x:c>
      <x:c r="F10" s="31" t="str">
        <x:v>normalized Japanese catalogue label</x:v>
      </x:c>
      <x:c r="G10" s="31" t="str">
        <x:v>https://bulbapedia.bulbagarden.net/wiki/Category%3AJapanese_promotional_cards</x:v>
      </x:c>
      <x:c r="H10" s="31" t="str">
        <x:v>Filled</x:v>
      </x:c>
    </x:row>
    <x:row r="11">
      <x:c r="A11" s="31" t="n">
        <x:v>258</x:v>
      </x:c>
      <x:c r="B11" s="31" t="str">
        <x:v>ja</x:v>
      </x:c>
      <x:c r="C11" s="31" t="str">
        <x:v>L-P Promotional cards</x:v>
      </x:c>
      <x:c r="D11" s="31" t="str">
        <x:v>Native name</x:v>
      </x:c>
      <x:c r="E11" s="31" t="str">
        <x:v>L-Pプロモカード</x:v>
      </x:c>
      <x:c r="F11" s="31" t="str">
        <x:v>normalized Japanese catalogue label</x:v>
      </x:c>
      <x:c r="G11" s="31" t="str">
        <x:v>https://bulbapedia.bulbagarden.net/wiki/Category%3AJapanese_promotional_cards</x:v>
      </x:c>
      <x:c r="H11" s="31" t="str">
        <x:v>Filled</x:v>
      </x:c>
    </x:row>
    <x:row r="12">
      <x:c r="A12" s="31" t="n">
        <x:v>264</x:v>
      </x:c>
      <x:c r="B12" s="31" t="str">
        <x:v>ja</x:v>
      </x:c>
      <x:c r="C12" s="31" t="str">
        <x:v>World Collection</x:v>
      </x:c>
      <x:c r="D12" s="31" t="str">
        <x:v>Native name</x:v>
      </x:c>
      <x:c r="E12" s="31" t="str">
        <x:v>ピカチュウ ワールド</x:v>
      </x:c>
      <x:c r="F12" s="31" t="str">
        <x:v>Japanese product title</x:v>
      </x:c>
      <x:c r="G12" s="31" t="str">
        <x:v>https://bulbapedia.bulbagarden.net/wiki/Pikachu_World_%28TCG%29</x:v>
      </x:c>
      <x:c r="H12" s="31" t="str">
        <x:v>Filled</x:v>
      </x:c>
    </x:row>
    <x:row r="13">
      <x:c r="A13" s="31" t="n">
        <x:v>266</x:v>
      </x:c>
      <x:c r="B13" s="31" t="str">
        <x:v>ja</x:v>
      </x:c>
      <x:c r="C13" s="31" t="str">
        <x:v>BW-P Promotional cards</x:v>
      </x:c>
      <x:c r="D13" s="31" t="str">
        <x:v>Native name</x:v>
      </x:c>
      <x:c r="E13" s="31" t="str">
        <x:v>BW-Pプロモカード</x:v>
      </x:c>
      <x:c r="F13" s="31" t="str">
        <x:v>normalized Japanese catalogue label</x:v>
      </x:c>
      <x:c r="G13" s="31" t="str">
        <x:v>https://bulbapedia.bulbagarden.net/wiki/Category%3AJapanese_promotional_cards</x:v>
      </x:c>
      <x:c r="H13" s="31" t="str">
        <x:v>Filled</x:v>
      </x:c>
    </x:row>
    <x:row r="14">
      <x:c r="A14" s="31" t="n">
        <x:v>284</x:v>
      </x:c>
      <x:c r="B14" s="31" t="str">
        <x:v>ja</x:v>
      </x:c>
      <x:c r="C14" s="31" t="str">
        <x:v>XY-P Promotional cards</x:v>
      </x:c>
      <x:c r="D14" s="31" t="str">
        <x:v>Native name</x:v>
      </x:c>
      <x:c r="E14" s="31" t="str">
        <x:v>XY-Pプロモカード</x:v>
      </x:c>
      <x:c r="F14" s="31" t="str">
        <x:v>normalized Japanese catalogue label</x:v>
      </x:c>
      <x:c r="G14" s="31" t="str">
        <x:v>https://bulbapedia.bulbagarden.net/wiki/Category%3AJapanese_promotional_cards</x:v>
      </x:c>
      <x:c r="H14" s="31" t="str">
        <x:v>Filled</x:v>
      </x:c>
    </x:row>
    <x:row r="15">
      <x:c r="A15" s="31" t="n">
        <x:v>306</x:v>
      </x:c>
      <x:c r="B15" s="31" t="str">
        <x:v>ja</x:v>
      </x:c>
      <x:c r="C15" s="31" t="str">
        <x:v>SM-P Promotional cards</x:v>
      </x:c>
      <x:c r="D15" s="31" t="str">
        <x:v>Native name</x:v>
      </x:c>
      <x:c r="E15" s="31" t="str">
        <x:v>SM-Pプロモカード</x:v>
      </x:c>
      <x:c r="F15" s="31" t="str">
        <x:v>normalized Japanese catalogue label</x:v>
      </x:c>
      <x:c r="G15" s="31" t="str">
        <x:v>https://bulbapedia.bulbagarden.net/wiki/SM-P</x:v>
      </x:c>
      <x:c r="H15" s="31" t="str">
        <x:v>Filled</x:v>
      </x:c>
    </x:row>
    <x:row r="16">
      <x:c r="A16" s="31" t="n">
        <x:v>345</x:v>
      </x:c>
      <x:c r="B16" s="31" t="str">
        <x:v>ja</x:v>
      </x:c>
      <x:c r="C16" s="31" t="str">
        <x:v>S-P Promotional cards</x:v>
      </x:c>
      <x:c r="D16" s="31" t="str">
        <x:v>Native name</x:v>
      </x:c>
      <x:c r="E16" s="31" t="str">
        <x:v>S-Pプロモカード</x:v>
      </x:c>
      <x:c r="F16" s="31" t="str">
        <x:v>normalized Japanese catalogue label</x:v>
      </x:c>
      <x:c r="G16" s="31" t="str">
        <x:v>https://bulbapedia.bulbagarden.net/wiki/S-P</x:v>
      </x:c>
      <x:c r="H16" s="31" t="str">
        <x:v>Filled</x:v>
      </x:c>
    </x:row>
    <x:row r="17">
      <x:c r="A17" s="31" t="n">
        <x:v>376</x:v>
      </x:c>
      <x:c r="B17" s="31" t="str">
        <x:v>ja</x:v>
      </x:c>
      <x:c r="C17" s="31" t="str">
        <x:v>SV-P Promotional cards</x:v>
      </x:c>
      <x:c r="D17" s="31" t="str">
        <x:v>Native name</x:v>
      </x:c>
      <x:c r="E17" s="31" t="str">
        <x:v>SV-Pプロモカード</x:v>
      </x:c>
      <x:c r="F17" s="31" t="str">
        <x:v>normalized Japanese catalogue label</x:v>
      </x:c>
      <x:c r="G17" s="31" t="str">
        <x:v>https://bulbapedia.bulbagarden.net/wiki/SV-P</x:v>
      </x:c>
      <x:c r="H17" s="31" t="str">
        <x:v>Filled</x:v>
      </x:c>
    </x:row>
    <x:row r="18">
      <x:c r="A18" s="31" t="n">
        <x:v>403</x:v>
      </x:c>
      <x:c r="B18" s="31" t="str">
        <x:v>ja</x:v>
      </x:c>
      <x:c r="C18" s="31" t="str">
        <x:v>M-P Promotional cards</x:v>
      </x:c>
      <x:c r="D18" s="31" t="str">
        <x:v>Native name</x:v>
      </x:c>
      <x:c r="E18" s="31" t="str">
        <x:v>M-Pプロモカード</x:v>
      </x:c>
      <x:c r="F18" s="31" t="str">
        <x:v>normalized Japanese catalogue label</x:v>
      </x:c>
      <x:c r="G18" s="31" t="str">
        <x:v>https://bulbapedia.bulbagarden.net/wiki/M-P_Promotional_cards_%28TCG%29</x:v>
      </x:c>
      <x:c r="H18" s="31" t="str">
        <x:v>Filled</x:v>
      </x:c>
    </x:row>
    <x:row r="19">
      <x:c r="A19" s="31" t="n">
        <x:v>419</x:v>
      </x:c>
      <x:c r="B19" s="31" t="str">
        <x:v>ja</x:v>
      </x:c>
      <x:c r="C19" s="31" t="str">
        <x:v>Genesect Half Deck (Mewtwo vs Genesect)</x:v>
      </x:c>
      <x:c r="D19" s="31" t="str">
        <x:v>Native name</x:v>
      </x:c>
      <x:c r="E19" s="31" t="str">
        <x:v>ゲノセクトハーフデッキ（30枚デッキ対戦set ミュウツーVSゲノセクト）</x:v>
      </x:c>
      <x:c r="F19" s="31" t="str">
        <x:v>normalized component title from official Japanese deck-kit name</x:v>
      </x:c>
      <x:c r="G19" s="31" t="str">
        <x:v>https://bulbapedia.bulbagarden.net/wiki/Genesect_Half_Deck_%28TCG%29</x:v>
      </x:c>
      <x:c r="H19" s="31" t="str">
        <x:v>Filled</x:v>
      </x:c>
    </x:row>
    <x:row r="20">
      <x:c r="A20" s="31" t="n">
        <x:v>427</x:v>
      </x:c>
      <x:c r="B20" s="31" t="str">
        <x:v>ja</x:v>
      </x:c>
      <x:c r="C20" s="31" t="str">
        <x:v>Mewtwo Half Deck (Mewtwo vs Genesect)</x:v>
      </x:c>
      <x:c r="D20" s="31" t="str">
        <x:v>Native name</x:v>
      </x:c>
      <x:c r="E20" s="31" t="str">
        <x:v>ミュウツーハーフデッキ（30枚デッキ対戦set ミュウツーVSゲノセクト）</x:v>
      </x:c>
      <x:c r="F20" s="31" t="str">
        <x:v>normalized component title from official Japanese deck-kit name</x:v>
      </x:c>
      <x:c r="G20" s="31" t="str">
        <x:v>https://bulbapedia.bulbagarden.net/wiki/Mewtwo_Half_Deck_%28TCG%29</x:v>
      </x:c>
      <x:c r="H20" s="31" t="str">
        <x:v>Filled</x:v>
      </x:c>
    </x:row>
    <x:row r="21">
      <x:c r="A21" s="31" t="n">
        <x:v>431</x:v>
      </x:c>
      <x:c r="B21" s="31" t="str">
        <x:v>ja</x:v>
      </x:c>
      <x:c r="C21" s="31" t="str">
        <x:v>Rockruff Full Power Deck</x:v>
      </x:c>
      <x:c r="D21" s="31" t="str">
        <x:v>Native name</x:v>
      </x:c>
      <x:c r="E21" s="31" t="str">
        <x:v>イワンコ全力デッキ</x:v>
      </x:c>
      <x:c r="F21" s="31" t="str">
        <x:v>Japanese product title</x:v>
      </x:c>
      <x:c r="G21" s="31" t="str">
        <x:v>https://bulbapedia.bulbagarden.net/wiki/SMP1</x:v>
      </x:c>
      <x:c r="H21" s="31" t="str">
        <x:v>Filled</x:v>
      </x:c>
    </x:row>
    <x:row r="22">
      <x:c r="A22" s="31" t="n">
        <x:v>437</x:v>
      </x:c>
      <x:c r="B22" s="31" t="str">
        <x:v>ja</x:v>
      </x:c>
      <x:c r="C22" s="31" t="str">
        <x:v>Unnumbered Promotional cards</x:v>
      </x:c>
      <x:c r="D22" s="31" t="str">
        <x:v>Native name</x:v>
      </x:c>
      <x:c r="E22" s="31" t="str">
        <x:v>ナンバーなしプロモカード</x:v>
      </x:c>
      <x:c r="F22" s="31" t="str">
        <x:v>normalized Japanese catalogue label</x:v>
      </x:c>
      <x:c r="G22" s="31" t="str">
        <x:v>https://bulbapedia.bulbagarden.net/wiki/Unnumbered_Promotional_cards</x:v>
      </x:c>
      <x:c r="H22" s="31" t="str">
        <x:v>Filled</x:v>
      </x:c>
    </x:row>
    <x:row r="23">
      <x:c r="A23" s="31" t="n">
        <x:v>495</x:v>
      </x:c>
      <x:c r="B23" s="31" t="str">
        <x:v>zh-CN</x:v>
      </x:c>
      <x:c r="C23" s="31" t="str">
        <x:v>30th-P Promotional cards</x:v>
      </x:c>
      <x:c r="D23" s="31" t="str">
        <x:v>Native name</x:v>
      </x:c>
      <x:c r="E23" s="31" t="str">
        <x:v>30th-P特典卡</x:v>
      </x:c>
      <x:c r="F23" s="31" t="str">
        <x:v>normalized Simplified Chinese catalogue label</x:v>
      </x:c>
      <x:c r="G23" s="31" t="str">
        <x:v>https://bulbapedia.bulbagarden.net/wiki/30th-P_Promotional_cards_%28SCTCG%29</x:v>
      </x:c>
      <x:c r="H23" s="31" t="str">
        <x:v>Filled</x:v>
      </x:c>
    </x:row>
    <x:row r="24">
      <x:c r="A24" s="31" t="n">
        <x:v>496</x:v>
      </x:c>
      <x:c r="B24" s="31" t="str">
        <x:v>zh-CN</x:v>
      </x:c>
      <x:c r="C24" s="31" t="str">
        <x:v>Dynamax Clash V Starter Decks</x:v>
      </x:c>
      <x:c r="D24" s="31" t="str">
        <x:v>Native name</x:v>
      </x:c>
      <x:c r="E24" s="31" t="str">
        <x:v>极巨争锋 V起始卡组</x:v>
      </x:c>
      <x:c r="F24" s="31" t="str">
        <x:v>official Simplified Chinese product title</x:v>
      </x:c>
      <x:c r="G24" s="31" t="str">
        <x:v>https://www.pokemon.cn/tcg/product/16268.html</x:v>
      </x:c>
      <x:c r="H24" s="31" t="str">
        <x:v>Filled</x:v>
      </x:c>
    </x:row>
    <x:row r="25">
      <x:c r="A25" s="31" t="n">
        <x:v>497</x:v>
      </x:c>
      <x:c r="B25" s="31" t="str">
        <x:v>zh-CN</x:v>
      </x:c>
      <x:c r="C25" s="31" t="str">
        <x:v>Gallant Galaxy V Starter Decks</x:v>
      </x:c>
      <x:c r="D25" s="31" t="str">
        <x:v>Native name</x:v>
      </x:c>
      <x:c r="E25" s="31" t="str">
        <x:v>勇魅群星 V起始卡组</x:v>
      </x:c>
      <x:c r="F25" s="31" t="str">
        <x:v>Simplified Chinese product title</x:v>
      </x:c>
      <x:c r="G25" s="31" t="str">
        <x:v>https://bulbapedia.bulbagarden.net/wiki/Bilibili</x:v>
      </x:c>
      <x:c r="H25" s="31" t="str">
        <x:v>Filled</x:v>
      </x:c>
    </x:row>
    <x:row r="26">
      <x:c r="A26" s="31" t="n">
        <x:v>498</x:v>
      </x:c>
      <x:c r="B26" s="31" t="str">
        <x:v>zh-CN</x:v>
      </x:c>
      <x:c r="C26" s="31" t="str">
        <x:v>M-P Promotional cards</x:v>
      </x:c>
      <x:c r="D26" s="31" t="str">
        <x:v>Native name</x:v>
      </x:c>
      <x:c r="E26" s="31" t="str">
        <x:v>M-P特典卡</x:v>
      </x:c>
      <x:c r="F26" s="31" t="str">
        <x:v>normalized Simplified Chinese catalogue label</x:v>
      </x:c>
      <x:c r="G26" s="31" t="str">
        <x:v>https://bulbapedia.bulbagarden.net/wiki/M-P_Promotional_cards_%28SCTCG%29</x:v>
      </x:c>
      <x:c r="H26" s="31" t="str">
        <x:v>Filled</x:v>
      </x:c>
    </x:row>
    <x:row r="27">
      <x:c r="A27" s="31" t="n">
        <x:v>500</x:v>
      </x:c>
      <x:c r="B27" s="31" t="str">
        <x:v>zh-CN</x:v>
      </x:c>
      <x:c r="C27" s="31" t="str">
        <x:v>Primordial Arts V Starter Decks</x:v>
      </x:c>
      <x:c r="D27" s="31" t="str">
        <x:v>Native name</x:v>
      </x:c>
      <x:c r="E27" s="31" t="str">
        <x:v>洪荒演武 V起始卡组</x:v>
      </x:c>
      <x:c r="F27" s="31" t="str">
        <x:v>Simplified Chinese product title</x:v>
      </x:c>
      <x:c r="G27" s="31" t="str">
        <x:v>https://bulbapedia.bulbagarden.net/wiki/Bilibili</x:v>
      </x:c>
      <x:c r="H27" s="31" t="str">
        <x:v>Filled</x:v>
      </x:c>
    </x:row>
    <x:row r="28">
      <x:c r="A28" s="31" t="n">
        <x:v>501</x:v>
      </x:c>
      <x:c r="B28" s="31" t="str">
        <x:v>zh-CN</x:v>
      </x:c>
      <x:c r="C28" s="31" t="str">
        <x:v>S-P Promotional cards</x:v>
      </x:c>
      <x:c r="D28" s="31" t="str">
        <x:v>Native name</x:v>
      </x:c>
      <x:c r="E28" s="31" t="str">
        <x:v>S-P特典卡</x:v>
      </x:c>
      <x:c r="F28" s="31" t="str">
        <x:v>normalized Simplified Chinese catalogue label</x:v>
      </x:c>
      <x:c r="G28" s="31" t="str">
        <x:v>https://bulbapedia.bulbagarden.net/wiki/S-P_Promotional_cards_%28SCTCG%29</x:v>
      </x:c>
      <x:c r="H28" s="31" t="str">
        <x:v>Filled</x:v>
      </x:c>
    </x:row>
    <x:row r="29">
      <x:c r="A29" s="31" t="n">
        <x:v>502</x:v>
      </x:c>
      <x:c r="B29" s="31" t="str">
        <x:v>zh-CN</x:v>
      </x:c>
      <x:c r="C29" s="31" t="str">
        <x:v>SM-P Promotional cards</x:v>
      </x:c>
      <x:c r="D29" s="31" t="str">
        <x:v>Native name</x:v>
      </x:c>
      <x:c r="E29" s="31" t="str">
        <x:v>SM-P特典卡</x:v>
      </x:c>
      <x:c r="F29" s="31" t="str">
        <x:v>normalized Simplified Chinese catalogue label</x:v>
      </x:c>
      <x:c r="G29" s="31" t="str">
        <x:v>https://bulbapedia.bulbagarden.net/wiki/SM-P_Promotional_cards_%28SCTCG%29</x:v>
      </x:c>
      <x:c r="H29" s="31" t="str">
        <x:v>Filled</x:v>
      </x:c>
    </x:row>
    <x:row r="30">
      <x:c r="A30" s="31" t="n">
        <x:v>503</x:v>
      </x:c>
      <x:c r="B30" s="31" t="str">
        <x:v>zh-CN</x:v>
      </x:c>
      <x:c r="C30" s="31" t="str">
        <x:v>SV-P Promotional cards</x:v>
      </x:c>
      <x:c r="D30" s="31" t="str">
        <x:v>Native name</x:v>
      </x:c>
      <x:c r="E30" s="31" t="str">
        <x:v>SV-P特典卡</x:v>
      </x:c>
      <x:c r="F30" s="31" t="str">
        <x:v>normalized Simplified Chinese catalogue label</x:v>
      </x:c>
      <x:c r="G30" s="31" t="str">
        <x:v>https://bulbapedia.bulbagarden.net/wiki/SV-P_Promotional_cards_%28SCTCG%29</x:v>
      </x:c>
      <x:c r="H30" s="31" t="str">
        <x:v>Filled</x:v>
      </x:c>
    </x:row>
    <x:row r="31">
      <x:c r="A31" s="31" t="n">
        <x:v>508</x:v>
      </x:c>
      <x:c r="B31" s="31" t="str">
        <x:v>zh-TW</x:v>
      </x:c>
      <x:c r="C31" s="31" t="str">
        <x:v>Pikachu World Collection — Traditional Chinese card</x:v>
      </x:c>
      <x:c r="D31" s="31" t="str">
        <x:v>Native name</x:v>
      </x:c>
      <x:c r="E31" s="31" t="str">
        <x:v>皮卡丘世界收藏（繁體中文卡）</x:v>
      </x:c>
      <x:c r="F31" s="31" t="str">
        <x:v>normalized Traditional Chinese card/collection label</x:v>
      </x:c>
      <x:c r="G31" s="31" t="str">
        <x:v>https://bulbapedia.bulbagarden.net/wiki/Pikachu_World_Collection_%28TCG%29</x:v>
      </x:c>
      <x:c r="H31" s="31" t="str">
        <x:v>Filled</x:v>
      </x:c>
    </x:row>
    <x:row r="32">
      <x:c r="A32" s="31" t="n">
        <x:v>437</x:v>
      </x:c>
      <x:c r="B32" s="31" t="str">
        <x:v>ja</x:v>
      </x:c>
      <x:c r="C32" s="31" t="str">
        <x:v>Unnumbered Promotional cards</x:v>
      </x:c>
      <x:c r="D32" s="31" t="str">
        <x:v>Release date</x:v>
      </x:c>
      <x:c r="E32" s="31" t="str">
        <x:v>1996-10</x:v>
      </x:c>
      <x:c r="F32" s="31" t="str">
        <x:v>release period starts October 1996</x:v>
      </x:c>
      <x:c r="G32" s="31" t="str">
        <x:v>https://bulbapedia.bulbagarden.net/wiki/Unnumbered_Promotional_cards</x:v>
      </x:c>
      <x:c r="H32" s="31" t="str">
        <x:v>Filled</x:v>
      </x:c>
    </x:row>
    <x:row r="33">
      <x:c r="A33" s="31" t="n">
        <x:v>494</x:v>
      </x:c>
      <x:c r="B33" s="31" t="str">
        <x:v>zh-CN</x:v>
      </x:c>
      <x:c r="C33" s="31" t="str">
        <x:v>30th Celebration</x:v>
      </x:c>
      <x:c r="D33" s="31" t="str">
        <x:v>Release date</x:v>
      </x:c>
      <x:c r="E33" s="31" t="str">
        <x:v>2026-09-16</x:v>
      </x:c>
      <x:c r="F33" s="31" t="str">
        <x:v>official mainland-China release</x:v>
      </x:c>
      <x:c r="G33" s="31" t="str">
        <x:v>https://campaign-30th.pokemon.cn/</x:v>
      </x:c>
      <x:c r="H33" s="31" t="str">
        <x:v>Filled</x:v>
      </x:c>
    </x:row>
    <x:row r="34">
      <x:c r="A34" s="31" t="n">
        <x:v>495</x:v>
      </x:c>
      <x:c r="B34" s="31" t="str">
        <x:v>zh-CN</x:v>
      </x:c>
      <x:c r="C34" s="31" t="str">
        <x:v>30th-P Promotional cards</x:v>
      </x:c>
      <x:c r="D34" s="31" t="str">
        <x:v>Release date</x:v>
      </x:c>
      <x:c r="E34" s="31" t="str">
        <x:v>2026-03-20</x:v>
      </x:c>
      <x:c r="F34" s="31" t="str">
        <x:v>first 30th-P release</x:v>
      </x:c>
      <x:c r="G34" s="31" t="str">
        <x:v>https://bulbapedia.bulbagarden.net/wiki/30th-P_Promotional_cards_%28SCTCG%29</x:v>
      </x:c>
      <x:c r="H34" s="31" t="str">
        <x:v>Filled</x:v>
      </x:c>
    </x:row>
    <x:row r="35">
      <x:c r="A35" s="31" t="n">
        <x:v>496</x:v>
      </x:c>
      <x:c r="B35" s="31" t="str">
        <x:v>zh-CN</x:v>
      </x:c>
      <x:c r="C35" s="31" t="str">
        <x:v>Dynamax Clash V Starter Decks</x:v>
      </x:c>
      <x:c r="D35" s="31" t="str">
        <x:v>Release date</x:v>
      </x:c>
      <x:c r="E35" s="31" t="str">
        <x:v>2023-05-19</x:v>
      </x:c>
      <x:c r="F35" s="31" t="str">
        <x:v>official mainland-China release</x:v>
      </x:c>
      <x:c r="G35" s="31" t="str">
        <x:v>https://www.pokemon.cn/tcg/product/16268.html</x:v>
      </x:c>
      <x:c r="H35" s="31" t="str">
        <x:v>Filled</x:v>
      </x:c>
    </x:row>
    <x:row r="36">
      <x:c r="A36" s="31" t="n">
        <x:v>497</x:v>
      </x:c>
      <x:c r="B36" s="31" t="str">
        <x:v>zh-CN</x:v>
      </x:c>
      <x:c r="C36" s="31" t="str">
        <x:v>Gallant Galaxy V Starter Decks</x:v>
      </x:c>
      <x:c r="D36" s="31" t="str">
        <x:v>Release date</x:v>
      </x:c>
      <x:c r="E36" s="31" t="str">
        <x:v>2024-06-18</x:v>
      </x:c>
      <x:c r="F36" s="31" t="str">
        <x:v>Simplified Chinese release table</x:v>
      </x:c>
      <x:c r="G36" s="31" t="str">
        <x:v>https://bulbapedia.bulbagarden.net/wiki/Bilibili</x:v>
      </x:c>
      <x:c r="H36" s="31" t="str">
        <x:v>Filled</x:v>
      </x:c>
    </x:row>
    <x:row r="37">
      <x:c r="A37" s="31" t="n">
        <x:v>498</x:v>
      </x:c>
      <x:c r="B37" s="31" t="str">
        <x:v>zh-CN</x:v>
      </x:c>
      <x:c r="C37" s="31" t="str">
        <x:v>M-P Promotional cards</x:v>
      </x:c>
      <x:c r="D37" s="31" t="str">
        <x:v>Release date</x:v>
      </x:c>
      <x:c r="E37" s="31" t="str">
        <x:v>2026-08-07</x:v>
      </x:c>
      <x:c r="F37" s="31" t="str">
        <x:v>first Simplified Chinese M-P release</x:v>
      </x:c>
      <x:c r="G37" s="31" t="str">
        <x:v>https://bulbapedia.bulbagarden.net/wiki/M-P_Promotional_cards_%28SCTCG%29</x:v>
      </x:c>
      <x:c r="H37" s="31" t="str">
        <x:v>Filled</x:v>
      </x:c>
    </x:row>
    <x:row r="38">
      <x:c r="A38" s="31" t="n">
        <x:v>500</x:v>
      </x:c>
      <x:c r="B38" s="31" t="str">
        <x:v>zh-CN</x:v>
      </x:c>
      <x:c r="C38" s="31" t="str">
        <x:v>Primordial Arts V Starter Decks</x:v>
      </x:c>
      <x:c r="D38" s="31" t="str">
        <x:v>Release date</x:v>
      </x:c>
      <x:c r="E38" s="31" t="str">
        <x:v>2023-11-17</x:v>
      </x:c>
      <x:c r="F38" s="31" t="str">
        <x:v>Simplified Chinese release table</x:v>
      </x:c>
      <x:c r="G38" s="31" t="str">
        <x:v>https://bulbapedia.bulbagarden.net/wiki/Bilibili</x:v>
      </x:c>
      <x:c r="H38" s="31" t="str">
        <x:v>Filled</x:v>
      </x:c>
    </x:row>
    <x:row r="39">
      <x:c r="A39" s="31" t="n">
        <x:v>501</x:v>
      </x:c>
      <x:c r="B39" s="31" t="str">
        <x:v>zh-CN</x:v>
      </x:c>
      <x:c r="C39" s="31" t="str">
        <x:v>S-P Promotional cards</x:v>
      </x:c>
      <x:c r="D39" s="31" t="str">
        <x:v>Release date</x:v>
      </x:c>
      <x:c r="E39" s="31" t="str">
        <x:v>2023-05-28</x:v>
      </x:c>
      <x:c r="F39" s="31" t="str">
        <x:v>first Simplified Chinese S-P release</x:v>
      </x:c>
      <x:c r="G39" s="31" t="str">
        <x:v>https://bulbapedia.bulbagarden.net/wiki/S-P_Promotional_cards_%28SCTCG%29</x:v>
      </x:c>
      <x:c r="H39" s="31" t="str">
        <x:v>Filled</x:v>
      </x:c>
    </x:row>
    <x:row r="40">
      <x:c r="A40" s="31" t="n">
        <x:v>502</x:v>
      </x:c>
      <x:c r="B40" s="31" t="str">
        <x:v>zh-CN</x:v>
      </x:c>
      <x:c r="C40" s="31" t="str">
        <x:v>SM-P Promotional cards</x:v>
      </x:c>
      <x:c r="D40" s="31" t="str">
        <x:v>Release date</x:v>
      </x:c>
      <x:c r="E40" s="31" t="str">
        <x:v>2022-10-28</x:v>
      </x:c>
      <x:c r="F40" s="31" t="str">
        <x:v>first Simplified Chinese SM-P release</x:v>
      </x:c>
      <x:c r="G40" s="31" t="str">
        <x:v>https://bulbapedia.bulbagarden.net/wiki/SM-P_Promotional_cards_%28SCTCG%29</x:v>
      </x:c>
      <x:c r="H40" s="31" t="str">
        <x:v>Filled</x:v>
      </x:c>
    </x:row>
    <x:row r="41">
      <x:c r="A41" s="31" t="n">
        <x:v>503</x:v>
      </x:c>
      <x:c r="B41" s="31" t="str">
        <x:v>zh-CN</x:v>
      </x:c>
      <x:c r="C41" s="31" t="str">
        <x:v>SV-P Promotional cards</x:v>
      </x:c>
      <x:c r="D41" s="31" t="str">
        <x:v>Release date</x:v>
      </x:c>
      <x:c r="E41" s="31" t="str">
        <x:v>2024-08-03</x:v>
      </x:c>
      <x:c r="F41" s="31" t="str">
        <x:v>first Simplified Chinese SV-P release</x:v>
      </x:c>
      <x:c r="G41" s="31" t="str">
        <x:v>https://bulbapedia.bulbagarden.net/wiki/SV-P_Promotional_cards_%28SCTCG%29</x:v>
      </x:c>
      <x:c r="H41" s="31" t="str">
        <x:v>Filled</x:v>
      </x:c>
    </x:row>
    <x:row r="42">
      <x:c r="A42" s="31" t="n">
        <x:v>643</x:v>
      </x:c>
      <x:c r="B42" s="31" t="str">
        <x:v>zh-TW</x:v>
      </x:c>
      <x:c r="C42" s="31" t="str">
        <x:v>Mega Evolution Promotional cards</x:v>
      </x:c>
      <x:c r="D42" s="31" t="str">
        <x:v>Release date</x:v>
      </x:c>
      <x:c r="E42" s="31" t="str">
        <x:v>2025-08-15</x:v>
      </x:c>
      <x:c r="F42" s="31" t="str">
        <x:v>first Traditional Chinese M-P release</x:v>
      </x:c>
      <x:c r="G42" s="31" t="str">
        <x:v>https://bulbapedia.bulbagarden.net/wiki/M-P_Promotional_cards_%28TCTCG%29</x:v>
      </x:c>
      <x:c r="H42" s="31" t="str">
        <x:v>Filled</x:v>
      </x:c>
    </x:row>
    <x:row r="43">
      <x:c r="A43" s="31" t="n">
        <x:v>644</x:v>
      </x:c>
      <x:c r="B43" s="31" t="str">
        <x:v>zh-TW</x:v>
      </x:c>
      <x:c r="C43" s="31" t="str">
        <x:v>Scarlet &amp; Violet Promotional cards</x:v>
      </x:c>
      <x:c r="D43" s="31" t="str">
        <x:v>Release date</x:v>
      </x:c>
      <x:c r="E43" s="31" t="str">
        <x:v>2022-11-18</x:v>
      </x:c>
      <x:c r="F43" s="31" t="str">
        <x:v>first Traditional Chinese SV-P release</x:v>
      </x:c>
      <x:c r="G43" s="31" t="str">
        <x:v>https://bulbapedia.bulbagarden.net/wiki/SV-P_Promotional_cards_%28TCTCG%29</x:v>
      </x:c>
      <x:c r="H43" s="31" t="str">
        <x:v>Filled</x:v>
      </x:c>
    </x:row>
    <x:row r="44">
      <x:c r="A44" s="31" t="n">
        <x:v>645</x:v>
      </x:c>
      <x:c r="B44" s="31" t="str">
        <x:v>zh-TW</x:v>
      </x:c>
      <x:c r="C44" s="31" t="str">
        <x:v>Sun &amp; Moon Promotional cards</x:v>
      </x:c>
      <x:c r="D44" s="31" t="str">
        <x:v>Release date</x:v>
      </x:c>
      <x:c r="E44" s="31" t="str">
        <x:v>2019-10</x:v>
      </x:c>
      <x:c r="F44" s="31" t="str">
        <x:v>Traditional Chinese SM-P release period start</x:v>
      </x:c>
      <x:c r="G44" s="31" t="str">
        <x:v>https://bulbapedia.bulbagarden.net/wiki/SM-P_Promotional_cards_%28TCTCG%29</x:v>
      </x:c>
      <x:c r="H44" s="31" t="str">
        <x:v>Filled</x:v>
      </x:c>
    </x:row>
    <x:row r="45">
      <x:c r="A45" s="31" t="n">
        <x:v>646</x:v>
      </x:c>
      <x:c r="B45" s="31" t="str">
        <x:v>zh-TW</x:v>
      </x:c>
      <x:c r="C45" s="31" t="str">
        <x:v>Sword &amp; Shield Promotional cards</x:v>
      </x:c>
      <x:c r="D45" s="31" t="str">
        <x:v>Release date</x:v>
      </x:c>
      <x:c r="E45" s="31" t="str">
        <x:v>2020-06</x:v>
      </x:c>
      <x:c r="F45" s="31" t="str">
        <x:v>Traditional Chinese S-P release period start</x:v>
      </x:c>
      <x:c r="G45" s="31" t="str">
        <x:v>https://bulbapedia.bulbagarden.net/wiki/S-P_Promos_%28TCTCG%29</x:v>
      </x:c>
      <x:c r="H45" s="31" t="str">
        <x:v>Filled</x:v>
      </x:c>
    </x:row>
    <x:row r="46">
      <x:c r="A46" s="31" t="n">
        <x:v>414</x:v>
      </x:c>
      <x:c r="B46" s="31" t="str">
        <x:v>ja</x:v>
      </x:c>
      <x:c r="C46" s="31" t="str">
        <x:v>Aura Seeker</x:v>
      </x:c>
      <x:c r="D46" s="31" t="str">
        <x:v>Release date</x:v>
      </x:c>
      <x:c r="E46" s="31" t="str"/>
      <x:c r="F46" s="31" t="str">
        <x:v>Official release date remains TBD as of 2026-09-26; no fabricated date inserted</x:v>
      </x:c>
      <x:c r="G46" s="31" t="str">
        <x:v>https://bulbapedia.bulbagarden.net/wiki/Aura_Seeker_%28TCG%29</x:v>
      </x:c>
      <x:c r="H46" s="31" t="str">
        <x:v>Pending official announcement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4" hidden="0" customWidth="1"/>
    <x:col min="4" max="4" width="18" hidden="0" customWidth="1"/>
    <x:col min="5" max="5" width="14" hidden="0" customWidth="1"/>
    <x:col min="6" max="6" width="16" hidden="0" customWidth="1"/>
    <x:col min="7" max="7" width="54" hidden="0" customWidth="1"/>
    <x:col min="8" max="8" width="28" hidden="0" customWidth="1"/>
    <x:col min="9" max="9" width="50" hidden="0" customWidth="1"/>
    <x:col min="10" max="10" width="38" hidden="0" customWidth="1"/>
  </x:cols>
  <x:sheetData>
    <x:row r="1">
      <x:c r="A1" s="73" t="str">
        <x:v>Reference row</x:v>
      </x:c>
      <x:c r="B1" s="73" t="str">
        <x:v>Language</x:v>
      </x:c>
      <x:c r="C1" s="73" t="str">
        <x:v>Set / product</x:v>
      </x:c>
      <x:c r="D1" s="73" t="str">
        <x:v>Code</x:v>
      </x:c>
      <x:c r="E1" s="73" t="str">
        <x:v>Status</x:v>
      </x:c>
      <x:c r="F1" s="73" t="str">
        <x:v>Reference count</x:v>
      </x:c>
      <x:c r="G1" s="73" t="str">
        <x:v>Count basis</x:v>
      </x:c>
      <x:c r="H1" s="73" t="str">
        <x:v>Evidence class</x:v>
      </x:c>
      <x:c r="I1" s="73" t="str">
        <x:v>Source URL</x:v>
      </x:c>
      <x:c r="J1" s="73" t="str">
        <x:v>Notes</x:v>
      </x:c>
    </x:row>
    <x:row r="2">
      <x:c r="A2" s="31" t="n">
        <x:v>146</x:v>
      </x:c>
      <x:c r="B2" s="31" t="str">
        <x:v>en</x:v>
      </x:c>
      <x:c r="C2" s="31" t="str">
        <x:v>SVP Black Star Promos</x:v>
      </x:c>
      <x:c r="D2" s="31" t="str">
        <x:v>SVP</x:v>
      </x:c>
      <x:c r="E2" s="31" t="str">
        <x:v>Filled</x:v>
      </x:c>
      <x:c r="F2" s="31" t="n">
        <x:v>226</x:v>
      </x:c>
      <x:c r="G2" s="31" t="str">
        <x:v>Current Scarlet &amp; Violet Black Star Promo catalogue identities in source scope; promo series cutoff is source-date dependent.</x:v>
      </x:c>
      <x:c r="H2" s="31" t="str">
        <x:v>promo_catalogue_snapshot</x:v>
      </x:c>
      <x:c r="I2" s="31" t="str">
        <x:v>https://bulbapedia.bulbagarden.net/wiki/SVP_Black_Star_Promos</x:v>
      </x:c>
      <x:c r="J2" s="31" t="str"/>
    </x:row>
    <x:row r="3">
      <x:c r="A3" s="31" t="n">
        <x:v>176</x:v>
      </x:c>
      <x:c r="B3" s="31" t="str">
        <x:v>en</x:v>
      </x:c>
      <x:c r="C3" s="31" t="str">
        <x:v>MEP Black Star Promos</x:v>
      </x:c>
      <x:c r="D3" s="31" t="str">
        <x:v>MEP</x:v>
      </x:c>
      <x:c r="E3" s="31" t="str">
        <x:v>Filled</x:v>
      </x:c>
      <x:c r="F3" s="31" t="n">
        <x:v>127</x:v>
      </x:c>
      <x:c r="G3" s="31" t="str">
        <x:v>Current Mega Evolution Black Star Promo catalogue index snapshot; ongoing series, so this is a dated catalogue count rather than a closed-set total.</x:v>
      </x:c>
      <x:c r="H3" s="31" t="str">
        <x:v>secondary_catalogue_snapshot</x:v>
      </x:c>
      <x:c r="I3" s="31" t="str">
        <x:v>https://www.cardtrader.com/en/pokemon/expansions</x:v>
      </x:c>
      <x:c r="J3" s="31" t="str"/>
    </x:row>
    <x:row r="4">
      <x:c r="A4" s="31" t="n">
        <x:v>186</x:v>
      </x:c>
      <x:c r="B4" s="31" t="str">
        <x:v>en</x:v>
      </x:c>
      <x:c r="C4" s="31" t="str">
        <x:v>30th Celebration</x:v>
      </x:c>
      <x:c r="D4" s="31" t="str">
        <x:v>30C</x:v>
      </x:c>
      <x:c r="E4" s="31" t="str">
        <x:v>Filled</x:v>
      </x:c>
      <x:c r="F4" s="31" t="n">
        <x:v>160</x:v>
      </x:c>
      <x:c r="G4" s="31" t="str">
        <x:v>Minimum announced catalogue size; source describes the set as 160+ cards. Stored as a lower bound, not an exact final checklist total.</x:v>
      </x:c>
      <x:c r="H4" s="31" t="str">
        <x:v>announced_lower_bound</x:v>
      </x:c>
      <x:c r="I4" s="31" t="str">
        <x:v>https://bulbapedia.bulbagarden.net/wiki/List_of_Pok%C3%A9mon_Trading_Card_Game_expansions</x:v>
      </x:c>
      <x:c r="J4" s="31" t="str">
        <x:v>160+ announced; exact final checklist still subject to release reconciliation.</x:v>
      </x:c>
    </x:row>
    <x:row r="5">
      <x:c r="A5" s="31" t="n">
        <x:v>187</x:v>
      </x:c>
      <x:c r="B5" s="31" t="str">
        <x:v>en</x:v>
      </x:c>
      <x:c r="C5" s="31" t="str">
        <x:v>Delta Reign</x:v>
      </x:c>
      <x:c r="D5" s="31" t="str">
        <x:v>DLR</x:v>
      </x:c>
      <x:c r="E5" s="31" t="str">
        <x:v>Filled</x:v>
      </x:c>
      <x:c r="F5" s="31" t="n">
        <x:v>135</x:v>
      </x:c>
      <x:c r="G5" s="31" t="str">
        <x:v>Minimum announced catalogue size; source describes the set as over 135 cards. Stored as a lower bound pending final released checklist.</x:v>
      </x:c>
      <x:c r="H5" s="31" t="str">
        <x:v>announced_lower_bound</x:v>
      </x:c>
      <x:c r="I5" s="31" t="str">
        <x:v>https://bulbapedia.bulbagarden.net/wiki/List_of_Pok%C3%A9mon_Trading_Card_Game_expansions</x:v>
      </x:c>
      <x:c r="J5" s="31" t="str">
        <x:v>Future release as of 26 September 2026.</x:v>
      </x:c>
    </x:row>
    <x:row r="6">
      <x:c r="A6" s="31" t="n">
        <x:v>188</x:v>
      </x:c>
      <x:c r="B6" s="31" t="str">
        <x:v>en</x:v>
      </x:c>
      <x:c r="C6" s="31" t="str">
        <x:v>Black &amp; White Trainer Kit</x:v>
      </x:c>
      <x:c r="D6" s="31" t="str">
        <x:v>TK5</x:v>
      </x:c>
      <x:c r="E6" s="31" t="str">
        <x:v>Filled</x:v>
      </x:c>
      <x:c r="F6" s="31" t="n">
        <x:v>60</x:v>
      </x:c>
      <x:c r="G6" s="31" t="str">
        <x:v>Two separately numbered 30-card Trainer Kit half-decks; reference count is numbered tutorial slots, not physical duplicates.</x:v>
      </x:c>
      <x:c r="H6" s="31" t="str">
        <x:v>product_numbered_checklist</x:v>
      </x:c>
      <x:c r="I6" s="31" t="str">
        <x:v>https://bulbapedia.bulbagarden.net/wiki/Black_%26_White_Trainer_Kit_(TCG)</x:v>
      </x:c>
      <x:c r="J6" s="31" t="str"/>
    </x:row>
    <x:row r="7">
      <x:c r="A7" s="31" t="n">
        <x:v>189</x:v>
      </x:c>
      <x:c r="B7" s="31" t="str">
        <x:v>en</x:v>
      </x:c>
      <x:c r="C7" s="31" t="str">
        <x:v>Diamond &amp; Pearl Trainer Kit</x:v>
      </x:c>
      <x:c r="D7" s="31" t="str">
        <x:v>DP-TK</x:v>
      </x:c>
      <x:c r="E7" s="31" t="str">
        <x:v>Filled</x:v>
      </x:c>
      <x:c r="F7" s="31" t="n">
        <x:v>23</x:v>
      </x:c>
      <x:c r="G7" s="31" t="str">
        <x:v>Distinct numbered Trainer Kit component identities: 12 Manaphy + 11 Lucario.</x:v>
      </x:c>
      <x:c r="H7" s="31" t="str">
        <x:v>product_numbered_checklist</x:v>
      </x:c>
      <x:c r="I7" s="31" t="str">
        <x:v>https://bulbapedia.bulbagarden.net/wiki/Diamond_%26_Pearl_Trainer_Kit_(TCG)</x:v>
      </x:c>
      <x:c r="J7" s="31" t="str"/>
    </x:row>
    <x:row r="8">
      <x:c r="A8" s="31" t="n">
        <x:v>190</x:v>
      </x:c>
      <x:c r="B8" s="31" t="str">
        <x:v>en</x:v>
      </x:c>
      <x:c r="C8" s="31" t="str">
        <x:v>EX Trainer Kit</x:v>
      </x:c>
      <x:c r="D8" s="31" t="str">
        <x:v>EX-TK</x:v>
      </x:c>
      <x:c r="E8" s="31" t="str">
        <x:v>Filled</x:v>
      </x:c>
      <x:c r="F8" s="31" t="n">
        <x:v>20</x:v>
      </x:c>
      <x:c r="G8" s="31" t="str">
        <x:v>Two 10-card numbered Trainer Kit half-deck checklists; counts identities, not repeated physical cards.</x:v>
      </x:c>
      <x:c r="H8" s="31" t="str">
        <x:v>product_numbered_checklist</x:v>
      </x:c>
      <x:c r="I8" s="31" t="str">
        <x:v>https://bulbapedia.bulbagarden.net/wiki/EX_Trainer_Kit_(TCG)</x:v>
      </x:c>
      <x:c r="J8" s="31" t="str"/>
    </x:row>
    <x:row r="9">
      <x:c r="A9" s="31" t="n">
        <x:v>191</x:v>
      </x:c>
      <x:c r="B9" s="31" t="str">
        <x:v>en</x:v>
      </x:c>
      <x:c r="C9" s="31" t="str">
        <x:v>EX Trainer Kit 2</x:v>
      </x:c>
      <x:c r="D9" s="31" t="str">
        <x:v>EX-TK2</x:v>
      </x:c>
      <x:c r="E9" s="31" t="str">
        <x:v>Filled</x:v>
      </x:c>
      <x:c r="F9" s="31" t="n">
        <x:v>24</x:v>
      </x:c>
      <x:c r="G9" s="31" t="str">
        <x:v>Two 12-card numbered Trainer Kit 2 half-deck checklists; counts identities, not repeated physical cards.</x:v>
      </x:c>
      <x:c r="H9" s="31" t="str">
        <x:v>product_numbered_checklist</x:v>
      </x:c>
      <x:c r="I9" s="31" t="str">
        <x:v>https://bulbapedia.bulbagarden.net/wiki/EX_Trainer_Kit_2_(TCG)</x:v>
      </x:c>
      <x:c r="J9" s="31" t="str"/>
    </x:row>
    <x:row r="10">
      <x:c r="A10" s="31" t="n">
        <x:v>192</x:v>
      </x:c>
      <x:c r="B10" s="31" t="str">
        <x:v>en</x:v>
      </x:c>
      <x:c r="C10" s="31" t="str">
        <x:v>HS Trainer Kit</x:v>
      </x:c>
      <x:c r="D10" s="31" t="str">
        <x:v>HS-TK</x:v>
      </x:c>
      <x:c r="E10" s="31" t="str">
        <x:v>Filled</x:v>
      </x:c>
      <x:c r="F10" s="31" t="n">
        <x:v>60</x:v>
      </x:c>
      <x:c r="G10" s="31" t="str">
        <x:v>Two separately numbered 30-card HS Trainer Kit half-decks.</x:v>
      </x:c>
      <x:c r="H10" s="31" t="str">
        <x:v>product_numbered_checklist</x:v>
      </x:c>
      <x:c r="I10" s="31" t="str">
        <x:v>https://bulbapedia.bulbagarden.net/wiki/HS_Trainer_Kit_(TCG)</x:v>
      </x:c>
      <x:c r="J10" s="31" t="str"/>
    </x:row>
    <x:row r="11">
      <x:c r="A11" s="31" t="n">
        <x:v>193</x:v>
      </x:c>
      <x:c r="B11" s="31" t="str">
        <x:v>en</x:v>
      </x:c>
      <x:c r="C11" s="31" t="str">
        <x:v>Sun &amp; Moon Trainer Kit: Lycanroc &amp; Alolan Raichu</x:v>
      </x:c>
      <x:c r="D11" s="31" t="str">
        <x:v>SM-TK</x:v>
      </x:c>
      <x:c r="E11" s="31" t="str">
        <x:v>Filled</x:v>
      </x:c>
      <x:c r="F11" s="31" t="n">
        <x:v>60</x:v>
      </x:c>
      <x:c r="G11" s="31" t="str">
        <x:v>Two separately numbered 30-card Sun &amp; Moon Trainer Kit half-decks.</x:v>
      </x:c>
      <x:c r="H11" s="31" t="str">
        <x:v>product_numbered_checklist</x:v>
      </x:c>
      <x:c r="I11" s="31" t="str">
        <x:v>https://bulbapedia.bulbagarden.net/wiki/Sun_%26_Moon_Trainer_Kit_(TCG)</x:v>
      </x:c>
      <x:c r="J11" s="31" t="str"/>
    </x:row>
    <x:row r="12">
      <x:c r="A12" s="31" t="n">
        <x:v>194</x:v>
      </x:c>
      <x:c r="B12" s="31" t="str">
        <x:v>en</x:v>
      </x:c>
      <x:c r="C12" s="31" t="str">
        <x:v>XY Trainer Kit: Bisharp &amp; Wigglytuff</x:v>
      </x:c>
      <x:c r="D12" s="31" t="str">
        <x:v>TK7</x:v>
      </x:c>
      <x:c r="E12" s="31" t="str">
        <x:v>Filled</x:v>
      </x:c>
      <x:c r="F12" s="31" t="n">
        <x:v>60</x:v>
      </x:c>
      <x:c r="G12" s="31" t="str">
        <x:v>Two separately numbered 30-card XY Trainer Kit half-decks.</x:v>
      </x:c>
      <x:c r="H12" s="31" t="str">
        <x:v>product_numbered_checklist</x:v>
      </x:c>
      <x:c r="I12" s="31" t="str">
        <x:v>https://bulbapedia.bulbagarden.net/wiki/XY_Trainer_Kit_(TCG)</x:v>
      </x:c>
      <x:c r="J12" s="31" t="str"/>
    </x:row>
    <x:row r="13">
      <x:c r="A13" s="31" t="n">
        <x:v>195</x:v>
      </x:c>
      <x:c r="B13" s="31" t="str">
        <x:v>en</x:v>
      </x:c>
      <x:c r="C13" s="31" t="str">
        <x:v>XY Trainer Kit: Pikachu Libre &amp; Suicune</x:v>
      </x:c>
      <x:c r="D13" s="31" t="str">
        <x:v>TK8</x:v>
      </x:c>
      <x:c r="E13" s="31" t="str">
        <x:v>Filled</x:v>
      </x:c>
      <x:c r="F13" s="31" t="n">
        <x:v>60</x:v>
      </x:c>
      <x:c r="G13" s="31" t="str">
        <x:v>Two separately numbered 30-card XY Trainer Kit half-decks.</x:v>
      </x:c>
      <x:c r="H13" s="31" t="str">
        <x:v>product_numbered_checklist</x:v>
      </x:c>
      <x:c r="I13" s="31" t="str">
        <x:v>https://bulbapedia.bulbagarden.net/wiki/XY_Trainer_Kit_(TCG)</x:v>
      </x:c>
      <x:c r="J13" s="31" t="str"/>
    </x:row>
    <x:row r="14">
      <x:c r="A14" s="31" t="n">
        <x:v>196</x:v>
      </x:c>
      <x:c r="B14" s="31" t="str">
        <x:v>en</x:v>
      </x:c>
      <x:c r="C14" s="31" t="str">
        <x:v>XY Trainer Kit: Sylveon &amp; Noivern</x:v>
      </x:c>
      <x:c r="D14" s="31" t="str">
        <x:v>TK6</x:v>
      </x:c>
      <x:c r="E14" s="31" t="str">
        <x:v>Filled</x:v>
      </x:c>
      <x:c r="F14" s="31" t="n">
        <x:v>60</x:v>
      </x:c>
      <x:c r="G14" s="31" t="str">
        <x:v>Two separately numbered 30-card XY Trainer Kit half-decks.</x:v>
      </x:c>
      <x:c r="H14" s="31" t="str">
        <x:v>product_numbered_checklist</x:v>
      </x:c>
      <x:c r="I14" s="31" t="str">
        <x:v>https://bulbapedia.bulbagarden.net/wiki/XY_Trainer_Kit_(TCG)</x:v>
      </x:c>
      <x:c r="J14" s="31" t="str"/>
    </x:row>
    <x:row r="15">
      <x:c r="A15" s="31" t="n">
        <x:v>403</x:v>
      </x:c>
      <x:c r="B15" s="31" t="str">
        <x:v>ja</x:v>
      </x:c>
      <x:c r="C15" s="31" t="str">
        <x:v>M-P Promotional cards</x:v>
      </x:c>
      <x:c r="D15" s="31" t="str">
        <x:v>M-P</x:v>
      </x:c>
      <x:c r="E15" s="31" t="str">
        <x:v>Filled</x:v>
      </x:c>
      <x:c r="F15" s="31" t="n">
        <x:v>145</x:v>
      </x:c>
      <x:c r="G15" s="31" t="str">
        <x:v>Current M-P promotional catalogue numbering extent in the source snapshot; ongoing promo series.</x:v>
      </x:c>
      <x:c r="H15" s="31" t="str">
        <x:v>promo_numbering_extent</x:v>
      </x:c>
      <x:c r="I15" s="31" t="str">
        <x:v>https://bulbapedia.bulbagarden.net/wiki/M-P_Promotional_cards_(TCG)</x:v>
      </x:c>
      <x:c r="J15" s="31" t="str"/>
    </x:row>
    <x:row r="16">
      <x:c r="A16" s="31" t="n">
        <x:v>412</x:v>
      </x:c>
      <x:c r="B16" s="31" t="str">
        <x:v>ja</x:v>
      </x:c>
      <x:c r="C16" s="31" t="str">
        <x:v>30th Celebration</x:v>
      </x:c>
      <x:c r="D16" s="31" t="str">
        <x:v>M6a</x:v>
      </x:c>
      <x:c r="E16" s="31" t="str">
        <x:v>Filled</x:v>
      </x:c>
      <x:c r="F16" s="31" t="n">
        <x:v>160</x:v>
      </x:c>
      <x:c r="G16" s="31" t="str">
        <x:v>Minimum announced 30th Celebration catalogue size (160+); stored as lower bound pending final checklist reconciliation.</x:v>
      </x:c>
      <x:c r="H16" s="31" t="str">
        <x:v>announced_lower_bound</x:v>
      </x:c>
      <x:c r="I16" s="31" t="str">
        <x:v>https://bulbapedia.bulbagarden.net/wiki/List_of_Japanese_TCG_Expansions</x:v>
      </x:c>
      <x:c r="J16" s="31" t="str"/>
    </x:row>
    <x:row r="17">
      <x:c r="A17" s="31" t="n">
        <x:v>414</x:v>
      </x:c>
      <x:c r="B17" s="31" t="str">
        <x:v>ja</x:v>
      </x:c>
      <x:c r="C17" s="31" t="str">
        <x:v>Aura Seeker</x:v>
      </x:c>
      <x:c r="D17" s="31" t="str">
        <x:v>JA-AURA</x:v>
      </x:c>
      <x:c r="E17" s="31" t="str">
        <x:v>Pending</x:v>
      </x:c>
      <x:c r="F17" s="31"/>
      <x:c r="G17" s="31" t="str">
        <x:v>No official card checklist or source reference count exists yet for Aura Seeker as of 26 September 2026.</x:v>
      </x:c>
      <x:c r="H17" s="31" t="str">
        <x:v>pending_unreleased</x:v>
      </x:c>
      <x:c r="I17" s="31" t="str">
        <x:v>https://bulbapedia.bulbagarden.net/wiki/Aura_Seeker_(TCG)</x:v>
      </x:c>
      <x:c r="J17" s="31" t="str">
        <x:v>Official release/checklist still TBD.</x:v>
      </x:c>
    </x:row>
    <x:row r="18">
      <x:c r="A18" s="31" t="n">
        <x:v>434</x:v>
      </x:c>
      <x:c r="B18" s="31" t="str">
        <x:v>ja</x:v>
      </x:c>
      <x:c r="C18" s="31" t="str">
        <x:v>Start Deck 100</x:v>
      </x:c>
      <x:c r="D18" s="31" t="str">
        <x:v>SI</x:v>
      </x:c>
      <x:c r="E18" s="31" t="str">
        <x:v>Filled</x:v>
      </x:c>
      <x:c r="F18" s="31" t="n">
        <x:v>422</x:v>
      </x:c>
      <x:c r="G18" s="31" t="str">
        <x:v>Distinct Start Deck 100 catalogue identities: 414-number denominator plus documented beyond-denominator identities; not 100×60 physical deck cards.</x:v>
      </x:c>
      <x:c r="H18" s="31" t="str">
        <x:v>secondary_numbered_checklist</x:v>
      </x:c>
      <x:c r="I18" s="31" t="str">
        <x:v>https://bulbapedia.bulbagarden.net/wiki/Start_Deck_100_(TCG)</x:v>
      </x:c>
      <x:c r="J18" s="31" t="str"/>
    </x:row>
    <x:row r="19">
      <x:c r="A19" s="31" t="n">
        <x:v>437</x:v>
      </x:c>
      <x:c r="B19" s="31" t="str">
        <x:v>ja</x:v>
      </x:c>
      <x:c r="C19" s="31" t="str">
        <x:v>Unnumbered Promotional cards</x:v>
      </x:c>
      <x:c r="D19" s="31" t="str">
        <x:v>JA-PROMO-UN</x:v>
      </x:c>
      <x:c r="E19" s="31" t="str">
        <x:v>Filled</x:v>
      </x:c>
      <x:c r="F19" s="31" t="n">
        <x:v>150</x:v>
      </x:c>
      <x:c r="G19" s="31" t="str">
        <x:v>Current secondary catalogue snapshot of distinct Japanese unnumbered promotional-card identities; ongoing open-ended promo scope.</x:v>
      </x:c>
      <x:c r="H19" s="31" t="str">
        <x:v>secondary_catalogue_snapshot</x:v>
      </x:c>
      <x:c r="I19" s="31" t="str">
        <x:v>https://www.cardtrader.com/en/pokemon/expansions</x:v>
      </x:c>
      <x:c r="J19" s="31" t="str">
        <x:v>Ongoing unnumbered promo catalogue; snapshot can increase.</x:v>
      </x:c>
    </x:row>
    <x:row r="20">
      <x:c r="A20" s="31" t="n">
        <x:v>466</x:v>
      </x:c>
      <x:c r="B20" s="31" t="str">
        <x:v>zh-CN</x:v>
      </x:c>
      <x:c r="C20" s="31" t="str">
        <x:v>Marine Shadow: Banish</x:v>
      </x:c>
      <x:c r="D20" s="31" t="str">
        <x:v>CS6b</x:v>
      </x:c>
      <x:c r="E20" s="31" t="str">
        <x:v>Filled</x:v>
      </x:c>
      <x:c r="F20" s="31" t="n">
        <x:v>173</x:v>
      </x:c>
      <x:c r="G20" s="31" t="str">
        <x:v>Distinct numbered identities for Marine Shadow: Banish in the named Simplified Chinese set scope.</x:v>
      </x:c>
      <x:c r="H20" s="31" t="str">
        <x:v>secondary_checklist</x:v>
      </x:c>
      <x:c r="I20" s="31" t="str">
        <x:v>https://bulbapedia.bulbagarden.net/wiki/Template:Simplified_Chinese_Releases</x:v>
      </x:c>
      <x:c r="J20" s="31" t="str"/>
    </x:row>
    <x:row r="21">
      <x:c r="A21" s="31" t="n">
        <x:v>467</x:v>
      </x:c>
      <x:c r="B21" s="31" t="str">
        <x:v>zh-CN</x:v>
      </x:c>
      <x:c r="C21" s="31" t="str">
        <x:v>Marine Shadow: Roar</x:v>
      </x:c>
      <x:c r="D21" s="31" t="str">
        <x:v>CS6a</x:v>
      </x:c>
      <x:c r="E21" s="31" t="str">
        <x:v>Filled</x:v>
      </x:c>
      <x:c r="F21" s="31" t="n">
        <x:v>170</x:v>
      </x:c>
      <x:c r="G21" s="31" t="str">
        <x:v>Distinct numbered identities for Marine Shadow: Roar in the named Simplified Chinese set scope.</x:v>
      </x:c>
      <x:c r="H21" s="31" t="str">
        <x:v>secondary_checklist</x:v>
      </x:c>
      <x:c r="I21" s="31" t="str">
        <x:v>https://bulbapedia.bulbagarden.net/wiki/Template:Simplified_Chinese_Releases</x:v>
      </x:c>
      <x:c r="J21" s="31" t="str"/>
    </x:row>
    <x:row r="22">
      <x:c r="A22" s="31" t="n">
        <x:v>468</x:v>
      </x:c>
      <x:c r="B22" s="31" t="str">
        <x:v>zh-CN</x:v>
      </x:c>
      <x:c r="C22" s="31" t="str">
        <x:v>Victory Lodestar</x:v>
      </x:c>
      <x:c r="D22" s="31" t="str">
        <x:v>CS6.5</x:v>
      </x:c>
      <x:c r="E22" s="31" t="str">
        <x:v>Filled</x:v>
      </x:c>
      <x:c r="F22" s="31" t="n">
        <x:v>72</x:v>
      </x:c>
      <x:c r="G22" s="31" t="str">
        <x:v>Printed/source catalogue denominator; treated as minimum because additional identities may exist beyond the stated 72.</x:v>
      </x:c>
      <x:c r="H22" s="31" t="str">
        <x:v>announced_lower_bound</x:v>
      </x:c>
      <x:c r="I22" s="31" t="str">
        <x:v>https://bulbapedia.bulbagarden.net/wiki/Template:Simplified_Chinese_Releases</x:v>
      </x:c>
      <x:c r="J22" s="31" t="str"/>
    </x:row>
    <x:row r="23">
      <x:c r="A23" s="31" t="n">
        <x:v>471</x:v>
      </x:c>
      <x:c r="B23" s="31" t="str">
        <x:v>zh-CN</x:v>
      </x:c>
      <x:c r="C23" s="31" t="str">
        <x:v>Collection 151: Journey</x:v>
      </x:c>
      <x:c r="D23" s="31" t="str">
        <x:v>151C1</x:v>
      </x:c>
      <x:c r="E23" s="31" t="str">
        <x:v>Filled</x:v>
      </x:c>
      <x:c r="F23" s="31" t="n">
        <x:v>192</x:v>
      </x:c>
      <x:c r="G23" s="31" t="str">
        <x:v>Shared Collection 151 numbered catalogue count; Journey is a pack edition and overlaps the same 192-identity catalogue.</x:v>
      </x:c>
      <x:c r="H23" s="31" t="str">
        <x:v>shared_catalogue</x:v>
      </x:c>
      <x:c r="I23" s="31" t="str">
        <x:v>https://bulbapedia.bulbagarden.net/wiki/Template:Simplified_Chinese_Releases</x:v>
      </x:c>
      <x:c r="J23" s="31" t="str"/>
    </x:row>
    <x:row r="24">
      <x:c r="A24" s="31" t="n">
        <x:v>474</x:v>
      </x:c>
      <x:c r="B24" s="31" t="str">
        <x:v>zh-CN</x:v>
      </x:c>
      <x:c r="C24" s="31" t="str">
        <x:v>Collection 151: Hope</x:v>
      </x:c>
      <x:c r="D24" s="31" t="str">
        <x:v>151C2</x:v>
      </x:c>
      <x:c r="E24" s="31" t="str">
        <x:v>Filled</x:v>
      </x:c>
      <x:c r="F24" s="31" t="n">
        <x:v>192</x:v>
      </x:c>
      <x:c r="G24" s="31" t="str">
        <x:v>Shared Collection 151 numbered catalogue count; Hope is a pack edition and overlaps the same 192-identity catalogue.</x:v>
      </x:c>
      <x:c r="H24" s="31" t="str">
        <x:v>shared_catalogue</x:v>
      </x:c>
      <x:c r="I24" s="31" t="str">
        <x:v>https://bulbapedia.bulbagarden.net/wiki/Template:Simplified_Chinese_Releases</x:v>
      </x:c>
      <x:c r="J24" s="31" t="str"/>
    </x:row>
    <x:row r="25">
      <x:c r="A25" s="31" t="n">
        <x:v>479</x:v>
      </x:c>
      <x:c r="B25" s="31" t="str">
        <x:v>zh-CN</x:v>
      </x:c>
      <x:c r="C25" s="31" t="str">
        <x:v>Collection 151: Scare</x:v>
      </x:c>
      <x:c r="D25" s="31" t="str">
        <x:v>151C3</x:v>
      </x:c>
      <x:c r="E25" s="31" t="str">
        <x:v>Filled</x:v>
      </x:c>
      <x:c r="F25" s="31" t="n">
        <x:v>192</x:v>
      </x:c>
      <x:c r="G25" s="31" t="str">
        <x:v>Shared Collection 151 numbered catalogue count; Scare is a pack edition and overlaps the same 192-identity catalogue.</x:v>
      </x:c>
      <x:c r="H25" s="31" t="str">
        <x:v>shared_catalogue</x:v>
      </x:c>
      <x:c r="I25" s="31" t="str">
        <x:v>https://bulbapedia.bulbagarden.net/wiki/Template:Simplified_Chinese_Releases</x:v>
      </x:c>
      <x:c r="J25" s="31" t="str"/>
    </x:row>
    <x:row r="26">
      <x:c r="A26" s="31" t="n">
        <x:v>482</x:v>
      </x:c>
      <x:c r="B26" s="31" t="str">
        <x:v>zh-CN</x:v>
      </x:c>
      <x:c r="C26" s="31" t="str">
        <x:v>Collection 151: Gather</x:v>
      </x:c>
      <x:c r="D26" s="31" t="str">
        <x:v>151C4</x:v>
      </x:c>
      <x:c r="E26" s="31" t="str">
        <x:v>Filled</x:v>
      </x:c>
      <x:c r="F26" s="31" t="n">
        <x:v>192</x:v>
      </x:c>
      <x:c r="G26" s="31" t="str">
        <x:v>Shared Collection 151 numbered catalogue count; Gather is a pack edition and overlaps the same 192-identity catalogue.</x:v>
      </x:c>
      <x:c r="H26" s="31" t="str">
        <x:v>shared_catalogue</x:v>
      </x:c>
      <x:c r="I26" s="31" t="str">
        <x:v>https://bulbapedia.bulbagarden.net/wiki/Template:Simplified_Chinese_Releases</x:v>
      </x:c>
      <x:c r="J26" s="31" t="str"/>
    </x:row>
    <x:row r="27">
      <x:c r="A27" s="31" t="n">
        <x:v>493</x:v>
      </x:c>
      <x:c r="B27" s="31" t="str">
        <x:v>zh-CN</x:v>
      </x:c>
      <x:c r="C27" s="31" t="str">
        <x:v>Gem Pack Vol. 6</x:v>
      </x:c>
      <x:c r="D27" s="31" t="str">
        <x:v>CBB6</x:v>
      </x:c>
      <x:c r="E27" s="31" t="str">
        <x:v>Filled</x:v>
      </x:c>
      <x:c r="F27" s="31" t="n">
        <x:v>196</x:v>
      </x:c>
      <x:c r="G27" s="31" t="str">
        <x:v>Gem Pack Vol. 6 catalogue identities in the source checklist scope.</x:v>
      </x:c>
      <x:c r="H27" s="31" t="str">
        <x:v>secondary_checklist</x:v>
      </x:c>
      <x:c r="I27" s="31" t="str">
        <x:v>https://bulbapedia.bulbagarden.net/wiki/Template:Simplified_Chinese_Releases</x:v>
      </x:c>
      <x:c r="J27" s="31" t="str"/>
    </x:row>
    <x:row r="28">
      <x:c r="A28" s="31" t="n">
        <x:v>494</x:v>
      </x:c>
      <x:c r="B28" s="31" t="str">
        <x:v>zh-CN</x:v>
      </x:c>
      <x:c r="C28" s="31" t="str">
        <x:v>30th Celebration</x:v>
      </x:c>
      <x:c r="D28" s="31" t="str">
        <x:v>30thC</x:v>
      </x:c>
      <x:c r="E28" s="31" t="str">
        <x:v>Filled</x:v>
      </x:c>
      <x:c r="F28" s="31" t="n">
        <x:v>160</x:v>
      </x:c>
      <x:c r="G28" s="31" t="str">
        <x:v>Minimum announced 30th Celebration catalogue size (160+); stored as lower bound pending final checklist.</x:v>
      </x:c>
      <x:c r="H28" s="31" t="str">
        <x:v>announced_lower_bound</x:v>
      </x:c>
      <x:c r="I28" s="31" t="str">
        <x:v>https://bulbapedia.bulbagarden.net/wiki/Template:Simplified_Chinese_Releases</x:v>
      </x:c>
      <x:c r="J28" s="31" t="str"/>
    </x:row>
    <x:row r="29">
      <x:c r="A29" s="31" t="n">
        <x:v>495</x:v>
      </x:c>
      <x:c r="B29" s="31" t="str">
        <x:v>zh-CN</x:v>
      </x:c>
      <x:c r="C29" s="31" t="str">
        <x:v>30th-P Promotional cards</x:v>
      </x:c>
      <x:c r="D29" s="31" t="str">
        <x:v>30th-P</x:v>
      </x:c>
      <x:c r="E29" s="31" t="str">
        <x:v>Filled</x:v>
      </x:c>
      <x:c r="F29" s="31" t="n">
        <x:v>31</x:v>
      </x:c>
      <x:c r="G29" s="31" t="str">
        <x:v>Current 30th-P promotional catalogue identities in source scope.</x:v>
      </x:c>
      <x:c r="H29" s="31" t="str">
        <x:v>secondary_checklist</x:v>
      </x:c>
      <x:c r="I29" s="31" t="str">
        <x:v>https://bulbapedia.bulbagarden.net/wiki/Template:Simplified_Chinese_Releases</x:v>
      </x:c>
      <x:c r="J29" s="31" t="str"/>
    </x:row>
    <x:row r="30">
      <x:c r="A30" s="31" t="n">
        <x:v>496</x:v>
      </x:c>
      <x:c r="B30" s="31" t="str">
        <x:v>zh-CN</x:v>
      </x:c>
      <x:c r="C30" s="31" t="str">
        <x:v>Dynamax Clash V Starter Decks</x:v>
      </x:c>
      <x:c r="D30" s="31" t="str">
        <x:v>CS1D</x:v>
      </x:c>
      <x:c r="E30" s="31" t="str">
        <x:v>Filled</x:v>
      </x:c>
      <x:c r="F30" s="31" t="n">
        <x:v>222</x:v>
      </x:c>
      <x:c r="G30" s="31" t="str">
        <x:v>Dynamax Clash V Starter Deck catalogue pool: numbered identities through the documented set extent; not physical deck-card quantity.</x:v>
      </x:c>
      <x:c r="H30" s="31" t="str">
        <x:v>secondary_checklist</x:v>
      </x:c>
      <x:c r="I30" s="31" t="str">
        <x:v>https://bulbapedia.bulbagarden.net/wiki/Template:Simplified_Chinese_Releases</x:v>
      </x:c>
      <x:c r="J30" s="31" t="str"/>
    </x:row>
    <x:row r="31">
      <x:c r="A31" s="31" t="n">
        <x:v>497</x:v>
      </x:c>
      <x:c r="B31" s="31" t="str">
        <x:v>zh-CN</x:v>
      </x:c>
      <x:c r="C31" s="31" t="str">
        <x:v>Gallant Galaxy V Starter Decks</x:v>
      </x:c>
      <x:c r="D31" s="31" t="str">
        <x:v>CS5D</x:v>
      </x:c>
      <x:c r="E31" s="31" t="str">
        <x:v>Filled</x:v>
      </x:c>
      <x:c r="F31" s="31" t="n">
        <x:v>163</x:v>
      </x:c>
      <x:c r="G31" s="31" t="str">
        <x:v>Gallant Galaxy V Starter Deck catalogue pool; not physical deck-card quantity.</x:v>
      </x:c>
      <x:c r="H31" s="31" t="str">
        <x:v>secondary_checklist</x:v>
      </x:c>
      <x:c r="I31" s="31" t="str">
        <x:v>https://bulbapedia.bulbagarden.net/wiki/Template:Simplified_Chinese_Releases</x:v>
      </x:c>
      <x:c r="J31" s="31" t="str"/>
    </x:row>
    <x:row r="32">
      <x:c r="A32" s="31" t="n">
        <x:v>498</x:v>
      </x:c>
      <x:c r="B32" s="31" t="str">
        <x:v>zh-CN</x:v>
      </x:c>
      <x:c r="C32" s="31" t="str">
        <x:v>M-P Promotional cards</x:v>
      </x:c>
      <x:c r="D32" s="31" t="str">
        <x:v>M-P</x:v>
      </x:c>
      <x:c r="E32" s="31" t="str">
        <x:v>Filled</x:v>
      </x:c>
      <x:c r="F32" s="31" t="n">
        <x:v>1</x:v>
      </x:c>
      <x:c r="G32" s="31" t="str">
        <x:v>Current released M-P Simplified Chinese promotional identity in the source snapshot; ongoing promo series.</x:v>
      </x:c>
      <x:c r="H32" s="31" t="str">
        <x:v>secondary_checklist</x:v>
      </x:c>
      <x:c r="I32" s="31" t="str">
        <x:v>https://bulbapedia.bulbagarden.net/wiki/Template:Simplified_Chinese_Releases</x:v>
      </x:c>
      <x:c r="J32" s="31" t="str"/>
    </x:row>
    <x:row r="33">
      <x:c r="A33" s="31" t="n">
        <x:v>499</x:v>
      </x:c>
      <x:c r="B33" s="31" t="str">
        <x:v>zh-CN</x:v>
      </x:c>
      <x:c r="C33" s="31" t="str">
        <x:v>Pokémon Card Game Battle Academy</x:v>
      </x:c>
      <x:c r="D33" s="31" t="str">
        <x:v>CSVS</x:v>
      </x:c>
      <x:c r="E33" s="31" t="str">
        <x:v>Filled</x:v>
      </x:c>
      <x:c r="F33" s="31" t="n">
        <x:v>98</x:v>
      </x:c>
      <x:c r="G33" s="31" t="str">
        <x:v>Battle Academy product-specific catalogue identities; separate from the 240 physical cards across four constructed decks.</x:v>
      </x:c>
      <x:c r="H33" s="31" t="str">
        <x:v>secondary_checklist</x:v>
      </x:c>
      <x:c r="I33" s="31" t="str">
        <x:v>https://bulbapedia.bulbagarden.net/wiki/Template:Simplified_Chinese_Releases ; https://www.pokemon.cn/tcg/</x:v>
      </x:c>
      <x:c r="J33" s="31" t="str"/>
    </x:row>
    <x:row r="34">
      <x:c r="A34" s="31" t="n">
        <x:v>500</x:v>
      </x:c>
      <x:c r="B34" s="31" t="str">
        <x:v>zh-CN</x:v>
      </x:c>
      <x:c r="C34" s="31" t="str">
        <x:v>Primordial Arts V Starter Decks</x:v>
      </x:c>
      <x:c r="D34" s="31" t="str">
        <x:v>CS3D</x:v>
      </x:c>
      <x:c r="E34" s="31" t="str">
        <x:v>Filled</x:v>
      </x:c>
      <x:c r="F34" s="31" t="n">
        <x:v>183</x:v>
      </x:c>
      <x:c r="G34" s="31" t="str">
        <x:v>Primordial Arts V Starter Deck catalogue pool; not physical deck-card quantity.</x:v>
      </x:c>
      <x:c r="H34" s="31" t="str">
        <x:v>secondary_checklist</x:v>
      </x:c>
      <x:c r="I34" s="31" t="str">
        <x:v>https://bulbapedia.bulbagarden.net/wiki/Template:Simplified_Chinese_Releases</x:v>
      </x:c>
      <x:c r="J34" s="31" t="str"/>
    </x:row>
    <x:row r="35">
      <x:c r="A35" s="31" t="n">
        <x:v>501</x:v>
      </x:c>
      <x:c r="B35" s="31" t="str">
        <x:v>zh-CN</x:v>
      </x:c>
      <x:c r="C35" s="31" t="str">
        <x:v>S-P Promotional cards</x:v>
      </x:c>
      <x:c r="D35" s="31" t="str">
        <x:v>S-P</x:v>
      </x:c>
      <x:c r="E35" s="31" t="str">
        <x:v>Filled</x:v>
      </x:c>
      <x:c r="F35" s="31" t="n">
        <x:v>180</x:v>
      </x:c>
      <x:c r="G35" s="31" t="str">
        <x:v>Current S-P Simplified Chinese promotional numbering extent; ongoing promo catalogue.</x:v>
      </x:c>
      <x:c r="H35" s="31" t="str">
        <x:v>secondary_checklist</x:v>
      </x:c>
      <x:c r="I35" s="31" t="str">
        <x:v>https://bulbapedia.bulbagarden.net/wiki/Template:Simplified_Chinese_Releases</x:v>
      </x:c>
      <x:c r="J35" s="31" t="str"/>
    </x:row>
    <x:row r="36">
      <x:c r="A36" s="31" t="n">
        <x:v>502</x:v>
      </x:c>
      <x:c r="B36" s="31" t="str">
        <x:v>zh-CN</x:v>
      </x:c>
      <x:c r="C36" s="31" t="str">
        <x:v>SM-P Promotional cards</x:v>
      </x:c>
      <x:c r="D36" s="31" t="str">
        <x:v>SM-P</x:v>
      </x:c>
      <x:c r="E36" s="31" t="str">
        <x:v>Filled</x:v>
      </x:c>
      <x:c r="F36" s="31" t="n">
        <x:v>74</x:v>
      </x:c>
      <x:c r="G36" s="31" t="str">
        <x:v>Current SM-P Simplified Chinese promotional catalogue identities in source scope.</x:v>
      </x:c>
      <x:c r="H36" s="31" t="str">
        <x:v>secondary_checklist</x:v>
      </x:c>
      <x:c r="I36" s="31" t="str">
        <x:v>https://bulbapedia.bulbagarden.net/wiki/Template:Simplified_Chinese_Releases</x:v>
      </x:c>
      <x:c r="J36" s="31" t="str"/>
    </x:row>
    <x:row r="37">
      <x:c r="A37" s="31" t="n">
        <x:v>503</x:v>
      </x:c>
      <x:c r="B37" s="31" t="str">
        <x:v>zh-CN</x:v>
      </x:c>
      <x:c r="C37" s="31" t="str">
        <x:v>SV-P Promotional cards</x:v>
      </x:c>
      <x:c r="D37" s="31" t="str">
        <x:v>SV-P</x:v>
      </x:c>
      <x:c r="E37" s="31" t="str">
        <x:v>Filled</x:v>
      </x:c>
      <x:c r="F37" s="31" t="n">
        <x:v>434</x:v>
      </x:c>
      <x:c r="G37" s="31" t="str">
        <x:v>Current SV-P promotional numbering extent; ongoing catalogue, so this is an extent/snapshot rather than a closed-set total.</x:v>
      </x:c>
      <x:c r="H37" s="31" t="str">
        <x:v>secondary_checklist</x:v>
      </x:c>
      <x:c r="I37" s="31" t="str">
        <x:v>https://bulbapedia.bulbagarden.net/wiki/Template:Simplified_Chinese_Releases</x:v>
      </x:c>
      <x:c r="J37" s="31" t="str"/>
    </x:row>
    <x:row r="38">
      <x:c r="A38" s="31" t="n">
        <x:v>504</x:v>
      </x:c>
      <x:c r="B38" s="31" t="str">
        <x:v>zh-CN</x:v>
      </x:c>
      <x:c r="C38" s="31" t="str">
        <x:v>Shining Synergy GX Starter Decks</x:v>
      </x:c>
      <x:c r="D38" s="31" t="str">
        <x:v>CSM2D</x:v>
      </x:c>
      <x:c r="E38" s="31" t="str">
        <x:v>Filled</x:v>
      </x:c>
      <x:c r="F38" s="31" t="n">
        <x:v>357</x:v>
      </x:c>
      <x:c r="G38" s="31" t="str">
        <x:v>Shining Synergy GX Starter Deck distinct numbered identities, including beyond-denominator entries.</x:v>
      </x:c>
      <x:c r="H38" s="31" t="str">
        <x:v>secondary_checklist</x:v>
      </x:c>
      <x:c r="I38" s="31" t="str">
        <x:v>https://bulbapedia.bulbagarden.net/wiki/Template:Simplified_Chinese_Releases</x:v>
      </x:c>
      <x:c r="J38" s="31" t="str"/>
    </x:row>
    <x:row r="39">
      <x:c r="A39" s="31" t="n">
        <x:v>505</x:v>
      </x:c>
      <x:c r="B39" s="31" t="str">
        <x:v>zh-CN</x:v>
      </x:c>
      <x:c r="C39" s="31" t="str">
        <x:v>Start Deck 100</x:v>
      </x:c>
      <x:c r="D39" s="31" t="str">
        <x:v>CS4Da</x:v>
      </x:c>
      <x:c r="E39" s="31" t="str">
        <x:v>Filled</x:v>
      </x:c>
      <x:c r="F39" s="31" t="n">
        <x:v>433</x:v>
      </x:c>
      <x:c r="G39" s="31" t="str">
        <x:v>Start Deck 100 Simplified Chinese catalogue identities; distinct checklist pool, not the 60-card physical deck quantity.</x:v>
      </x:c>
      <x:c r="H39" s="31" t="str">
        <x:v>secondary_checklist</x:v>
      </x:c>
      <x:c r="I39" s="31" t="str">
        <x:v>https://bulbapedia.bulbagarden.net/wiki/Template:Simplified_Chinese_Releases ; https://www.pokemon.cn/tcg/</x:v>
      </x:c>
      <x:c r="J39" s="31" t="str"/>
    </x:row>
    <x:row r="40">
      <x:c r="A40" s="31" t="n">
        <x:v>506</x:v>
      </x:c>
      <x:c r="B40" s="31" t="str">
        <x:v>zh-CN</x:v>
      </x:c>
      <x:c r="C40" s="31" t="str">
        <x:v>Storming Emergence GX Starter Decks</x:v>
      </x:c>
      <x:c r="D40" s="31" t="str">
        <x:v>CSM1D</x:v>
      </x:c>
      <x:c r="E40" s="31" t="str">
        <x:v>Filled</x:v>
      </x:c>
      <x:c r="F40" s="31" t="n">
        <x:v>336</x:v>
      </x:c>
      <x:c r="G40" s="31" t="str">
        <x:v>Storming Emergence GX Starter Deck distinct numbered catalogue identities.</x:v>
      </x:c>
      <x:c r="H40" s="31" t="str">
        <x:v>secondary_checklist</x:v>
      </x:c>
      <x:c r="I40" s="31" t="str">
        <x:v>https://bulbapedia.bulbagarden.net/wiki/Template:Simplified_Chinese_Releases ; https://www.pokemon.cn/tcg/</x:v>
      </x:c>
      <x:c r="J40" s="31" t="str"/>
    </x:row>
    <x:row r="41">
      <x:c r="A41" s="31" t="n">
        <x:v>507</x:v>
      </x:c>
      <x:c r="B41" s="31" t="str">
        <x:v>zh-TW</x:v>
      </x:c>
      <x:c r="C41" s="31" t="str">
        <x:v>Base Set</x:v>
      </x:c>
      <x:c r="D41" s="31" t="str">
        <x:v>TW-BASE</x:v>
      </x:c>
      <x:c r="E41" s="31" t="str">
        <x:v>Filled</x:v>
      </x:c>
      <x:c r="F41" s="31" t="n">
        <x:v>102</x:v>
      </x:c>
      <x:c r="G41" s="31" t="str">
        <x:v>Historical Traditional Chinese Base Set catalogue identities.</x:v>
      </x:c>
      <x:c r="H41" s="31" t="str">
        <x:v>regional_set_checklist</x:v>
      </x:c>
      <x:c r="I41" s="31" t="str">
        <x:v>https://asia.pokemon-card.com/tw/card-search/ ; https://bulbapedia.bulbagarden.net/wiki/Pok%C3%A9mon_in_Taiwan</x:v>
      </x:c>
      <x:c r="J41" s="31" t="str"/>
    </x:row>
    <x:row r="42">
      <x:c r="A42" s="31" t="n">
        <x:v>508</x:v>
      </x:c>
      <x:c r="B42" s="31" t="str">
        <x:v>zh-TW</x:v>
      </x:c>
      <x:c r="C42" s="31" t="str">
        <x:v>Pikachu World Collection — Traditional Chinese card</x:v>
      </x:c>
      <x:c r="D42" s="31" t="str">
        <x:v>TW-PWC</x:v>
      </x:c>
      <x:c r="E42" s="31" t="str">
        <x:v>Filled</x:v>
      </x:c>
      <x:c r="F42" s="31" t="n">
        <x:v>1</x:v>
      </x:c>
      <x:c r="G42" s="31" t="str">
        <x:v>Single Traditional Chinese Pikachu World Collection card identity in this row scope.</x:v>
      </x:c>
      <x:c r="H42" s="31" t="str">
        <x:v>product_numbered_checklist</x:v>
      </x:c>
      <x:c r="I42" s="31" t="str">
        <x:v>https://asia.pokemon-card.com/tw/card-search/ ; https://bulbapedia.bulbagarden.net/wiki/Pok%C3%A9mon_in_Taiwan</x:v>
      </x:c>
      <x:c r="J42" s="31" t="str"/>
    </x:row>
    <x:row r="43">
      <x:c r="A43" s="31" t="n">
        <x:v>509</x:v>
      </x:c>
      <x:c r="B43" s="31" t="str">
        <x:v>zh-TW</x:v>
      </x:c>
      <x:c r="C43" s="31" t="str">
        <x:v>EX Legend Maker</x:v>
      </x:c>
      <x:c r="D43" s="31" t="str">
        <x:v>TW-EXLM</x:v>
      </x:c>
      <x:c r="E43" s="31" t="str">
        <x:v>Filled</x:v>
      </x:c>
      <x:c r="F43" s="31" t="n">
        <x:v>93</x:v>
      </x:c>
      <x:c r="G43" s="31" t="str">
        <x:v>Traditional Chinese EX Legend Maker set identities, including the documented secret card.</x:v>
      </x:c>
      <x:c r="H43" s="31" t="str">
        <x:v>regional_set_checklist</x:v>
      </x:c>
      <x:c r="I43" s="31" t="str">
        <x:v>https://asia.pokemon-card.com/tw/card-search/ ; https://bulbapedia.bulbagarden.net/wiki/Pok%C3%A9mon_in_Taiwan</x:v>
      </x:c>
      <x:c r="J43" s="31" t="str"/>
    </x:row>
    <x:row r="44">
      <x:c r="A44" s="31" t="n">
        <x:v>510</x:v>
      </x:c>
      <x:c r="B44" s="31" t="str">
        <x:v>zh-TW</x:v>
      </x:c>
      <x:c r="C44" s="31" t="str">
        <x:v>EX Trainer Kit 2</x:v>
      </x:c>
      <x:c r="D44" s="31" t="str">
        <x:v>TW-EXTK2</x:v>
      </x:c>
      <x:c r="E44" s="31" t="str">
        <x:v>Filled</x:v>
      </x:c>
      <x:c r="F44" s="31" t="n">
        <x:v>24</x:v>
      </x:c>
      <x:c r="G44" s="31" t="str">
        <x:v>Two 12-card Trainer Kit 2 numbered half-deck checklists; not physical repeated cards.</x:v>
      </x:c>
      <x:c r="H44" s="31" t="str">
        <x:v>product_numbered_checklist</x:v>
      </x:c>
      <x:c r="I44" s="31" t="str">
        <x:v>https://asia.pokemon-card.com/tw/card-search/ ; https://bulbapedia.bulbagarden.net/wiki/Pok%C3%A9mon_in_Taiwan</x:v>
      </x:c>
      <x:c r="J44" s="31" t="str"/>
    </x:row>
    <x:row r="45">
      <x:c r="A45" s="31" t="n">
        <x:v>513</x:v>
      </x:c>
      <x:c r="B45" s="31" t="str">
        <x:v>zh-TW</x:v>
      </x:c>
      <x:c r="C45" s="31" t="str">
        <x:v>All Stars GX Starter Deck</x:v>
      </x:c>
      <x:c r="D45" s="31" t="str">
        <x:v>TW-GXSD-AS</x:v>
      </x:c>
      <x:c r="E45" s="31" t="str">
        <x:v>Filled</x:v>
      </x:c>
      <x:c r="F45" s="31" t="n">
        <x:v>157</x:v>
      </x:c>
      <x:c r="G45" s="31" t="str">
        <x:v>All Stars GX Starter Deck product-specific distinct catalogue pool; not the physical 60-card deck size.</x:v>
      </x:c>
      <x:c r="H45" s="31" t="str">
        <x:v>product_numbered_checklist</x:v>
      </x:c>
      <x:c r="I45" s="31" t="str">
        <x:v>https://asia.pokemon-card.com/tw/card-search/ ; https://bulbapedia.bulbagarden.net/wiki/Pok%C3%A9mon_in_Taiwan</x:v>
      </x:c>
      <x:c r="J45" s="31" t="str"/>
    </x:row>
    <x:row r="46">
      <x:c r="A46" s="31" t="n">
        <x:v>514</x:v>
      </x:c>
      <x:c r="B46" s="31" t="str">
        <x:v>zh-TW</x:v>
      </x:c>
      <x:c r="C46" s="31" t="str">
        <x:v>Dreams Come True Collection: Set A</x:v>
      </x:c>
      <x:c r="D46" s="31" t="str">
        <x:v>AC2a</x:v>
      </x:c>
      <x:c r="E46" s="31" t="str">
        <x:v>Filled</x:v>
      </x:c>
      <x:c r="F46" s="31" t="n">
        <x:v>226</x:v>
      </x:c>
      <x:c r="G46" s="31" t="str">
        <x:v>Dreams Come True Collection Set A distinct numbered identities; regional catch-up checklist.</x:v>
      </x:c>
      <x:c r="H46" s="31" t="str">
        <x:v>regional_set_checklist</x:v>
      </x:c>
      <x:c r="I46" s="31" t="str">
        <x:v>https://asia.pokemon-card.com/tw/card-search/ ; https://bulbapedia.bulbagarden.net/wiki/Pok%C3%A9mon_in_Taiwan</x:v>
      </x:c>
      <x:c r="J46" s="31" t="str"/>
    </x:row>
    <x:row r="47">
      <x:c r="A47" s="31" t="n">
        <x:v>515</x:v>
      </x:c>
      <x:c r="B47" s="31" t="str">
        <x:v>zh-TW</x:v>
      </x:c>
      <x:c r="C47" s="31" t="str">
        <x:v>Dreams Come True Collection: Set B</x:v>
      </x:c>
      <x:c r="D47" s="31" t="str">
        <x:v>AC2b</x:v>
      </x:c>
      <x:c r="E47" s="31" t="str">
        <x:v>Filled</x:v>
      </x:c>
      <x:c r="F47" s="31" t="n">
        <x:v>225</x:v>
      </x:c>
      <x:c r="G47" s="31" t="str">
        <x:v>Dreams Come True Collection Set B distinct numbered identities; regional catch-up checklist.</x:v>
      </x:c>
      <x:c r="H47" s="31" t="str">
        <x:v>regional_set_checklist</x:v>
      </x:c>
      <x:c r="I47" s="31" t="str">
        <x:v>https://asia.pokemon-card.com/tw/card-search/ ; https://bulbapedia.bulbagarden.net/wiki/Pok%C3%A9mon_in_Taiwan</x:v>
      </x:c>
      <x:c r="J47" s="31" t="str"/>
    </x:row>
    <x:row r="48">
      <x:c r="A48" s="31" t="n">
        <x:v>516</x:v>
      </x:c>
      <x:c r="B48" s="31" t="str">
        <x:v>zh-TW</x:v>
      </x:c>
      <x:c r="C48" s="31" t="str">
        <x:v>Dreams Come True GX Starter Deck</x:v>
      </x:c>
      <x:c r="D48" s="31" t="str">
        <x:v>TW-GXSD-DCT</x:v>
      </x:c>
      <x:c r="E48" s="31" t="str">
        <x:v>Filled</x:v>
      </x:c>
      <x:c r="F48" s="31" t="n">
        <x:v>176</x:v>
      </x:c>
      <x:c r="G48" s="31" t="str">
        <x:v>Dreams Come True GX Starter Deck product-specific catalogue pool; not physical deck quantity.</x:v>
      </x:c>
      <x:c r="H48" s="31" t="str">
        <x:v>product_numbered_checklist</x:v>
      </x:c>
      <x:c r="I48" s="31" t="str">
        <x:v>https://asia.pokemon-card.com/tw/card-search/ ; https://bulbapedia.bulbagarden.net/wiki/Pok%C3%A9mon_in_Taiwan</x:v>
      </x:c>
      <x:c r="J48" s="31" t="str"/>
    </x:row>
    <x:row r="49">
      <x:c r="A49" s="31" t="n">
        <x:v>517</x:v>
      </x:c>
      <x:c r="B49" s="31" t="str">
        <x:v>zh-TW</x:v>
      </x:c>
      <x:c r="C49" s="31" t="str">
        <x:v>Double Burst GX Starter Deck</x:v>
      </x:c>
      <x:c r="D49" s="31" t="str">
        <x:v>TW-GXSD-DB</x:v>
      </x:c>
      <x:c r="E49" s="31" t="str">
        <x:v>Filled</x:v>
      </x:c>
      <x:c r="F49" s="31" t="n">
        <x:v>169</x:v>
      </x:c>
      <x:c r="G49" s="31" t="str">
        <x:v>Double Burst GX Starter Deck product-specific catalogue pool; not physical deck quantity.</x:v>
      </x:c>
      <x:c r="H49" s="31" t="str">
        <x:v>product_numbered_checklist</x:v>
      </x:c>
      <x:c r="I49" s="31" t="str">
        <x:v>https://asia.pokemon-card.com/tw/card-search/ ; https://bulbapedia.bulbagarden.net/wiki/Pok%C3%A9mon_in_Taiwan</x:v>
      </x:c>
      <x:c r="J49" s="31" t="str"/>
    </x:row>
    <x:row r="50">
      <x:c r="A50" s="31" t="n">
        <x:v>518</x:v>
      </x:c>
      <x:c r="B50" s="31" t="str">
        <x:v>zh-TW</x:v>
      </x:c>
      <x:c r="C50" s="31" t="str">
        <x:v>Double Burst: Set A</x:v>
      </x:c>
      <x:c r="D50" s="31" t="str">
        <x:v>AS5a</x:v>
      </x:c>
      <x:c r="E50" s="31" t="str">
        <x:v>Filled</x:v>
      </x:c>
      <x:c r="F50" s="31" t="n">
        <x:v>230</x:v>
      </x:c>
      <x:c r="G50" s="31" t="str">
        <x:v>Double Burst Set A distinct numbered identities.</x:v>
      </x:c>
      <x:c r="H50" s="31" t="str">
        <x:v>regional_set_checklist</x:v>
      </x:c>
      <x:c r="I50" s="31" t="str">
        <x:v>https://asia.pokemon-card.com/tw/card-search/ ; https://bulbapedia.bulbagarden.net/wiki/Pok%C3%A9mon_in_Taiwan</x:v>
      </x:c>
      <x:c r="J50" s="31" t="str"/>
    </x:row>
    <x:row r="51">
      <x:c r="A51" s="31" t="n">
        <x:v>519</x:v>
      </x:c>
      <x:c r="B51" s="31" t="str">
        <x:v>zh-TW</x:v>
      </x:c>
      <x:c r="C51" s="31" t="str">
        <x:v>Double Burst: Set B</x:v>
      </x:c>
      <x:c r="D51" s="31" t="str">
        <x:v>AS5b</x:v>
      </x:c>
      <x:c r="E51" s="31" t="str">
        <x:v>Filled</x:v>
      </x:c>
      <x:c r="F51" s="31" t="n">
        <x:v>230</x:v>
      </x:c>
      <x:c r="G51" s="31" t="str">
        <x:v>Double Burst Set B distinct numbered identities.</x:v>
      </x:c>
      <x:c r="H51" s="31" t="str">
        <x:v>regional_set_checklist</x:v>
      </x:c>
      <x:c r="I51" s="31" t="str">
        <x:v>https://asia.pokemon-card.com/tw/card-search/ ; https://bulbapedia.bulbagarden.net/wiki/Pok%C3%A9mon_in_Taiwan</x:v>
      </x:c>
      <x:c r="J51" s="31" t="str"/>
    </x:row>
    <x:row r="52">
      <x:c r="A52" s="31" t="n">
        <x:v>520</x:v>
      </x:c>
      <x:c r="B52" s="31" t="str">
        <x:v>zh-TW</x:v>
      </x:c>
      <x:c r="C52" s="31" t="str">
        <x:v>Legendary Clash GX Starter Deck</x:v>
      </x:c>
      <x:c r="D52" s="31" t="str">
        <x:v>TW-GXSD-LC</x:v>
      </x:c>
      <x:c r="E52" s="31" t="str">
        <x:v>Filled</x:v>
      </x:c>
      <x:c r="F52" s="31" t="n">
        <x:v>168</x:v>
      </x:c>
      <x:c r="G52" s="31" t="str">
        <x:v>Legendary Clash GX Starter Deck product-specific catalogue pool.</x:v>
      </x:c>
      <x:c r="H52" s="31" t="str">
        <x:v>product_numbered_checklist</x:v>
      </x:c>
      <x:c r="I52" s="31" t="str">
        <x:v>https://asia.pokemon-card.com/tw/card-search/ ; https://bulbapedia.bulbagarden.net/wiki/Pok%C3%A9mon_in_Taiwan</x:v>
      </x:c>
      <x:c r="J52" s="31" t="str"/>
    </x:row>
    <x:row r="53">
      <x:c r="A53" s="31" t="n">
        <x:v>521</x:v>
      </x:c>
      <x:c r="B53" s="31" t="str">
        <x:v>zh-TW</x:v>
      </x:c>
      <x:c r="C53" s="31" t="str">
        <x:v>Legendary Clash: Set A</x:v>
      </x:c>
      <x:c r="D53" s="31" t="str">
        <x:v>AS6a</x:v>
      </x:c>
      <x:c r="E53" s="31" t="str">
        <x:v>Filled</x:v>
      </x:c>
      <x:c r="F53" s="31" t="n">
        <x:v>252</x:v>
      </x:c>
      <x:c r="G53" s="31" t="str">
        <x:v>Legendary Clash Set A distinct numbered identities.</x:v>
      </x:c>
      <x:c r="H53" s="31" t="str">
        <x:v>regional_set_checklist</x:v>
      </x:c>
      <x:c r="I53" s="31" t="str">
        <x:v>https://asia.pokemon-card.com/tw/card-search/ ; https://bulbapedia.bulbagarden.net/wiki/Pok%C3%A9mon_in_Taiwan</x:v>
      </x:c>
      <x:c r="J53" s="31" t="str"/>
    </x:row>
    <x:row r="54">
      <x:c r="A54" s="31" t="n">
        <x:v>522</x:v>
      </x:c>
      <x:c r="B54" s="31" t="str">
        <x:v>zh-TW</x:v>
      </x:c>
      <x:c r="C54" s="31" t="str">
        <x:v>Legendary Clash: Set B</x:v>
      </x:c>
      <x:c r="D54" s="31" t="str">
        <x:v>AS6b</x:v>
      </x:c>
      <x:c r="E54" s="31" t="str">
        <x:v>Filled</x:v>
      </x:c>
      <x:c r="F54" s="31" t="n">
        <x:v>252</x:v>
      </x:c>
      <x:c r="G54" s="31" t="str">
        <x:v>Legendary Clash Set B distinct numbered identities.</x:v>
      </x:c>
      <x:c r="H54" s="31" t="str">
        <x:v>regional_set_checklist</x:v>
      </x:c>
      <x:c r="I54" s="31" t="str">
        <x:v>https://asia.pokemon-card.com/tw/card-search/ ; https://bulbapedia.bulbagarden.net/wiki/Pok%C3%A9mon_in_Taiwan</x:v>
      </x:c>
      <x:c r="J54" s="31" t="str"/>
    </x:row>
    <x:row r="55">
      <x:c r="A55" s="31" t="n">
        <x:v>523</x:v>
      </x:c>
      <x:c r="B55" s="31" t="str">
        <x:v>zh-TW</x:v>
      </x:c>
      <x:c r="C55" s="31" t="str">
        <x:v>Sword &amp; Shield V Starter Deck</x:v>
      </x:c>
      <x:c r="D55" s="31" t="str">
        <x:v>TW-VSD-SS</x:v>
      </x:c>
      <x:c r="E55" s="31" t="str">
        <x:v>Filled</x:v>
      </x:c>
      <x:c r="F55" s="31" t="n">
        <x:v>164</x:v>
      </x:c>
      <x:c r="G55" s="31" t="str">
        <x:v>Sword &amp; Shield V Starter Deck product-specific catalogue pool.</x:v>
      </x:c>
      <x:c r="H55" s="31" t="str">
        <x:v>product_numbered_checklist</x:v>
      </x:c>
      <x:c r="I55" s="31" t="str">
        <x:v>https://asia.pokemon-card.com/tw/card-search/ ; https://bulbapedia.bulbagarden.net/wiki/Pok%C3%A9mon_in_Taiwan</x:v>
      </x:c>
      <x:c r="J55" s="31" t="str"/>
    </x:row>
    <x:row r="56">
      <x:c r="A56" s="31" t="n">
        <x:v>524</x:v>
      </x:c>
      <x:c r="B56" s="31" t="str">
        <x:v>zh-TW</x:v>
      </x:c>
      <x:c r="C56" s="31" t="str">
        <x:v>Sword &amp; Shield: Set A</x:v>
      </x:c>
      <x:c r="D56" s="31" t="str">
        <x:v>SC1a</x:v>
      </x:c>
      <x:c r="E56" s="31" t="str">
        <x:v>Filled</x:v>
      </x:c>
      <x:c r="F56" s="31" t="n">
        <x:v>187</x:v>
      </x:c>
      <x:c r="G56" s="31" t="str">
        <x:v>Sword &amp; Shield Set A distinct numbered identities.</x:v>
      </x:c>
      <x:c r="H56" s="31" t="str">
        <x:v>regional_set_checklist</x:v>
      </x:c>
      <x:c r="I56" s="31" t="str">
        <x:v>https://asia.pokemon-card.com/tw/card-search/ ; https://bulbapedia.bulbagarden.net/wiki/Pok%C3%A9mon_in_Taiwan</x:v>
      </x:c>
      <x:c r="J56" s="31" t="str"/>
    </x:row>
    <x:row r="57">
      <x:c r="A57" s="31" t="n">
        <x:v>525</x:v>
      </x:c>
      <x:c r="B57" s="31" t="str">
        <x:v>zh-TW</x:v>
      </x:c>
      <x:c r="C57" s="31" t="str">
        <x:v>Sword &amp; Shield: Set B</x:v>
      </x:c>
      <x:c r="D57" s="31" t="str">
        <x:v>SC1b</x:v>
      </x:c>
      <x:c r="E57" s="31" t="str">
        <x:v>Filled</x:v>
      </x:c>
      <x:c r="F57" s="31" t="n">
        <x:v>187</x:v>
      </x:c>
      <x:c r="G57" s="31" t="str">
        <x:v>Sword &amp; Shield Set B distinct numbered identities.</x:v>
      </x:c>
      <x:c r="H57" s="31" t="str">
        <x:v>regional_set_checklist</x:v>
      </x:c>
      <x:c r="I57" s="31" t="str">
        <x:v>https://asia.pokemon-card.com/tw/card-search/ ; https://bulbapedia.bulbagarden.net/wiki/Pok%C3%A9mon_in_Taiwan</x:v>
      </x:c>
      <x:c r="J57" s="31" t="str"/>
    </x:row>
    <x:row r="58">
      <x:c r="A58" s="31" t="n">
        <x:v>526</x:v>
      </x:c>
      <x:c r="B58" s="31" t="str">
        <x:v>zh-TW</x:v>
      </x:c>
      <x:c r="C58" s="31" t="str">
        <x:v>Infinite Power V Starter Deck</x:v>
      </x:c>
      <x:c r="D58" s="31" t="str">
        <x:v>TW-VSD-IP</x:v>
      </x:c>
      <x:c r="E58" s="31" t="str">
        <x:v>Filled</x:v>
      </x:c>
      <x:c r="F58" s="31" t="n">
        <x:v>157</x:v>
      </x:c>
      <x:c r="G58" s="31" t="str">
        <x:v>Infinite Power V Starter Deck product-specific catalogue pool.</x:v>
      </x:c>
      <x:c r="H58" s="31" t="str">
        <x:v>product_numbered_checklist</x:v>
      </x:c>
      <x:c r="I58" s="31" t="str">
        <x:v>https://asia.pokemon-card.com/tw/card-search/ ; https://bulbapedia.bulbagarden.net/wiki/Pok%C3%A9mon_in_Taiwan</x:v>
      </x:c>
      <x:c r="J58" s="31" t="str"/>
    </x:row>
    <x:row r="59">
      <x:c r="A59" s="31" t="n">
        <x:v>527</x:v>
      </x:c>
      <x:c r="B59" s="31" t="str">
        <x:v>zh-TW</x:v>
      </x:c>
      <x:c r="C59" s="31" t="str">
        <x:v>Infinite Power: Set A</x:v>
      </x:c>
      <x:c r="D59" s="31" t="str">
        <x:v>SC2a</x:v>
      </x:c>
      <x:c r="E59" s="31" t="str">
        <x:v>Filled</x:v>
      </x:c>
      <x:c r="F59" s="31" t="n">
        <x:v>170</x:v>
      </x:c>
      <x:c r="G59" s="31" t="str">
        <x:v>Infinite Power Set A distinct numbered identities.</x:v>
      </x:c>
      <x:c r="H59" s="31" t="str">
        <x:v>regional_set_checklist</x:v>
      </x:c>
      <x:c r="I59" s="31" t="str">
        <x:v>https://asia.pokemon-card.com/tw/card-search/ ; https://bulbapedia.bulbagarden.net/wiki/Pok%C3%A9mon_in_Taiwan</x:v>
      </x:c>
      <x:c r="J59" s="31" t="str"/>
    </x:row>
    <x:row r="60">
      <x:c r="A60" s="31" t="n">
        <x:v>528</x:v>
      </x:c>
      <x:c r="B60" s="31" t="str">
        <x:v>zh-TW</x:v>
      </x:c>
      <x:c r="C60" s="31" t="str">
        <x:v>Infinite Power: Set B</x:v>
      </x:c>
      <x:c r="D60" s="31" t="str">
        <x:v>SC2b</x:v>
      </x:c>
      <x:c r="E60" s="31" t="str">
        <x:v>Filled</x:v>
      </x:c>
      <x:c r="F60" s="31" t="n">
        <x:v>172</x:v>
      </x:c>
      <x:c r="G60" s="31" t="str">
        <x:v>Infinite Power Set B distinct numbered identities.</x:v>
      </x:c>
      <x:c r="H60" s="31" t="str">
        <x:v>regional_set_checklist</x:v>
      </x:c>
      <x:c r="I60" s="31" t="str">
        <x:v>https://asia.pokemon-card.com/tw/card-search/ ; https://bulbapedia.bulbagarden.net/wiki/Pok%C3%A9mon_in_Taiwan</x:v>
      </x:c>
      <x:c r="J60" s="31" t="str"/>
    </x:row>
    <x:row r="61">
      <x:c r="A61" s="31" t="n">
        <x:v>529</x:v>
      </x:c>
      <x:c r="B61" s="31" t="str">
        <x:v>zh-TW</x:v>
      </x:c>
      <x:c r="C61" s="31" t="str">
        <x:v>Amazing Volt Tackle</x:v>
      </x:c>
      <x:c r="D61" s="31" t="str">
        <x:v>S4</x:v>
      </x:c>
      <x:c r="E61" s="31" t="str">
        <x:v>Filled</x:v>
      </x:c>
      <x:c r="F61" s="31" t="n">
        <x:v>121</x:v>
      </x:c>
      <x:c r="G61" s="31" t="str">
        <x:v>Traditional Chinese release uses the synchronized Japanese card identities and numbering for this set; reference count inherited from the matching Japanese checklist.</x:v>
      </x:c>
      <x:c r="H61" s="31" t="str">
        <x:v>synchronized_same_numbering</x:v>
      </x:c>
      <x:c r="I61" s="31" t="str">
        <x:v>https://bulbapedia.bulbagarden.net/wiki/Pok%C3%A9mon_in_Taiwan ; https://asia.pokemon-card.com/tw/card-search/</x:v>
      </x:c>
      <x:c r="J61" s="31" t="str"/>
    </x:row>
    <x:row r="62">
      <x:c r="A62" s="31" t="n">
        <x:v>530</x:v>
      </x:c>
      <x:c r="B62" s="31" t="str">
        <x:v>zh-TW</x:v>
      </x:c>
      <x:c r="C62" s="31" t="str">
        <x:v>Shiny Star V</x:v>
      </x:c>
      <x:c r="D62" s="31" t="str">
        <x:v>S4a</x:v>
      </x:c>
      <x:c r="E62" s="31" t="str">
        <x:v>Filled</x:v>
      </x:c>
      <x:c r="F62" s="31" t="n">
        <x:v>330</x:v>
      </x:c>
      <x:c r="G62" s="31" t="str">
        <x:v>Traditional Chinese release uses the synchronized Japanese card identities and numbering for this set; reference count inherited from the matching Japanese checklist.</x:v>
      </x:c>
      <x:c r="H62" s="31" t="str">
        <x:v>synchronized_same_numbering</x:v>
      </x:c>
      <x:c r="I62" s="31" t="str">
        <x:v>https://bulbapedia.bulbagarden.net/wiki/Pok%C3%A9mon_in_Taiwan ; https://asia.pokemon-card.com/tw/card-search/</x:v>
      </x:c>
      <x:c r="J62" s="31" t="str"/>
    </x:row>
    <x:row r="63">
      <x:c r="A63" s="31" t="n">
        <x:v>531</x:v>
      </x:c>
      <x:c r="B63" s="31" t="str">
        <x:v>zh-TW</x:v>
      </x:c>
      <x:c r="C63" s="31" t="str">
        <x:v>V Starter Deck: Partner</x:v>
      </x:c>
      <x:c r="D63" s="31" t="str">
        <x:v>TW-VSD-PARTNER</x:v>
      </x:c>
      <x:c r="E63" s="31" t="str">
        <x:v>Filled</x:v>
      </x:c>
      <x:c r="F63" s="31" t="n">
        <x:v>135</x:v>
      </x:c>
      <x:c r="G63" s="31" t="str">
        <x:v>V Starter Deck: Partner product-specific catalogue pool.</x:v>
      </x:c>
      <x:c r="H63" s="31" t="str">
        <x:v>product_numbered_checklist</x:v>
      </x:c>
      <x:c r="I63" s="31" t="str">
        <x:v>https://asia.pokemon-card.com/tw/card-search/ ; https://bulbapedia.bulbagarden.net/wiki/Pok%C3%A9mon_in_Taiwan</x:v>
      </x:c>
      <x:c r="J63" s="31" t="str"/>
    </x:row>
    <x:row r="64">
      <x:c r="A64" s="31" t="n">
        <x:v>532</x:v>
      </x:c>
      <x:c r="B64" s="31" t="str">
        <x:v>zh-TW</x:v>
      </x:c>
      <x:c r="C64" s="31" t="str">
        <x:v>Rapid Strike Master</x:v>
      </x:c>
      <x:c r="D64" s="31" t="str">
        <x:v>S5R</x:v>
      </x:c>
      <x:c r="E64" s="31" t="str">
        <x:v>Filled</x:v>
      </x:c>
      <x:c r="F64" s="31" t="n">
        <x:v>91</x:v>
      </x:c>
      <x:c r="G64" s="31" t="str">
        <x:v>Traditional Chinese release uses the synchronized Japanese card identities and numbering for this set; reference count inherited from the matching Japanese checklist.</x:v>
      </x:c>
      <x:c r="H64" s="31" t="str">
        <x:v>synchronized_same_numbering</x:v>
      </x:c>
      <x:c r="I64" s="31" t="str">
        <x:v>https://bulbapedia.bulbagarden.net/wiki/Pok%C3%A9mon_in_Taiwan ; https://asia.pokemon-card.com/tw/card-search/</x:v>
      </x:c>
      <x:c r="J64" s="31" t="str"/>
    </x:row>
    <x:row r="65">
      <x:c r="A65" s="31" t="n">
        <x:v>533</x:v>
      </x:c>
      <x:c r="B65" s="31" t="str">
        <x:v>zh-TW</x:v>
      </x:c>
      <x:c r="C65" s="31" t="str">
        <x:v>Single Strike Master</x:v>
      </x:c>
      <x:c r="D65" s="31" t="str">
        <x:v>S5I</x:v>
      </x:c>
      <x:c r="E65" s="31" t="str">
        <x:v>Filled</x:v>
      </x:c>
      <x:c r="F65" s="31" t="n">
        <x:v>91</x:v>
      </x:c>
      <x:c r="G65" s="31" t="str">
        <x:v>Traditional Chinese release uses the synchronized Japanese card identities and numbering for this set; reference count inherited from the matching Japanese checklist.</x:v>
      </x:c>
      <x:c r="H65" s="31" t="str">
        <x:v>synchronized_same_numbering</x:v>
      </x:c>
      <x:c r="I65" s="31" t="str">
        <x:v>https://bulbapedia.bulbagarden.net/wiki/Pok%C3%A9mon_in_Taiwan ; https://asia.pokemon-card.com/tw/card-search/</x:v>
      </x:c>
      <x:c r="J65" s="31" t="str"/>
    </x:row>
    <x:row r="66">
      <x:c r="A66" s="31" t="n">
        <x:v>534</x:v>
      </x:c>
      <x:c r="B66" s="31" t="str">
        <x:v>zh-TW</x:v>
      </x:c>
      <x:c r="C66" s="31" t="str">
        <x:v>V Starter Deck: Challenge</x:v>
      </x:c>
      <x:c r="D66" s="31" t="str">
        <x:v>TW-VSD-CHALLENGE</x:v>
      </x:c>
      <x:c r="E66" s="31" t="str">
        <x:v>Filled</x:v>
      </x:c>
      <x:c r="F66" s="31" t="n">
        <x:v>156</x:v>
      </x:c>
      <x:c r="G66" s="31" t="str">
        <x:v>V Starter Deck: Challenge product-specific catalogue pool.</x:v>
      </x:c>
      <x:c r="H66" s="31" t="str">
        <x:v>product_numbered_checklist</x:v>
      </x:c>
      <x:c r="I66" s="31" t="str">
        <x:v>https://asia.pokemon-card.com/tw/card-search/ ; https://bulbapedia.bulbagarden.net/wiki/Pok%C3%A9mon_in_Taiwan</x:v>
      </x:c>
      <x:c r="J66" s="31" t="str"/>
    </x:row>
    <x:row r="67">
      <x:c r="A67" s="31" t="n">
        <x:v>536</x:v>
      </x:c>
      <x:c r="B67" s="31" t="str">
        <x:v>zh-TW</x:v>
      </x:c>
      <x:c r="C67" s="31" t="str">
        <x:v>Jet-Black Spirit</x:v>
      </x:c>
      <x:c r="D67" s="31" t="str">
        <x:v>S6K</x:v>
      </x:c>
      <x:c r="E67" s="31" t="str">
        <x:v>Filled</x:v>
      </x:c>
      <x:c r="F67" s="31" t="n">
        <x:v>95</x:v>
      </x:c>
      <x:c r="G67" s="31" t="str">
        <x:v>Traditional Chinese release uses the synchronized Japanese card identities and numbering for this set; reference count inherited from the matching Japanese checklist.</x:v>
      </x:c>
      <x:c r="H67" s="31" t="str">
        <x:v>synchronized_same_numbering</x:v>
      </x:c>
      <x:c r="I67" s="31" t="str">
        <x:v>https://bulbapedia.bulbagarden.net/wiki/Pok%C3%A9mon_in_Taiwan ; https://asia.pokemon-card.com/tw/card-search/</x:v>
      </x:c>
      <x:c r="J67" s="31" t="str"/>
    </x:row>
    <x:row r="68">
      <x:c r="A68" s="31" t="n">
        <x:v>537</x:v>
      </x:c>
      <x:c r="B68" s="31" t="str">
        <x:v>zh-TW</x:v>
      </x:c>
      <x:c r="C68" s="31" t="str">
        <x:v>Silver Lance</x:v>
      </x:c>
      <x:c r="D68" s="31" t="str">
        <x:v>S6H</x:v>
      </x:c>
      <x:c r="E68" s="31" t="str">
        <x:v>Filled</x:v>
      </x:c>
      <x:c r="F68" s="31" t="n">
        <x:v>95</x:v>
      </x:c>
      <x:c r="G68" s="31" t="str">
        <x:v>Traditional Chinese release uses the synchronized Japanese card identities and numbering for this set; reference count inherited from the matching Japanese checklist.</x:v>
      </x:c>
      <x:c r="H68" s="31" t="str">
        <x:v>synchronized_same_numbering</x:v>
      </x:c>
      <x:c r="I68" s="31" t="str">
        <x:v>https://bulbapedia.bulbagarden.net/wiki/Pok%C3%A9mon_in_Taiwan ; https://asia.pokemon-card.com/tw/card-search/</x:v>
      </x:c>
      <x:c r="J68" s="31" t="str"/>
    </x:row>
    <x:row r="69">
      <x:c r="A69" s="31" t="n">
        <x:v>538</x:v>
      </x:c>
      <x:c r="B69" s="31" t="str">
        <x:v>zh-TW</x:v>
      </x:c>
      <x:c r="C69" s="31" t="str">
        <x:v>Eevee Heroes</x:v>
      </x:c>
      <x:c r="D69" s="31" t="str">
        <x:v>S6a</x:v>
      </x:c>
      <x:c r="E69" s="31" t="str">
        <x:v>Filled</x:v>
      </x:c>
      <x:c r="F69" s="31" t="n">
        <x:v>101</x:v>
      </x:c>
      <x:c r="G69" s="31" t="str">
        <x:v>Traditional Chinese release uses the synchronized Japanese card identities and numbering for this set; reference count inherited from the matching Japanese checklist.</x:v>
      </x:c>
      <x:c r="H69" s="31" t="str">
        <x:v>synchronized_same_numbering</x:v>
      </x:c>
      <x:c r="I69" s="31" t="str">
        <x:v>https://bulbapedia.bulbagarden.net/wiki/Pok%C3%A9mon_in_Taiwan ; https://asia.pokemon-card.com/tw/card-search/</x:v>
      </x:c>
      <x:c r="J69" s="31" t="str"/>
    </x:row>
    <x:row r="70">
      <x:c r="A70" s="31" t="n">
        <x:v>539</x:v>
      </x:c>
      <x:c r="B70" s="31" t="str">
        <x:v>zh-TW</x:v>
      </x:c>
      <x:c r="C70" s="31" t="str">
        <x:v>V Starter Deck: Evolution</x:v>
      </x:c>
      <x:c r="D70" s="31" t="str">
        <x:v>TW-VSD-EVOLUTION</x:v>
      </x:c>
      <x:c r="E70" s="31" t="str">
        <x:v>Filled</x:v>
      </x:c>
      <x:c r="F70" s="31" t="n">
        <x:v>171</x:v>
      </x:c>
      <x:c r="G70" s="31" t="str">
        <x:v>V Starter Deck: Evolution distinct printed identities; one nominal numbering slot is not a separate printed identity in the reconciled checklist.</x:v>
      </x:c>
      <x:c r="H70" s="31" t="str">
        <x:v>product_numbered_checklist</x:v>
      </x:c>
      <x:c r="I70" s="31" t="str">
        <x:v>https://asia.pokemon-card.com/tw/card-search/ ; https://bulbapedia.bulbagarden.net/wiki/Pok%C3%A9mon_in_Taiwan</x:v>
      </x:c>
      <x:c r="J70" s="31" t="str"/>
    </x:row>
    <x:row r="71">
      <x:c r="A71" s="31" t="n">
        <x:v>540</x:v>
      </x:c>
      <x:c r="B71" s="31" t="str">
        <x:v>zh-TW</x:v>
      </x:c>
      <x:c r="C71" s="31" t="str">
        <x:v>Blue Sky Stream</x:v>
      </x:c>
      <x:c r="D71" s="31" t="str">
        <x:v>S7R</x:v>
      </x:c>
      <x:c r="E71" s="31" t="str">
        <x:v>Filled</x:v>
      </x:c>
      <x:c r="F71" s="31" t="n">
        <x:v>90</x:v>
      </x:c>
      <x:c r="G71" s="31" t="str">
        <x:v>Traditional Chinese release uses the synchronized Japanese card identities and numbering for this set; reference count inherited from the matching Japanese checklist.</x:v>
      </x:c>
      <x:c r="H71" s="31" t="str">
        <x:v>synchronized_same_numbering</x:v>
      </x:c>
      <x:c r="I71" s="31" t="str">
        <x:v>https://bulbapedia.bulbagarden.net/wiki/Pok%C3%A9mon_in_Taiwan ; https://asia.pokemon-card.com/tw/card-search/</x:v>
      </x:c>
      <x:c r="J71" s="31" t="str"/>
    </x:row>
    <x:row r="72">
      <x:c r="A72" s="31" t="n">
        <x:v>541</x:v>
      </x:c>
      <x:c r="B72" s="31" t="str">
        <x:v>zh-TW</x:v>
      </x:c>
      <x:c r="C72" s="31" t="str">
        <x:v>Skyscraping Perfection</x:v>
      </x:c>
      <x:c r="D72" s="31" t="str">
        <x:v>S7D</x:v>
      </x:c>
      <x:c r="E72" s="31" t="str">
        <x:v>Filled</x:v>
      </x:c>
      <x:c r="F72" s="31" t="n">
        <x:v>90</x:v>
      </x:c>
      <x:c r="G72" s="31" t="str">
        <x:v>Traditional Chinese release uses the synchronized Japanese card identities and numbering for this set; reference count inherited from the matching Japanese checklist.</x:v>
      </x:c>
      <x:c r="H72" s="31" t="str">
        <x:v>synchronized_same_numbering</x:v>
      </x:c>
      <x:c r="I72" s="31" t="str">
        <x:v>https://bulbapedia.bulbagarden.net/wiki/Pok%C3%A9mon_in_Taiwan ; https://asia.pokemon-card.com/tw/card-search/</x:v>
      </x:c>
      <x:c r="J72" s="31" t="str"/>
    </x:row>
    <x:row r="73">
      <x:c r="A73" s="31" t="n">
        <x:v>542</x:v>
      </x:c>
      <x:c r="B73" s="31" t="str">
        <x:v>zh-TW</x:v>
      </x:c>
      <x:c r="C73" s="31" t="str">
        <x:v>Family Pokémon Card Game</x:v>
      </x:c>
      <x:c r="D73" s="31" t="str">
        <x:v>TW-FAMILY</x:v>
      </x:c>
      <x:c r="E73" s="31" t="str">
        <x:v>Filled</x:v>
      </x:c>
      <x:c r="F73" s="31" t="n">
        <x:v>78</x:v>
      </x:c>
      <x:c r="G73" s="31" t="str">
        <x:v>Family Pokémon Card Game product-specific distinct catalogue identities.</x:v>
      </x:c>
      <x:c r="H73" s="31" t="str">
        <x:v>product_numbered_checklist</x:v>
      </x:c>
      <x:c r="I73" s="31" t="str">
        <x:v>https://asia.pokemon-card.com/tw/card-search/ ; https://bulbapedia.bulbagarden.net/wiki/Pok%C3%A9mon_in_Taiwan</x:v>
      </x:c>
      <x:c r="J73" s="31" t="str"/>
    </x:row>
    <x:row r="74">
      <x:c r="A74" s="31" t="n">
        <x:v>543</x:v>
      </x:c>
      <x:c r="B74" s="31" t="str">
        <x:v>zh-TW</x:v>
      </x:c>
      <x:c r="C74" s="31" t="str">
        <x:v>Greninja V-UNION</x:v>
      </x:c>
      <x:c r="D74" s="31" t="str">
        <x:v>TW-VUN-GREN</x:v>
      </x:c>
      <x:c r="E74" s="31" t="str">
        <x:v>Filled</x:v>
      </x:c>
      <x:c r="F74" s="31" t="n">
        <x:v>5</x:v>
      </x:c>
      <x:c r="G74" s="31" t="str">
        <x:v>Greninja V-UNION product identities: four V-UNION pieces plus the product-specific supporting identity in the checklist scope.</x:v>
      </x:c>
      <x:c r="H74" s="31" t="str">
        <x:v>product_numbered_checklist</x:v>
      </x:c>
      <x:c r="I74" s="31" t="str">
        <x:v>https://asia.pokemon-card.com/tw/card-search/ ; https://bulbapedia.bulbagarden.net/wiki/Pok%C3%A9mon_in_Taiwan</x:v>
      </x:c>
      <x:c r="J74" s="31" t="str"/>
    </x:row>
    <x:row r="75">
      <x:c r="A75" s="31" t="n">
        <x:v>544</x:v>
      </x:c>
      <x:c r="B75" s="31" t="str">
        <x:v>zh-TW</x:v>
      </x:c>
      <x:c r="C75" s="31" t="str">
        <x:v>Mewtwo V-UNION</x:v>
      </x:c>
      <x:c r="D75" s="31" t="str">
        <x:v>TW-VUN-MEWTWO</x:v>
      </x:c>
      <x:c r="E75" s="31" t="str">
        <x:v>Filled</x:v>
      </x:c>
      <x:c r="F75" s="31" t="n">
        <x:v>5</x:v>
      </x:c>
      <x:c r="G75" s="31" t="str">
        <x:v>Mewtwo V-UNION product identities: four V-UNION pieces plus the product-specific supporting identity in the checklist scope.</x:v>
      </x:c>
      <x:c r="H75" s="31" t="str">
        <x:v>product_numbered_checklist</x:v>
      </x:c>
      <x:c r="I75" s="31" t="str">
        <x:v>https://asia.pokemon-card.com/tw/card-search/ ; https://bulbapedia.bulbagarden.net/wiki/Pok%C3%A9mon_in_Taiwan</x:v>
      </x:c>
      <x:c r="J75" s="31" t="str"/>
    </x:row>
    <x:row r="76">
      <x:c r="A76" s="31" t="n">
        <x:v>545</x:v>
      </x:c>
      <x:c r="B76" s="31" t="str">
        <x:v>zh-TW</x:v>
      </x:c>
      <x:c r="C76" s="31" t="str">
        <x:v>Zacian V-UNION</x:v>
      </x:c>
      <x:c r="D76" s="31" t="str">
        <x:v>TW-VUN-ZACIAN</x:v>
      </x:c>
      <x:c r="E76" s="31" t="str">
        <x:v>Filled</x:v>
      </x:c>
      <x:c r="F76" s="31" t="n">
        <x:v>5</x:v>
      </x:c>
      <x:c r="G76" s="31" t="str">
        <x:v>Zacian V-UNION product identities: four V-UNION pieces plus the product-specific supporting identity in the checklist scope.</x:v>
      </x:c>
      <x:c r="H76" s="31" t="str">
        <x:v>product_numbered_checklist</x:v>
      </x:c>
      <x:c r="I76" s="31" t="str">
        <x:v>https://asia.pokemon-card.com/tw/card-search/ ; https://bulbapedia.bulbagarden.net/wiki/Pok%C3%A9mon_in_Taiwan</x:v>
      </x:c>
      <x:c r="J76" s="31" t="str"/>
    </x:row>
    <x:row r="77">
      <x:c r="A77" s="31" t="n">
        <x:v>546</x:v>
      </x:c>
      <x:c r="B77" s="31" t="str">
        <x:v>zh-TW</x:v>
      </x:c>
      <x:c r="C77" s="31" t="str">
        <x:v>Fusion Arts</x:v>
      </x:c>
      <x:c r="D77" s="31" t="str">
        <x:v>S8</x:v>
      </x:c>
      <x:c r="E77" s="31" t="str">
        <x:v>Filled</x:v>
      </x:c>
      <x:c r="F77" s="31" t="n">
        <x:v>129</x:v>
      </x:c>
      <x:c r="G77" s="31" t="str">
        <x:v>Traditional Chinese release uses the synchronized Japanese card identities and numbering for this set; reference count inherited from the matching Japanese checklist.</x:v>
      </x:c>
      <x:c r="H77" s="31" t="str">
        <x:v>synchronized_same_numbering</x:v>
      </x:c>
      <x:c r="I77" s="31" t="str">
        <x:v>https://bulbapedia.bulbagarden.net/wiki/Pok%C3%A9mon_in_Taiwan ; https://asia.pokemon-card.com/tw/card-search/</x:v>
      </x:c>
      <x:c r="J77" s="31" t="str"/>
    </x:row>
    <x:row r="78">
      <x:c r="A78" s="31" t="n">
        <x:v>547</x:v>
      </x:c>
      <x:c r="B78" s="31" t="str">
        <x:v>zh-TW</x:v>
      </x:c>
      <x:c r="C78" s="31" t="str">
        <x:v>V Starter Deck: Power</x:v>
      </x:c>
      <x:c r="D78" s="31" t="str">
        <x:v>TW-VSD-POWER</x:v>
      </x:c>
      <x:c r="E78" s="31" t="str">
        <x:v>Filled</x:v>
      </x:c>
      <x:c r="F78" s="31" t="n">
        <x:v>159</x:v>
      </x:c>
      <x:c r="G78" s="31" t="str">
        <x:v>V Starter Deck: Power product-specific catalogue pool.</x:v>
      </x:c>
      <x:c r="H78" s="31" t="str">
        <x:v>product_numbered_checklist</x:v>
      </x:c>
      <x:c r="I78" s="31" t="str">
        <x:v>https://asia.pokemon-card.com/tw/card-search/ ; https://bulbapedia.bulbagarden.net/wiki/Pok%C3%A9mon_in_Taiwan</x:v>
      </x:c>
      <x:c r="J78" s="31" t="str"/>
    </x:row>
    <x:row r="79">
      <x:c r="A79" s="31" t="n">
        <x:v>548</x:v>
      </x:c>
      <x:c r="B79" s="31" t="str">
        <x:v>zh-TW</x:v>
      </x:c>
      <x:c r="C79" s="31" t="str">
        <x:v>25th Anniversary Collection</x:v>
      </x:c>
      <x:c r="D79" s="31" t="str">
        <x:v>S8a</x:v>
      </x:c>
      <x:c r="E79" s="31" t="str">
        <x:v>Filled</x:v>
      </x:c>
      <x:c r="F79" s="31" t="n">
        <x:v>30</x:v>
      </x:c>
      <x:c r="G79" s="31" t="str">
        <x:v>Traditional Chinese release uses the synchronized Japanese card identities and numbering for this set; reference count inherited from the matching Japanese checklist.</x:v>
      </x:c>
      <x:c r="H79" s="31" t="str">
        <x:v>synchronized_same_numbering</x:v>
      </x:c>
      <x:c r="I79" s="31" t="str">
        <x:v>https://bulbapedia.bulbagarden.net/wiki/Pok%C3%A9mon_in_Taiwan ; https://asia.pokemon-card.com/tw/card-search/</x:v>
      </x:c>
      <x:c r="J79" s="31" t="str"/>
    </x:row>
    <x:row r="80">
      <x:c r="A80" s="31" t="n">
        <x:v>549</x:v>
      </x:c>
      <x:c r="B80" s="31" t="str">
        <x:v>zh-TW</x:v>
      </x:c>
      <x:c r="C80" s="31" t="str">
        <x:v>VMAX Climax</x:v>
      </x:c>
      <x:c r="D80" s="31" t="str">
        <x:v>S8b</x:v>
      </x:c>
      <x:c r="E80" s="31" t="str">
        <x:v>Filled</x:v>
      </x:c>
      <x:c r="F80" s="31" t="n">
        <x:v>285</x:v>
      </x:c>
      <x:c r="G80" s="31" t="str">
        <x:v>Traditional Chinese release uses the synchronized Japanese card identities and numbering for this set; reference count inherited from the matching Japanese checklist.</x:v>
      </x:c>
      <x:c r="H80" s="31" t="str">
        <x:v>synchronized_same_numbering</x:v>
      </x:c>
      <x:c r="I80" s="31" t="str">
        <x:v>https://bulbapedia.bulbagarden.net/wiki/Pok%C3%A9mon_in_Taiwan ; https://asia.pokemon-card.com/tw/card-search/</x:v>
      </x:c>
      <x:c r="J80" s="31" t="str"/>
    </x:row>
    <x:row r="81">
      <x:c r="A81" s="31" t="n">
        <x:v>550</x:v>
      </x:c>
      <x:c r="B81" s="31" t="str">
        <x:v>zh-TW</x:v>
      </x:c>
      <x:c r="C81" s="31" t="str">
        <x:v>Premium Trainer Box VSTAR</x:v>
      </x:c>
      <x:c r="D81" s="31" t="str">
        <x:v>TW-PTB-VSTAR</x:v>
      </x:c>
      <x:c r="E81" s="31" t="str">
        <x:v>Filled</x:v>
      </x:c>
      <x:c r="F81" s="31" t="n">
        <x:v>38</x:v>
      </x:c>
      <x:c r="G81" s="31" t="str">
        <x:v>Premium Trainer Box VSTAR product-specific catalogue identities, not physical accessory/card quantities.</x:v>
      </x:c>
      <x:c r="H81" s="31" t="str">
        <x:v>product_numbered_checklist</x:v>
      </x:c>
      <x:c r="I81" s="31" t="str">
        <x:v>https://asia.pokemon-card.com/tw/card-search/ ; https://bulbapedia.bulbagarden.net/wiki/Pok%C3%A9mon_in_Taiwan</x:v>
      </x:c>
      <x:c r="J81" s="31" t="str"/>
    </x:row>
    <x:row r="82">
      <x:c r="A82" s="31" t="n">
        <x:v>551</x:v>
      </x:c>
      <x:c r="B82" s="31" t="str">
        <x:v>zh-TW</x:v>
      </x:c>
      <x:c r="C82" s="31" t="str">
        <x:v>Special Deck Set: Zacian &amp; Zamazenta vs Eternatus</x:v>
      </x:c>
      <x:c r="D82" s="31" t="str">
        <x:v>TW-SDS-ZZE</x:v>
      </x:c>
      <x:c r="E82" s="31" t="str">
        <x:v>Filled</x:v>
      </x:c>
      <x:c r="F82" s="31" t="n">
        <x:v>30</x:v>
      </x:c>
      <x:c r="G82" s="31" t="str">
        <x:v>Special Deck Set Zacian &amp; Zamazenta vs Eternatus distinct numbered identities.</x:v>
      </x:c>
      <x:c r="H82" s="31" t="str">
        <x:v>product_numbered_checklist</x:v>
      </x:c>
      <x:c r="I82" s="31" t="str">
        <x:v>https://asia.pokemon-card.com/tw/card-search/ ; https://bulbapedia.bulbagarden.net/wiki/Pok%C3%A9mon_in_Taiwan</x:v>
      </x:c>
      <x:c r="J82" s="31" t="str"/>
    </x:row>
    <x:row r="83">
      <x:c r="A83" s="31" t="n">
        <x:v>552</x:v>
      </x:c>
      <x:c r="B83" s="31" t="str">
        <x:v>zh-TW</x:v>
      </x:c>
      <x:c r="C83" s="31" t="str">
        <x:v>Star Birth</x:v>
      </x:c>
      <x:c r="D83" s="31" t="str">
        <x:v>S9</x:v>
      </x:c>
      <x:c r="E83" s="31" t="str">
        <x:v>Filled</x:v>
      </x:c>
      <x:c r="F83" s="31" t="n">
        <x:v>127</x:v>
      </x:c>
      <x:c r="G83" s="31" t="str">
        <x:v>Traditional Chinese release uses the synchronized Japanese card identities and numbering for this set; reference count inherited from the matching Japanese checklist.</x:v>
      </x:c>
      <x:c r="H83" s="31" t="str">
        <x:v>synchronized_same_numbering</x:v>
      </x:c>
      <x:c r="I83" s="31" t="str">
        <x:v>https://bulbapedia.bulbagarden.net/wiki/Pok%C3%A9mon_in_Taiwan ; https://asia.pokemon-card.com/tw/card-search/</x:v>
      </x:c>
      <x:c r="J83" s="31" t="str"/>
    </x:row>
    <x:row r="84">
      <x:c r="A84" s="31" t="n">
        <x:v>553</x:v>
      </x:c>
      <x:c r="B84" s="31" t="str">
        <x:v>zh-TW</x:v>
      </x:c>
      <x:c r="C84" s="31" t="str">
        <x:v>Start Deck 100</x:v>
      </x:c>
      <x:c r="D84" s="31" t="str">
        <x:v>SI</x:v>
      </x:c>
      <x:c r="E84" s="31" t="str">
        <x:v>Filled</x:v>
      </x:c>
      <x:c r="F84" s="31" t="n">
        <x:v>422</x:v>
      </x:c>
      <x:c r="G84" s="31" t="str">
        <x:v>Start Deck 100 Traditional Chinese catalogue identities, aligned to the synchronized numbered checklist; not physical deck quantity.</x:v>
      </x:c>
      <x:c r="H84" s="31" t="str">
        <x:v>product_numbered_checklist</x:v>
      </x:c>
      <x:c r="I84" s="31" t="str">
        <x:v>https://asia.pokemon-card.com/tw/card-search/ ; https://bulbapedia.bulbagarden.net/wiki/Pok%C3%A9mon_in_Taiwan</x:v>
      </x:c>
      <x:c r="J84" s="31" t="str"/>
    </x:row>
    <x:row r="85">
      <x:c r="A85" s="31" t="n">
        <x:v>554</x:v>
      </x:c>
      <x:c r="B85" s="31" t="str">
        <x:v>zh-TW</x:v>
      </x:c>
      <x:c r="C85" s="31" t="str">
        <x:v>Battle Region</x:v>
      </x:c>
      <x:c r="D85" s="31" t="str">
        <x:v>S9a</x:v>
      </x:c>
      <x:c r="E85" s="31" t="str">
        <x:v>Filled</x:v>
      </x:c>
      <x:c r="F85" s="31" t="n">
        <x:v>93</x:v>
      </x:c>
      <x:c r="G85" s="31" t="str">
        <x:v>Traditional Chinese release uses the synchronized Japanese card identities and numbering for this set; reference count inherited from the matching Japanese checklist.</x:v>
      </x:c>
      <x:c r="H85" s="31" t="str">
        <x:v>synchronized_same_numbering</x:v>
      </x:c>
      <x:c r="I85" s="31" t="str">
        <x:v>https://bulbapedia.bulbagarden.net/wiki/Pok%C3%A9mon_in_Taiwan ; https://asia.pokemon-card.com/tw/card-search/</x:v>
      </x:c>
      <x:c r="J85" s="31" t="str"/>
    </x:row>
    <x:row r="86">
      <x:c r="A86" s="31" t="n">
        <x:v>555</x:v>
      </x:c>
      <x:c r="B86" s="31" t="str">
        <x:v>zh-TW</x:v>
      </x:c>
      <x:c r="C86" s="31" t="str">
        <x:v>Starter Set VSTAR: Darkrai</x:v>
      </x:c>
      <x:c r="D86" s="31" t="str">
        <x:v>TW-SSV-DARKRAI</x:v>
      </x:c>
      <x:c r="E86" s="31" t="str">
        <x:v>Filled</x:v>
      </x:c>
      <x:c r="F86" s="31" t="n">
        <x:v>21</x:v>
      </x:c>
      <x:c r="G86" s="31" t="str">
        <x:v>Starter Set VSTAR: Darkrai distinct numbered product identities.</x:v>
      </x:c>
      <x:c r="H86" s="31" t="str">
        <x:v>product_numbered_checklist</x:v>
      </x:c>
      <x:c r="I86" s="31" t="str">
        <x:v>https://asia.pokemon-card.com/tw/card-search/ ; https://bulbapedia.bulbagarden.net/wiki/Pok%C3%A9mon_in_Taiwan</x:v>
      </x:c>
      <x:c r="J86" s="31" t="str"/>
    </x:row>
    <x:row r="87">
      <x:c r="A87" s="31" t="n">
        <x:v>556</x:v>
      </x:c>
      <x:c r="B87" s="31" t="str">
        <x:v>zh-TW</x:v>
      </x:c>
      <x:c r="C87" s="31" t="str">
        <x:v>Starter Set VSTAR: Lucario</x:v>
      </x:c>
      <x:c r="D87" s="31" t="str">
        <x:v>TW-SSV-LUCARIO</x:v>
      </x:c>
      <x:c r="E87" s="31" t="str">
        <x:v>Filled</x:v>
      </x:c>
      <x:c r="F87" s="31" t="n">
        <x:v>22</x:v>
      </x:c>
      <x:c r="G87" s="31" t="str">
        <x:v>Starter Set VSTAR: Lucario distinct numbered product identities.</x:v>
      </x:c>
      <x:c r="H87" s="31" t="str">
        <x:v>product_numbered_checklist</x:v>
      </x:c>
      <x:c r="I87" s="31" t="str">
        <x:v>https://asia.pokemon-card.com/tw/card-search/ ; https://bulbapedia.bulbagarden.net/wiki/Pok%C3%A9mon_in_Taiwan</x:v>
      </x:c>
      <x:c r="J87" s="31" t="str"/>
    </x:row>
    <x:row r="88">
      <x:c r="A88" s="31" t="n">
        <x:v>557</x:v>
      </x:c>
      <x:c r="B88" s="31" t="str">
        <x:v>zh-TW</x:v>
      </x:c>
      <x:c r="C88" s="31" t="str">
        <x:v>Space Juggler</x:v>
      </x:c>
      <x:c r="D88" s="31" t="str">
        <x:v>S10P</x:v>
      </x:c>
      <x:c r="E88" s="31" t="str">
        <x:v>Filled</x:v>
      </x:c>
      <x:c r="F88" s="31" t="n">
        <x:v>88</x:v>
      </x:c>
      <x:c r="G88" s="31" t="str">
        <x:v>Traditional Chinese release uses the synchronized Japanese card identities and numbering for this set; reference count inherited from the matching Japanese checklist.</x:v>
      </x:c>
      <x:c r="H88" s="31" t="str">
        <x:v>synchronized_same_numbering</x:v>
      </x:c>
      <x:c r="I88" s="31" t="str">
        <x:v>https://bulbapedia.bulbagarden.net/wiki/Pok%C3%A9mon_in_Taiwan ; https://asia.pokemon-card.com/tw/card-search/</x:v>
      </x:c>
      <x:c r="J88" s="31" t="str"/>
    </x:row>
    <x:row r="89">
      <x:c r="A89" s="31" t="n">
        <x:v>558</x:v>
      </x:c>
      <x:c r="B89" s="31" t="str">
        <x:v>zh-TW</x:v>
      </x:c>
      <x:c r="C89" s="31" t="str">
        <x:v>Time Gazer</x:v>
      </x:c>
      <x:c r="D89" s="31" t="str">
        <x:v>S10D</x:v>
      </x:c>
      <x:c r="E89" s="31" t="str">
        <x:v>Filled</x:v>
      </x:c>
      <x:c r="F89" s="31" t="n">
        <x:v>88</x:v>
      </x:c>
      <x:c r="G89" s="31" t="str">
        <x:v>Traditional Chinese release uses the synchronized Japanese card identities and numbering for this set; reference count inherited from the matching Japanese checklist.</x:v>
      </x:c>
      <x:c r="H89" s="31" t="str">
        <x:v>synchronized_same_numbering</x:v>
      </x:c>
      <x:c r="I89" s="31" t="str">
        <x:v>https://bulbapedia.bulbagarden.net/wiki/Pok%C3%A9mon_in_Taiwan ; https://asia.pokemon-card.com/tw/card-search/</x:v>
      </x:c>
      <x:c r="J89" s="31" t="str"/>
    </x:row>
    <x:row r="90">
      <x:c r="A90" s="31" t="n">
        <x:v>559</x:v>
      </x:c>
      <x:c r="B90" s="31" t="str">
        <x:v>zh-TW</x:v>
      </x:c>
      <x:c r="C90" s="31" t="str">
        <x:v>Dark Phantasma</x:v>
      </x:c>
      <x:c r="D90" s="31" t="str">
        <x:v>S10a</x:v>
      </x:c>
      <x:c r="E90" s="31" t="str">
        <x:v>Filled</x:v>
      </x:c>
      <x:c r="F90" s="31" t="n">
        <x:v>99</x:v>
      </x:c>
      <x:c r="G90" s="31" t="str">
        <x:v>Traditional Chinese release uses the synchronized Japanese card identities and numbering for this set; reference count inherited from the matching Japanese checklist.</x:v>
      </x:c>
      <x:c r="H90" s="31" t="str">
        <x:v>synchronized_same_numbering</x:v>
      </x:c>
      <x:c r="I90" s="31" t="str">
        <x:v>https://bulbapedia.bulbagarden.net/wiki/Pok%C3%A9mon_in_Taiwan ; https://asia.pokemon-card.com/tw/card-search/</x:v>
      </x:c>
      <x:c r="J90" s="31" t="str"/>
    </x:row>
    <x:row r="91">
      <x:c r="A91" s="31" t="n">
        <x:v>560</x:v>
      </x:c>
      <x:c r="B91" s="31" t="str">
        <x:v>zh-TW</x:v>
      </x:c>
      <x:c r="C91" s="31" t="str">
        <x:v>Pokémon GO</x:v>
      </x:c>
      <x:c r="D91" s="31" t="str">
        <x:v>S10b</x:v>
      </x:c>
      <x:c r="E91" s="31" t="str">
        <x:v>Filled</x:v>
      </x:c>
      <x:c r="F91" s="31" t="n">
        <x:v>93</x:v>
      </x:c>
      <x:c r="G91" s="31" t="str">
        <x:v>Traditional Chinese release uses the synchronized Japanese card identities and numbering for this set; reference count inherited from the matching Japanese checklist.</x:v>
      </x:c>
      <x:c r="H91" s="31" t="str">
        <x:v>synchronized_same_numbering</x:v>
      </x:c>
      <x:c r="I91" s="31" t="str">
        <x:v>https://bulbapedia.bulbagarden.net/wiki/Pok%C3%A9mon_in_Taiwan ; https://asia.pokemon-card.com/tw/card-search/</x:v>
      </x:c>
      <x:c r="J91" s="31" t="str"/>
    </x:row>
    <x:row r="92">
      <x:c r="A92" s="31" t="n">
        <x:v>561</x:v>
      </x:c>
      <x:c r="B92" s="31" t="str">
        <x:v>zh-TW</x:v>
      </x:c>
      <x:c r="C92" s="31" t="str">
        <x:v>Lost Abyss</x:v>
      </x:c>
      <x:c r="D92" s="31" t="str">
        <x:v>S11</x:v>
      </x:c>
      <x:c r="E92" s="31" t="str">
        <x:v>Filled</x:v>
      </x:c>
      <x:c r="F92" s="31" t="n">
        <x:v>127</x:v>
      </x:c>
      <x:c r="G92" s="31" t="str">
        <x:v>Traditional Chinese release uses the synchronized Japanese card identities and numbering for this set; reference count inherited from the matching Japanese checklist.</x:v>
      </x:c>
      <x:c r="H92" s="31" t="str">
        <x:v>synchronized_same_numbering</x:v>
      </x:c>
      <x:c r="I92" s="31" t="str">
        <x:v>https://bulbapedia.bulbagarden.net/wiki/Pok%C3%A9mon_in_Taiwan ; https://asia.pokemon-card.com/tw/card-search/</x:v>
      </x:c>
      <x:c r="J92" s="31" t="str"/>
    </x:row>
    <x:row r="93">
      <x:c r="A93" s="31" t="n">
        <x:v>562</x:v>
      </x:c>
      <x:c r="B93" s="31" t="str">
        <x:v>zh-TW</x:v>
      </x:c>
      <x:c r="C93" s="31" t="str">
        <x:v>VSTAR &amp; VMAX High-Class Deck: Deoxys</x:v>
      </x:c>
      <x:c r="D93" s="31" t="str">
        <x:v>TW-HCD-DEOXYS</x:v>
      </x:c>
      <x:c r="E93" s="31" t="str">
        <x:v>Filled</x:v>
      </x:c>
      <x:c r="F93" s="31" t="n">
        <x:v>20</x:v>
      </x:c>
      <x:c r="G93" s="31" t="str">
        <x:v>VSTAR &amp; VMAX High-Class Deck: Deoxys numbered product identities (001/020–020/020); excludes unnumbered/basic-energy duplication.</x:v>
      </x:c>
      <x:c r="H93" s="31" t="str">
        <x:v>product_numbered_checklist</x:v>
      </x:c>
      <x:c r="I93" s="31" t="str">
        <x:v>https://asia.pokemon-card.com/tw/card-search/ ; https://bulbapedia.bulbagarden.net/wiki/Pok%C3%A9mon_in_Taiwan</x:v>
      </x:c>
      <x:c r="J93" s="31" t="str"/>
    </x:row>
    <x:row r="94">
      <x:c r="A94" s="31" t="n">
        <x:v>563</x:v>
      </x:c>
      <x:c r="B94" s="31" t="str">
        <x:v>zh-TW</x:v>
      </x:c>
      <x:c r="C94" s="31" t="str">
        <x:v>VSTAR &amp; VMAX High-Class Deck: Zeraora</x:v>
      </x:c>
      <x:c r="D94" s="31" t="str">
        <x:v>SPZ</x:v>
      </x:c>
      <x:c r="E94" s="31" t="str">
        <x:v>Filled</x:v>
      </x:c>
      <x:c r="F94" s="31" t="n">
        <x:v>20</x:v>
      </x:c>
      <x:c r="G94" s="31" t="str">
        <x:v>VSTAR &amp; VMAX High-Class Deck: Zeraora numbered product identities (001/020–020/020); excludes unnumbered/basic-energy duplication.</x:v>
      </x:c>
      <x:c r="H94" s="31" t="str">
        <x:v>product_numbered_checklist</x:v>
      </x:c>
      <x:c r="I94" s="31" t="str">
        <x:v>https://asia.pokemon-card.com/tw/card-search/ ; https://bulbapedia.bulbagarden.net/wiki/Pok%C3%A9mon_in_Taiwan</x:v>
      </x:c>
      <x:c r="J94" s="31" t="str"/>
    </x:row>
    <x:row r="95">
      <x:c r="A95" s="31" t="n">
        <x:v>564</x:v>
      </x:c>
      <x:c r="B95" s="31" t="str">
        <x:v>zh-TW</x:v>
      </x:c>
      <x:c r="C95" s="31" t="str">
        <x:v>VSTAR Special Set</x:v>
      </x:c>
      <x:c r="D95" s="31" t="str">
        <x:v>TW-VSTAR-SS</x:v>
      </x:c>
      <x:c r="E95" s="31" t="str">
        <x:v>Filled</x:v>
      </x:c>
      <x:c r="F95" s="31" t="n">
        <x:v>6</x:v>
      </x:c>
      <x:c r="G95" s="31" t="str">
        <x:v>VSTAR Special Set product-specific numbered identities.</x:v>
      </x:c>
      <x:c r="H95" s="31" t="str">
        <x:v>product_numbered_checklist</x:v>
      </x:c>
      <x:c r="I95" s="31" t="str">
        <x:v>https://asia.pokemon-card.com/tw/card-search/ ; https://bulbapedia.bulbagarden.net/wiki/Pok%C3%A9mon_in_Taiwan</x:v>
      </x:c>
      <x:c r="J95" s="31" t="str"/>
    </x:row>
    <x:row r="96">
      <x:c r="A96" s="31" t="n">
        <x:v>565</x:v>
      </x:c>
      <x:c r="B96" s="31" t="str">
        <x:v>zh-TW</x:v>
      </x:c>
      <x:c r="C96" s="31" t="str">
        <x:v>Incandescent Arcana</x:v>
      </x:c>
      <x:c r="D96" s="31" t="str">
        <x:v>S11a</x:v>
      </x:c>
      <x:c r="E96" s="31" t="str">
        <x:v>Filled</x:v>
      </x:c>
      <x:c r="F96" s="31" t="n">
        <x:v>94</x:v>
      </x:c>
      <x:c r="G96" s="31" t="str">
        <x:v>Traditional Chinese release uses the synchronized Japanese card identities and numbering for this set; reference count inherited from the matching Japanese checklist.</x:v>
      </x:c>
      <x:c r="H96" s="31" t="str">
        <x:v>synchronized_same_numbering</x:v>
      </x:c>
      <x:c r="I96" s="31" t="str">
        <x:v>https://bulbapedia.bulbagarden.net/wiki/Pok%C3%A9mon_in_Taiwan ; https://asia.pokemon-card.com/tw/card-search/</x:v>
      </x:c>
      <x:c r="J96" s="31" t="str"/>
    </x:row>
    <x:row r="97">
      <x:c r="A97" s="31" t="n">
        <x:v>566</x:v>
      </x:c>
      <x:c r="B97" s="31" t="str">
        <x:v>zh-TW</x:v>
      </x:c>
      <x:c r="C97" s="31" t="str">
        <x:v>Start Deck 100 Special Edition</x:v>
      </x:c>
      <x:c r="D97" s="31" t="str">
        <x:v>TW-SI-SP</x:v>
      </x:c>
      <x:c r="E97" s="31" t="str">
        <x:v>Filled</x:v>
      </x:c>
      <x:c r="F97" s="31" t="n">
        <x:v>25</x:v>
      </x:c>
      <x:c r="G97" s="31" t="str">
        <x:v>Start Deck 100 Special Edition product-specific distinct catalogue identities.</x:v>
      </x:c>
      <x:c r="H97" s="31" t="str">
        <x:v>product_numbered_checklist</x:v>
      </x:c>
      <x:c r="I97" s="31" t="str">
        <x:v>https://asia.pokemon-card.com/tw/card-search/ ; https://bulbapedia.bulbagarden.net/wiki/Pok%C3%A9mon_in_Taiwan</x:v>
      </x:c>
      <x:c r="J97" s="31" t="str"/>
    </x:row>
    <x:row r="98">
      <x:c r="A98" s="31" t="n">
        <x:v>567</x:v>
      </x:c>
      <x:c r="B98" s="31" t="str">
        <x:v>zh-TW</x:v>
      </x:c>
      <x:c r="C98" s="31" t="str">
        <x:v>Paradigm Trigger</x:v>
      </x:c>
      <x:c r="D98" s="31" t="str">
        <x:v>S12</x:v>
      </x:c>
      <x:c r="E98" s="31" t="str">
        <x:v>Filled</x:v>
      </x:c>
      <x:c r="F98" s="31" t="n">
        <x:v>125</x:v>
      </x:c>
      <x:c r="G98" s="31" t="str">
        <x:v>Traditional Chinese release uses the synchronized Japanese card identities and numbering for this set; reference count inherited from the matching Japanese checklist.</x:v>
      </x:c>
      <x:c r="H98" s="31" t="str">
        <x:v>synchronized_same_numbering</x:v>
      </x:c>
      <x:c r="I98" s="31" t="str">
        <x:v>https://bulbapedia.bulbagarden.net/wiki/Pok%C3%A9mon_in_Taiwan ; https://asia.pokemon-card.com/tw/card-search/</x:v>
      </x:c>
      <x:c r="J98" s="31" t="str"/>
    </x:row>
    <x:row r="99">
      <x:c r="A99" s="31" t="n">
        <x:v>568</x:v>
      </x:c>
      <x:c r="B99" s="31" t="str">
        <x:v>zh-TW</x:v>
      </x:c>
      <x:c r="C99" s="31" t="str">
        <x:v>V Start Deck: Charizard</x:v>
      </x:c>
      <x:c r="D99" s="31" t="str">
        <x:v>TW-VSD-CHARIZARD</x:v>
      </x:c>
      <x:c r="E99" s="31" t="str">
        <x:v>Filled</x:v>
      </x:c>
      <x:c r="F99" s="31" t="n">
        <x:v>21</x:v>
      </x:c>
      <x:c r="G99" s="31" t="str">
        <x:v>V Start Deck: Charizard distinct numbered identities.</x:v>
      </x:c>
      <x:c r="H99" s="31" t="str">
        <x:v>product_numbered_checklist</x:v>
      </x:c>
      <x:c r="I99" s="31" t="str">
        <x:v>https://asia.pokemon-card.com/tw/card-search/ ; https://bulbapedia.bulbagarden.net/wiki/Pok%C3%A9mon_in_Taiwan</x:v>
      </x:c>
      <x:c r="J99" s="31" t="str"/>
    </x:row>
    <x:row r="100">
      <x:c r="A100" s="31" t="n">
        <x:v>569</x:v>
      </x:c>
      <x:c r="B100" s="31" t="str">
        <x:v>zh-TW</x:v>
      </x:c>
      <x:c r="C100" s="31" t="str">
        <x:v>V Start Deck: Mewtwo</x:v>
      </x:c>
      <x:c r="D100" s="31" t="str">
        <x:v>TW-VSD-MEWTWO</x:v>
      </x:c>
      <x:c r="E100" s="31" t="str">
        <x:v>Filled</x:v>
      </x:c>
      <x:c r="F100" s="31" t="n">
        <x:v>22</x:v>
      </x:c>
      <x:c r="G100" s="31" t="str">
        <x:v>V Start Deck: Mewtwo distinct numbered identities.</x:v>
      </x:c>
      <x:c r="H100" s="31" t="str">
        <x:v>product_numbered_checklist</x:v>
      </x:c>
      <x:c r="I100" s="31" t="str">
        <x:v>https://asia.pokemon-card.com/tw/card-search/ ; https://bulbapedia.bulbagarden.net/wiki/Pok%C3%A9mon_in_Taiwan</x:v>
      </x:c>
      <x:c r="J100" s="31" t="str"/>
    </x:row>
    <x:row r="101">
      <x:c r="A101" s="31" t="n">
        <x:v>570</x:v>
      </x:c>
      <x:c r="B101" s="31" t="str">
        <x:v>zh-TW</x:v>
      </x:c>
      <x:c r="C101" s="31" t="str">
        <x:v>V Start Deck: Pikachu</x:v>
      </x:c>
      <x:c r="D101" s="31" t="str">
        <x:v>TW-VSD-PIKACHU</x:v>
      </x:c>
      <x:c r="E101" s="31" t="str">
        <x:v>Filled</x:v>
      </x:c>
      <x:c r="F101" s="31" t="n">
        <x:v>22</x:v>
      </x:c>
      <x:c r="G101" s="31" t="str">
        <x:v>V Start Deck: Pikachu distinct numbered identities.</x:v>
      </x:c>
      <x:c r="H101" s="31" t="str">
        <x:v>product_numbered_checklist</x:v>
      </x:c>
      <x:c r="I101" s="31" t="str">
        <x:v>https://asia.pokemon-card.com/tw/card-search/ ; https://bulbapedia.bulbagarden.net/wiki/Pok%C3%A9mon_in_Taiwan</x:v>
      </x:c>
      <x:c r="J101" s="31" t="str"/>
    </x:row>
    <x:row r="102">
      <x:c r="A102" s="31" t="n">
        <x:v>571</x:v>
      </x:c>
      <x:c r="B102" s="31" t="str">
        <x:v>zh-TW</x:v>
      </x:c>
      <x:c r="C102" s="31" t="str">
        <x:v>VSTAR Universe</x:v>
      </x:c>
      <x:c r="D102" s="31" t="str">
        <x:v>S12a</x:v>
      </x:c>
      <x:c r="E102" s="31" t="str">
        <x:v>Filled</x:v>
      </x:c>
      <x:c r="F102" s="31" t="n">
        <x:v>262</x:v>
      </x:c>
      <x:c r="G102" s="31" t="str">
        <x:v>Traditional Chinese release uses the synchronized Japanese card identities and numbering for this set; reference count inherited from the matching Japanese checklist.</x:v>
      </x:c>
      <x:c r="H102" s="31" t="str">
        <x:v>synchronized_same_numbering</x:v>
      </x:c>
      <x:c r="I102" s="31" t="str">
        <x:v>https://bulbapedia.bulbagarden.net/wiki/Pok%C3%A9mon_in_Taiwan ; https://asia.pokemon-card.com/tw/card-search/</x:v>
      </x:c>
      <x:c r="J102" s="31" t="str"/>
    </x:row>
    <x:row r="103">
      <x:c r="A103" s="31" t="n">
        <x:v>572</x:v>
      </x:c>
      <x:c r="B103" s="31" t="str">
        <x:v>zh-TW</x:v>
      </x:c>
      <x:c r="C103" s="31" t="str">
        <x:v>Special Deck Set: Charizard VSTAR vs Rayquaza VMAX</x:v>
      </x:c>
      <x:c r="D103" s="31" t="str">
        <x:v>SO</x:v>
      </x:c>
      <x:c r="E103" s="31" t="str">
        <x:v>Filled</x:v>
      </x:c>
      <x:c r="F103" s="31" t="n">
        <x:v>32</x:v>
      </x:c>
      <x:c r="G103" s="31" t="str">
        <x:v>Special Deck Set: Charizard VSTAR vs Rayquaza VMAX distinct numbered identities.</x:v>
      </x:c>
      <x:c r="H103" s="31" t="str">
        <x:v>product_numbered_checklist</x:v>
      </x:c>
      <x:c r="I103" s="31" t="str">
        <x:v>https://asia.pokemon-card.com/tw/card-search/ ; https://bulbapedia.bulbagarden.net/wiki/Pok%C3%A9mon_in_Taiwan</x:v>
      </x:c>
      <x:c r="J103" s="31" t="str"/>
    </x:row>
    <x:row r="104">
      <x:c r="A104" s="31" t="n">
        <x:v>573</x:v>
      </x:c>
      <x:c r="B104" s="31" t="str">
        <x:v>zh-TW</x:v>
      </x:c>
      <x:c r="C104" s="31" t="str">
        <x:v>Scarlet ex</x:v>
      </x:c>
      <x:c r="D104" s="31" t="str">
        <x:v>SV1S</x:v>
      </x:c>
      <x:c r="E104" s="31" t="str">
        <x:v>Filled</x:v>
      </x:c>
      <x:c r="F104" s="31" t="n">
        <x:v>108</x:v>
      </x:c>
      <x:c r="G104" s="31" t="str">
        <x:v>Traditional Chinese release uses the synchronized Japanese card identities and numbering for this set; reference count inherited from the matching Japanese checklist.</x:v>
      </x:c>
      <x:c r="H104" s="31" t="str">
        <x:v>synchronized_same_numbering</x:v>
      </x:c>
      <x:c r="I104" s="31" t="str">
        <x:v>https://bulbapedia.bulbagarden.net/wiki/Pok%C3%A9mon_in_Taiwan ; https://asia.pokemon-card.com/tw/card-search/</x:v>
      </x:c>
      <x:c r="J104" s="31" t="str"/>
    </x:row>
    <x:row r="105">
      <x:c r="A105" s="31" t="n">
        <x:v>574</x:v>
      </x:c>
      <x:c r="B105" s="31" t="str">
        <x:v>zh-TW</x:v>
      </x:c>
      <x:c r="C105" s="31" t="str">
        <x:v>Starter Set ex: Fuecoco &amp; Ampharos ex</x:v>
      </x:c>
      <x:c r="D105" s="31" t="str">
        <x:v>TW-SSEX-FUECOCO</x:v>
      </x:c>
      <x:c r="E105" s="31" t="str">
        <x:v>Filled</x:v>
      </x:c>
      <x:c r="F105" s="31" t="n">
        <x:v>24</x:v>
      </x:c>
      <x:c r="G105" s="31" t="str">
        <x:v>Starter Set ex: Fuecoco &amp; Ampharos ex distinct numbered identities.</x:v>
      </x:c>
      <x:c r="H105" s="31" t="str">
        <x:v>product_numbered_checklist</x:v>
      </x:c>
      <x:c r="I105" s="31" t="str">
        <x:v>https://asia.pokemon-card.com/tw/card-search/ ; https://bulbapedia.bulbagarden.net/wiki/Pok%C3%A9mon_in_Taiwan</x:v>
      </x:c>
      <x:c r="J105" s="31" t="str"/>
    </x:row>
    <x:row r="106">
      <x:c r="A106" s="31" t="n">
        <x:v>575</x:v>
      </x:c>
      <x:c r="B106" s="31" t="str">
        <x:v>zh-TW</x:v>
      </x:c>
      <x:c r="C106" s="31" t="str">
        <x:v>Starter Set ex: Quaxly &amp; Mimikyu ex</x:v>
      </x:c>
      <x:c r="D106" s="31" t="str">
        <x:v>TW-SSEX-QUAXLY</x:v>
      </x:c>
      <x:c r="E106" s="31" t="str">
        <x:v>Filled</x:v>
      </x:c>
      <x:c r="F106" s="31" t="n">
        <x:v>26</x:v>
      </x:c>
      <x:c r="G106" s="31" t="str">
        <x:v>Starter Set ex: Quaxly &amp; Mimikyu ex distinct numbered identities.</x:v>
      </x:c>
      <x:c r="H106" s="31" t="str">
        <x:v>product_numbered_checklist</x:v>
      </x:c>
      <x:c r="I106" s="31" t="str">
        <x:v>https://asia.pokemon-card.com/tw/card-search/ ; https://bulbapedia.bulbagarden.net/wiki/Pok%C3%A9mon_in_Taiwan</x:v>
      </x:c>
      <x:c r="J106" s="31" t="str"/>
    </x:row>
    <x:row r="107">
      <x:c r="A107" s="31" t="n">
        <x:v>576</x:v>
      </x:c>
      <x:c r="B107" s="31" t="str">
        <x:v>zh-TW</x:v>
      </x:c>
      <x:c r="C107" s="31" t="str">
        <x:v>Starter Set ex: Sprigatito &amp; Lucario ex</x:v>
      </x:c>
      <x:c r="D107" s="31" t="str">
        <x:v>SVAM</x:v>
      </x:c>
      <x:c r="E107" s="31" t="str">
        <x:v>Filled</x:v>
      </x:c>
      <x:c r="F107" s="31" t="n">
        <x:v>25</x:v>
      </x:c>
      <x:c r="G107" s="31" t="str">
        <x:v>Starter Set ex: Sprigatito &amp; Lucario ex distinct numbered identities.</x:v>
      </x:c>
      <x:c r="H107" s="31" t="str">
        <x:v>product_numbered_checklist</x:v>
      </x:c>
      <x:c r="I107" s="31" t="str">
        <x:v>https://asia.pokemon-card.com/tw/card-search/ ; https://bulbapedia.bulbagarden.net/wiki/Pok%C3%A9mon_in_Taiwan</x:v>
      </x:c>
      <x:c r="J107" s="31" t="str"/>
    </x:row>
    <x:row r="108">
      <x:c r="A108" s="31" t="n">
        <x:v>577</x:v>
      </x:c>
      <x:c r="B108" s="31" t="str">
        <x:v>zh-TW</x:v>
      </x:c>
      <x:c r="C108" s="31" t="str">
        <x:v>Violet ex</x:v>
      </x:c>
      <x:c r="D108" s="31" t="str">
        <x:v>SV1V</x:v>
      </x:c>
      <x:c r="E108" s="31" t="str">
        <x:v>Filled</x:v>
      </x:c>
      <x:c r="F108" s="31" t="n">
        <x:v>108</x:v>
      </x:c>
      <x:c r="G108" s="31" t="str">
        <x:v>Traditional Chinese release uses the synchronized Japanese card identities and numbering for this set; reference count inherited from the matching Japanese checklist.</x:v>
      </x:c>
      <x:c r="H108" s="31" t="str">
        <x:v>synchronized_same_numbering</x:v>
      </x:c>
      <x:c r="I108" s="31" t="str">
        <x:v>https://bulbapedia.bulbagarden.net/wiki/Pok%C3%A9mon_in_Taiwan ; https://asia.pokemon-card.com/tw/card-search/</x:v>
      </x:c>
      <x:c r="J108" s="31" t="str"/>
    </x:row>
    <x:row r="109">
      <x:c r="A109" s="31" t="n">
        <x:v>578</x:v>
      </x:c>
      <x:c r="B109" s="31" t="str">
        <x:v>zh-TW</x:v>
      </x:c>
      <x:c r="C109" s="31" t="str">
        <x:v>Premium Trainer Box ex</x:v>
      </x:c>
      <x:c r="D109" s="31" t="str">
        <x:v>SVB</x:v>
      </x:c>
      <x:c r="E109" s="31" t="str">
        <x:v>Filled</x:v>
      </x:c>
      <x:c r="F109" s="31" t="n">
        <x:v>36</x:v>
      </x:c>
      <x:c r="G109" s="31" t="str">
        <x:v>Premium Trainer Box ex product-specific catalogue identities.</x:v>
      </x:c>
      <x:c r="H109" s="31" t="str">
        <x:v>product_numbered_checklist</x:v>
      </x:c>
      <x:c r="I109" s="31" t="str">
        <x:v>https://asia.pokemon-card.com/tw/card-search/ ; https://bulbapedia.bulbagarden.net/wiki/Pok%C3%A9mon_in_Taiwan</x:v>
      </x:c>
      <x:c r="J109" s="31" t="str"/>
    </x:row>
    <x:row r="110">
      <x:c r="A110" s="31" t="n">
        <x:v>579</x:v>
      </x:c>
      <x:c r="B110" s="31" t="str">
        <x:v>zh-TW</x:v>
      </x:c>
      <x:c r="C110" s="31" t="str">
        <x:v>Triplet Beat</x:v>
      </x:c>
      <x:c r="D110" s="31" t="str">
        <x:v>SV1a</x:v>
      </x:c>
      <x:c r="E110" s="31" t="str">
        <x:v>Filled</x:v>
      </x:c>
      <x:c r="F110" s="31" t="n">
        <x:v>103</x:v>
      </x:c>
      <x:c r="G110" s="31" t="str">
        <x:v>Traditional Chinese release uses the synchronized Japanese card identities and numbering for this set; reference count inherited from the matching Japanese checklist.</x:v>
      </x:c>
      <x:c r="H110" s="31" t="str">
        <x:v>synchronized_same_numbering</x:v>
      </x:c>
      <x:c r="I110" s="31" t="str">
        <x:v>https://bulbapedia.bulbagarden.net/wiki/Pok%C3%A9mon_in_Taiwan ; https://asia.pokemon-card.com/tw/card-search/</x:v>
      </x:c>
      <x:c r="J110" s="31" t="str"/>
    </x:row>
    <x:row r="111">
      <x:c r="A111" s="31" t="n">
        <x:v>580</x:v>
      </x:c>
      <x:c r="B111" s="31" t="str">
        <x:v>zh-TW</x:v>
      </x:c>
      <x:c r="C111" s="31" t="str">
        <x:v>Clay Burst</x:v>
      </x:c>
      <x:c r="D111" s="31" t="str">
        <x:v>SV2D</x:v>
      </x:c>
      <x:c r="E111" s="31" t="str">
        <x:v>Filled</x:v>
      </x:c>
      <x:c r="F111" s="31" t="n">
        <x:v>99</x:v>
      </x:c>
      <x:c r="G111" s="31" t="str">
        <x:v>Traditional Chinese release uses the synchronized Japanese card identities and numbering for this set; reference count inherited from the matching Japanese checklist.</x:v>
      </x:c>
      <x:c r="H111" s="31" t="str">
        <x:v>synchronized_same_numbering</x:v>
      </x:c>
      <x:c r="I111" s="31" t="str">
        <x:v>https://bulbapedia.bulbagarden.net/wiki/Pok%C3%A9mon_in_Taiwan ; https://asia.pokemon-card.com/tw/card-search/</x:v>
      </x:c>
      <x:c r="J111" s="31" t="str"/>
    </x:row>
    <x:row r="112">
      <x:c r="A112" s="31" t="n">
        <x:v>581</x:v>
      </x:c>
      <x:c r="B112" s="31" t="str">
        <x:v>zh-TW</x:v>
      </x:c>
      <x:c r="C112" s="31" t="str">
        <x:v>Snow Hazard</x:v>
      </x:c>
      <x:c r="D112" s="31" t="str">
        <x:v>SV2P</x:v>
      </x:c>
      <x:c r="E112" s="31" t="str">
        <x:v>Filled</x:v>
      </x:c>
      <x:c r="F112" s="31" t="n">
        <x:v>99</x:v>
      </x:c>
      <x:c r="G112" s="31" t="str">
        <x:v>Traditional Chinese release uses the synchronized Japanese card identities and numbering for this set; reference count inherited from the matching Japanese checklist.</x:v>
      </x:c>
      <x:c r="H112" s="31" t="str">
        <x:v>synchronized_same_numbering</x:v>
      </x:c>
      <x:c r="I112" s="31" t="str">
        <x:v>https://bulbapedia.bulbagarden.net/wiki/Pok%C3%A9mon_in_Taiwan ; https://asia.pokemon-card.com/tw/card-search/</x:v>
      </x:c>
      <x:c r="J112" s="31" t="str"/>
    </x:row>
    <x:row r="113">
      <x:c r="A113" s="31" t="n">
        <x:v>582</x:v>
      </x:c>
      <x:c r="B113" s="31" t="str">
        <x:v>zh-TW</x:v>
      </x:c>
      <x:c r="C113" s="31" t="str">
        <x:v>Starter Set ex: Pikachu Special Set</x:v>
      </x:c>
      <x:c r="D113" s="31" t="str">
        <x:v>SVC</x:v>
      </x:c>
      <x:c r="E113" s="31" t="str">
        <x:v>Filled</x:v>
      </x:c>
      <x:c r="F113" s="31" t="n">
        <x:v>22</x:v>
      </x:c>
      <x:c r="G113" s="31" t="str">
        <x:v>Starter Set ex: Pikachu Special Set distinct numbered identities.</x:v>
      </x:c>
      <x:c r="H113" s="31" t="str">
        <x:v>product_numbered_checklist</x:v>
      </x:c>
      <x:c r="I113" s="31" t="str">
        <x:v>https://asia.pokemon-card.com/tw/card-search/ ; https://bulbapedia.bulbagarden.net/wiki/Pok%C3%A9mon_in_Taiwan</x:v>
      </x:c>
      <x:c r="J113" s="31" t="str"/>
    </x:row>
    <x:row r="114">
      <x:c r="A114" s="31" t="n">
        <x:v>583</x:v>
      </x:c>
      <x:c r="B114" s="31" t="str">
        <x:v>zh-TW</x:v>
      </x:c>
      <x:c r="C114" s="31" t="str">
        <x:v>ex Special Set</x:v>
      </x:c>
      <x:c r="D114" s="31" t="str">
        <x:v>SVP1</x:v>
      </x:c>
      <x:c r="E114" s="31" t="str">
        <x:v>Filled</x:v>
      </x:c>
      <x:c r="F114" s="31" t="n">
        <x:v>7</x:v>
      </x:c>
      <x:c r="G114" s="31" t="str">
        <x:v>ex Special Set product-specific distinct numbered identities.</x:v>
      </x:c>
      <x:c r="H114" s="31" t="str">
        <x:v>product_numbered_checklist</x:v>
      </x:c>
      <x:c r="I114" s="31" t="str">
        <x:v>https://asia.pokemon-card.com/tw/card-search/ ; https://bulbapedia.bulbagarden.net/wiki/Pok%C3%A9mon_in_Taiwan</x:v>
      </x:c>
      <x:c r="J114" s="31" t="str"/>
    </x:row>
    <x:row r="115">
      <x:c r="A115" s="31" t="n">
        <x:v>585</x:v>
      </x:c>
      <x:c r="B115" s="31" t="str">
        <x:v>zh-TW</x:v>
      </x:c>
      <x:c r="C115" s="31" t="str">
        <x:v>ex Start Decks</x:v>
      </x:c>
      <x:c r="D115" s="31" t="str">
        <x:v>SVD</x:v>
      </x:c>
      <x:c r="E115" s="31" t="str">
        <x:v>Filled</x:v>
      </x:c>
      <x:c r="F115" s="31" t="n">
        <x:v>147</x:v>
      </x:c>
      <x:c r="G115" s="31" t="str">
        <x:v>ex Start Decks combined distinct catalogue pool in this product-family scope.</x:v>
      </x:c>
      <x:c r="H115" s="31" t="str">
        <x:v>product_numbered_checklist</x:v>
      </x:c>
      <x:c r="I115" s="31" t="str">
        <x:v>https://asia.pokemon-card.com/tw/card-search/ ; https://bulbapedia.bulbagarden.net/wiki/Pok%C3%A9mon_in_Taiwan</x:v>
      </x:c>
      <x:c r="J115" s="31" t="str"/>
    </x:row>
    <x:row r="116">
      <x:c r="A116" s="31" t="n">
        <x:v>586</x:v>
      </x:c>
      <x:c r="B116" s="31" t="str">
        <x:v>zh-TW</x:v>
      </x:c>
      <x:c r="C116" s="31" t="str">
        <x:v>Deck Build Box Ruler of the Black Flame</x:v>
      </x:c>
      <x:c r="D116" s="31" t="str">
        <x:v>SVF</x:v>
      </x:c>
      <x:c r="E116" s="31" t="str">
        <x:v>Filled</x:v>
      </x:c>
      <x:c r="F116" s="31" t="n">
        <x:v>46</x:v>
      </x:c>
      <x:c r="G116" s="31" t="str">
        <x:v>Deck Build Box Ruler of the Black Flame product-specific catalogue identities.</x:v>
      </x:c>
      <x:c r="H116" s="31" t="str">
        <x:v>product_numbered_checklist</x:v>
      </x:c>
      <x:c r="I116" s="31" t="str">
        <x:v>https://asia.pokemon-card.com/tw/card-search/ ; https://bulbapedia.bulbagarden.net/wiki/Pok%C3%A9mon_in_Taiwan</x:v>
      </x:c>
      <x:c r="J116" s="31" t="str"/>
    </x:row>
    <x:row r="117">
      <x:c r="A117" s="31" t="n">
        <x:v>587</x:v>
      </x:c>
      <x:c r="B117" s="31" t="str">
        <x:v>zh-TW</x:v>
      </x:c>
      <x:c r="C117" s="31" t="str">
        <x:v>Ruler of the Black Flame</x:v>
      </x:c>
      <x:c r="D117" s="31" t="str">
        <x:v>SV3</x:v>
      </x:c>
      <x:c r="E117" s="31" t="str">
        <x:v>Filled</x:v>
      </x:c>
      <x:c r="F117" s="31" t="n">
        <x:v>141</x:v>
      </x:c>
      <x:c r="G117" s="31" t="str">
        <x:v>Traditional Chinese release uses the synchronized Japanese card identities and numbering for this set; reference count inherited from the matching Japanese checklist.</x:v>
      </x:c>
      <x:c r="H117" s="31" t="str">
        <x:v>synchronized_same_numbering</x:v>
      </x:c>
      <x:c r="I117" s="31" t="str">
        <x:v>https://bulbapedia.bulbagarden.net/wiki/Pok%C3%A9mon_in_Taiwan ; https://asia.pokemon-card.com/tw/card-search/</x:v>
      </x:c>
      <x:c r="J117" s="31" t="str"/>
    </x:row>
    <x:row r="118">
      <x:c r="A118" s="31" t="n">
        <x:v>588</x:v>
      </x:c>
      <x:c r="B118" s="31" t="str">
        <x:v>zh-TW</x:v>
      </x:c>
      <x:c r="C118" s="31" t="str">
        <x:v>Raging Surf</x:v>
      </x:c>
      <x:c r="D118" s="31" t="str">
        <x:v>SV3a</x:v>
      </x:c>
      <x:c r="E118" s="31" t="str">
        <x:v>Filled</x:v>
      </x:c>
      <x:c r="F118" s="31" t="n">
        <x:v>92</x:v>
      </x:c>
      <x:c r="G118" s="31" t="str">
        <x:v>Traditional Chinese release uses the synchronized Japanese card identities and numbering for this set; reference count inherited from the matching Japanese checklist.</x:v>
      </x:c>
      <x:c r="H118" s="31" t="str">
        <x:v>synchronized_same_numbering</x:v>
      </x:c>
      <x:c r="I118" s="31" t="str">
        <x:v>https://bulbapedia.bulbagarden.net/wiki/Pok%C3%A9mon_in_Taiwan ; https://asia.pokemon-card.com/tw/card-search/</x:v>
      </x:c>
      <x:c r="J118" s="31" t="str"/>
    </x:row>
    <x:row r="119">
      <x:c r="A119" s="31" t="n">
        <x:v>589</x:v>
      </x:c>
      <x:c r="B119" s="31" t="str">
        <x:v>zh-TW</x:v>
      </x:c>
      <x:c r="C119" s="31" t="str">
        <x:v>Starter Set: Tera Mewtwo ex</x:v>
      </x:c>
      <x:c r="D119" s="31" t="str">
        <x:v>SVEM</x:v>
      </x:c>
      <x:c r="E119" s="31" t="str">
        <x:v>Filled</x:v>
      </x:c>
      <x:c r="F119" s="31" t="n">
        <x:v>21</x:v>
      </x:c>
      <x:c r="G119" s="31" t="str">
        <x:v>Starter Set: Tera Mewtwo ex distinct numbered identities.</x:v>
      </x:c>
      <x:c r="H119" s="31" t="str">
        <x:v>product_numbered_checklist</x:v>
      </x:c>
      <x:c r="I119" s="31" t="str">
        <x:v>https://asia.pokemon-card.com/tw/card-search/ ; https://bulbapedia.bulbagarden.net/wiki/Pok%C3%A9mon_in_Taiwan</x:v>
      </x:c>
      <x:c r="J119" s="31" t="str"/>
    </x:row>
    <x:row r="120">
      <x:c r="A120" s="31" t="n">
        <x:v>590</x:v>
      </x:c>
      <x:c r="B120" s="31" t="str">
        <x:v>zh-TW</x:v>
      </x:c>
      <x:c r="C120" s="31" t="str">
        <x:v>Starter Set: Tera Skeledirge ex</x:v>
      </x:c>
      <x:c r="D120" s="31" t="str">
        <x:v>SVEL</x:v>
      </x:c>
      <x:c r="E120" s="31" t="str">
        <x:v>Filled</x:v>
      </x:c>
      <x:c r="F120" s="31" t="n">
        <x:v>21</x:v>
      </x:c>
      <x:c r="G120" s="31" t="str">
        <x:v>Starter Set: Tera Skeledirge ex distinct numbered identities.</x:v>
      </x:c>
      <x:c r="H120" s="31" t="str">
        <x:v>product_numbered_checklist</x:v>
      </x:c>
      <x:c r="I120" s="31" t="str">
        <x:v>https://asia.pokemon-card.com/tw/card-search/ ; https://bulbapedia.bulbagarden.net/wiki/Pok%C3%A9mon_in_Taiwan</x:v>
      </x:c>
      <x:c r="J120" s="31" t="str"/>
    </x:row>
    <x:row r="121">
      <x:c r="A121" s="31" t="n">
        <x:v>591</x:v>
      </x:c>
      <x:c r="B121" s="31" t="str">
        <x:v>zh-TW</x:v>
      </x:c>
      <x:c r="C121" s="31" t="str">
        <x:v>Ancient Roar</x:v>
      </x:c>
      <x:c r="D121" s="31" t="str">
        <x:v>SV4K</x:v>
      </x:c>
      <x:c r="E121" s="31" t="str">
        <x:v>Filled</x:v>
      </x:c>
      <x:c r="F121" s="31" t="n">
        <x:v>95</x:v>
      </x:c>
      <x:c r="G121" s="31" t="str">
        <x:v>Traditional Chinese release uses the synchronized Japanese card identities and numbering for this set; reference count inherited from the matching Japanese checklist.</x:v>
      </x:c>
      <x:c r="H121" s="31" t="str">
        <x:v>synchronized_same_numbering</x:v>
      </x:c>
      <x:c r="I121" s="31" t="str">
        <x:v>https://bulbapedia.bulbagarden.net/wiki/Pok%C3%A9mon_in_Taiwan ; https://asia.pokemon-card.com/tw/card-search/</x:v>
      </x:c>
      <x:c r="J121" s="31" t="str"/>
    </x:row>
    <x:row r="122">
      <x:c r="A122" s="31" t="n">
        <x:v>592</x:v>
      </x:c>
      <x:c r="B122" s="31" t="str">
        <x:v>zh-TW</x:v>
      </x:c>
      <x:c r="C122" s="31" t="str">
        <x:v>Future Flash</x:v>
      </x:c>
      <x:c r="D122" s="31" t="str">
        <x:v>SV4M</x:v>
      </x:c>
      <x:c r="E122" s="31" t="str">
        <x:v>Filled</x:v>
      </x:c>
      <x:c r="F122" s="31" t="n">
        <x:v>95</x:v>
      </x:c>
      <x:c r="G122" s="31" t="str">
        <x:v>Traditional Chinese release uses the synchronized Japanese card identities and numbering for this set; reference count inherited from the matching Japanese checklist.</x:v>
      </x:c>
      <x:c r="H122" s="31" t="str">
        <x:v>synchronized_same_numbering</x:v>
      </x:c>
      <x:c r="I122" s="31" t="str">
        <x:v>https://bulbapedia.bulbagarden.net/wiki/Pok%C3%A9mon_in_Taiwan ; https://asia.pokemon-card.com/tw/card-search/</x:v>
      </x:c>
      <x:c r="J122" s="31" t="str"/>
    </x:row>
    <x:row r="123">
      <x:c r="A123" s="31" t="n">
        <x:v>594</x:v>
      </x:c>
      <x:c r="B123" s="31" t="str">
        <x:v>zh-TW</x:v>
      </x:c>
      <x:c r="C123" s="31" t="str">
        <x:v>Cyber Judge</x:v>
      </x:c>
      <x:c r="D123" s="31" t="str">
        <x:v>SV5M</x:v>
      </x:c>
      <x:c r="E123" s="31" t="str">
        <x:v>Filled</x:v>
      </x:c>
      <x:c r="F123" s="31" t="n">
        <x:v>100</x:v>
      </x:c>
      <x:c r="G123" s="31" t="str">
        <x:v>Traditional Chinese release uses the synchronized Japanese card identities and numbering for this set; reference count inherited from the matching Japanese checklist.</x:v>
      </x:c>
      <x:c r="H123" s="31" t="str">
        <x:v>synchronized_same_numbering</x:v>
      </x:c>
      <x:c r="I123" s="31" t="str">
        <x:v>https://bulbapedia.bulbagarden.net/wiki/Pok%C3%A9mon_in_Taiwan ; https://asia.pokemon-card.com/tw/card-search/</x:v>
      </x:c>
      <x:c r="J123" s="31" t="str"/>
    </x:row>
    <x:row r="124">
      <x:c r="A124" s="31" t="n">
        <x:v>595</x:v>
      </x:c>
      <x:c r="B124" s="31" t="str">
        <x:v>zh-TW</x:v>
      </x:c>
      <x:c r="C124" s="31" t="str">
        <x:v>Starter Set: Ancient Koraidon ex</x:v>
      </x:c>
      <x:c r="D124" s="31" t="str">
        <x:v>SVHK</x:v>
      </x:c>
      <x:c r="E124" s="31" t="str">
        <x:v>Filled</x:v>
      </x:c>
      <x:c r="F124" s="31" t="n">
        <x:v>24</x:v>
      </x:c>
      <x:c r="G124" s="31" t="str">
        <x:v>Starter Set: Ancient Koraidon ex distinct numbered identities.</x:v>
      </x:c>
      <x:c r="H124" s="31" t="str">
        <x:v>product_numbered_checklist</x:v>
      </x:c>
      <x:c r="I124" s="31" t="str">
        <x:v>https://asia.pokemon-card.com/tw/card-search/ ; https://bulbapedia.bulbagarden.net/wiki/Pok%C3%A9mon_in_Taiwan</x:v>
      </x:c>
      <x:c r="J124" s="31" t="str"/>
    </x:row>
    <x:row r="125">
      <x:c r="A125" s="31" t="n">
        <x:v>596</x:v>
      </x:c>
      <x:c r="B125" s="31" t="str">
        <x:v>zh-TW</x:v>
      </x:c>
      <x:c r="C125" s="31" t="str">
        <x:v>Starter Set: Future Miraidon ex</x:v>
      </x:c>
      <x:c r="D125" s="31" t="str">
        <x:v>SVHM</x:v>
      </x:c>
      <x:c r="E125" s="31" t="str">
        <x:v>Filled</x:v>
      </x:c>
      <x:c r="F125" s="31" t="n">
        <x:v>24</x:v>
      </x:c>
      <x:c r="G125" s="31" t="str">
        <x:v>Starter Set: Future Miraidon ex distinct numbered identities.</x:v>
      </x:c>
      <x:c r="H125" s="31" t="str">
        <x:v>product_numbered_checklist</x:v>
      </x:c>
      <x:c r="I125" s="31" t="str">
        <x:v>https://asia.pokemon-card.com/tw/card-search/ ; https://bulbapedia.bulbagarden.net/wiki/Pok%C3%A9mon_in_Taiwan</x:v>
      </x:c>
      <x:c r="J125" s="31" t="str"/>
    </x:row>
    <x:row r="126">
      <x:c r="A126" s="31" t="n">
        <x:v>597</x:v>
      </x:c>
      <x:c r="B126" s="31" t="str">
        <x:v>zh-TW</x:v>
      </x:c>
      <x:c r="C126" s="31" t="str">
        <x:v>Wild Force</x:v>
      </x:c>
      <x:c r="D126" s="31" t="str">
        <x:v>SV5K</x:v>
      </x:c>
      <x:c r="E126" s="31" t="str">
        <x:v>Filled</x:v>
      </x:c>
      <x:c r="F126" s="31" t="n">
        <x:v>100</x:v>
      </x:c>
      <x:c r="G126" s="31" t="str">
        <x:v>Traditional Chinese release uses the synchronized Japanese card identities and numbering for this set; reference count inherited from the matching Japanese checklist.</x:v>
      </x:c>
      <x:c r="H126" s="31" t="str">
        <x:v>synchronized_same_numbering</x:v>
      </x:c>
      <x:c r="I126" s="31" t="str">
        <x:v>https://bulbapedia.bulbagarden.net/wiki/Pok%C3%A9mon_in_Taiwan ; https://asia.pokemon-card.com/tw/card-search/</x:v>
      </x:c>
      <x:c r="J126" s="31" t="str"/>
    </x:row>
    <x:row r="127">
      <x:c r="A127" s="31" t="n">
        <x:v>598</x:v>
      </x:c>
      <x:c r="B127" s="31" t="str">
        <x:v>zh-TW</x:v>
      </x:c>
      <x:c r="C127" s="31" t="str">
        <x:v>Crimson Haze</x:v>
      </x:c>
      <x:c r="D127" s="31" t="str">
        <x:v>SV5a</x:v>
      </x:c>
      <x:c r="E127" s="31" t="str">
        <x:v>Filled</x:v>
      </x:c>
      <x:c r="F127" s="31" t="n">
        <x:v>96</x:v>
      </x:c>
      <x:c r="G127" s="31" t="str">
        <x:v>Traditional Chinese release uses the synchronized Japanese card identities and numbering for this set; reference count inherited from the matching Japanese checklist.</x:v>
      </x:c>
      <x:c r="H127" s="31" t="str">
        <x:v>synchronized_same_numbering</x:v>
      </x:c>
      <x:c r="I127" s="31" t="str">
        <x:v>https://bulbapedia.bulbagarden.net/wiki/Pok%C3%A9mon_in_Taiwan ; https://asia.pokemon-card.com/tw/card-search/</x:v>
      </x:c>
      <x:c r="J127" s="31" t="str"/>
    </x:row>
    <x:row r="128">
      <x:c r="A128" s="31" t="n">
        <x:v>599</x:v>
      </x:c>
      <x:c r="B128" s="31" t="str">
        <x:v>zh-TW</x:v>
      </x:c>
      <x:c r="C128" s="31" t="str">
        <x:v>Transformation Mask</x:v>
      </x:c>
      <x:c r="D128" s="31" t="str">
        <x:v>SV6</x:v>
      </x:c>
      <x:c r="E128" s="31" t="str">
        <x:v>Filled</x:v>
      </x:c>
      <x:c r="F128" s="31" t="n">
        <x:v>133</x:v>
      </x:c>
      <x:c r="G128" s="31" t="str">
        <x:v>Traditional Chinese release uses the synchronized Japanese card identities and numbering for this set; reference count inherited from the matching Japanese checklist.</x:v>
      </x:c>
      <x:c r="H128" s="31" t="str">
        <x:v>synchronized_same_numbering</x:v>
      </x:c>
      <x:c r="I128" s="31" t="str">
        <x:v>https://bulbapedia.bulbagarden.net/wiki/Pok%C3%A9mon_in_Taiwan ; https://asia.pokemon-card.com/tw/card-search/</x:v>
      </x:c>
      <x:c r="J128" s="31" t="str"/>
    </x:row>
    <x:row r="129">
      <x:c r="A129" s="31" t="n">
        <x:v>600</x:v>
      </x:c>
      <x:c r="B129" s="31" t="str">
        <x:v>zh-TW</x:v>
      </x:c>
      <x:c r="C129" s="31" t="str">
        <x:v>Night Wanderer</x:v>
      </x:c>
      <x:c r="D129" s="31" t="str">
        <x:v>SV6a</x:v>
      </x:c>
      <x:c r="E129" s="31" t="str">
        <x:v>Filled</x:v>
      </x:c>
      <x:c r="F129" s="31" t="n">
        <x:v>94</x:v>
      </x:c>
      <x:c r="G129" s="31" t="str">
        <x:v>Traditional Chinese release uses the synchronized Japanese card identities and numbering for this set; reference count inherited from the matching Japanese checklist.</x:v>
      </x:c>
      <x:c r="H129" s="31" t="str">
        <x:v>synchronized_same_numbering</x:v>
      </x:c>
      <x:c r="I129" s="31" t="str">
        <x:v>https://bulbapedia.bulbagarden.net/wiki/Pok%C3%A9mon_in_Taiwan ; https://asia.pokemon-card.com/tw/card-search/</x:v>
      </x:c>
      <x:c r="J129" s="31" t="str"/>
    </x:row>
    <x:row r="130">
      <x:c r="A130" s="31" t="n">
        <x:v>601</x:v>
      </x:c>
      <x:c r="B130" s="31" t="str">
        <x:v>zh-TW</x:v>
      </x:c>
      <x:c r="C130" s="31" t="str">
        <x:v>Tactical Deck: Gardevoir ex</x:v>
      </x:c>
      <x:c r="D130" s="31" t="str">
        <x:v>TW-TD-GARDEVOIR</x:v>
      </x:c>
      <x:c r="E130" s="31" t="str">
        <x:v>Filled</x:v>
      </x:c>
      <x:c r="F130" s="31" t="n">
        <x:v>22</x:v>
      </x:c>
      <x:c r="G130" s="31" t="str">
        <x:v>Tactical Deck: Gardevoir ex distinct numbered identities.</x:v>
      </x:c>
      <x:c r="H130" s="31" t="str">
        <x:v>product_numbered_checklist</x:v>
      </x:c>
      <x:c r="I130" s="31" t="str">
        <x:v>https://asia.pokemon-card.com/tw/card-search/ ; https://bulbapedia.bulbagarden.net/wiki/Pok%C3%A9mon_in_Taiwan</x:v>
      </x:c>
      <x:c r="J130" s="31" t="str"/>
    </x:row>
    <x:row r="131">
      <x:c r="A131" s="31" t="n">
        <x:v>602</x:v>
      </x:c>
      <x:c r="B131" s="31" t="str">
        <x:v>zh-TW</x:v>
      </x:c>
      <x:c r="C131" s="31" t="str">
        <x:v>Tactical Deck: Meowscarada ex</x:v>
      </x:c>
      <x:c r="D131" s="31" t="str">
        <x:v>TW-TD-MEOWSCARADA</x:v>
      </x:c>
      <x:c r="E131" s="31" t="str">
        <x:v>Filled</x:v>
      </x:c>
      <x:c r="F131" s="31" t="n">
        <x:v>22</x:v>
      </x:c>
      <x:c r="G131" s="31" t="str">
        <x:v>Tactical Deck: Meowscarada ex distinct numbered identities.</x:v>
      </x:c>
      <x:c r="H131" s="31" t="str">
        <x:v>product_numbered_checklist</x:v>
      </x:c>
      <x:c r="I131" s="31" t="str">
        <x:v>https://asia.pokemon-card.com/tw/card-search/ ; https://bulbapedia.bulbagarden.net/wiki/Pok%C3%A9mon_in_Taiwan</x:v>
      </x:c>
      <x:c r="J131" s="31" t="str"/>
    </x:row>
    <x:row r="132">
      <x:c r="A132" s="31" t="n">
        <x:v>603</x:v>
      </x:c>
      <x:c r="B132" s="31" t="str">
        <x:v>zh-TW</x:v>
      </x:c>
      <x:c r="C132" s="31" t="str">
        <x:v>Tactical Deck: Miraidon ex</x:v>
      </x:c>
      <x:c r="D132" s="31" t="str">
        <x:v>TW-TD-MIRAIDON</x:v>
      </x:c>
      <x:c r="E132" s="31" t="str">
        <x:v>Filled</x:v>
      </x:c>
      <x:c r="F132" s="31" t="n">
        <x:v>21</x:v>
      </x:c>
      <x:c r="G132" s="31" t="str">
        <x:v>Tactical Deck: Miraidon ex distinct numbered identities.</x:v>
      </x:c>
      <x:c r="H132" s="31" t="str">
        <x:v>product_numbered_checklist</x:v>
      </x:c>
      <x:c r="I132" s="31" t="str">
        <x:v>https://asia.pokemon-card.com/tw/card-search/ ; https://bulbapedia.bulbagarden.net/wiki/Pok%C3%A9mon_in_Taiwan</x:v>
      </x:c>
      <x:c r="J132" s="31" t="str"/>
    </x:row>
    <x:row r="133">
      <x:c r="A133" s="31" t="n">
        <x:v>604</x:v>
      </x:c>
      <x:c r="B133" s="31" t="str">
        <x:v>zh-TW</x:v>
      </x:c>
      <x:c r="C133" s="31" t="str">
        <x:v>Tactical Deck: Scizor ex</x:v>
      </x:c>
      <x:c r="D133" s="31" t="str">
        <x:v>TW-TD-SCIZOR</x:v>
      </x:c>
      <x:c r="E133" s="31" t="str">
        <x:v>Filled</x:v>
      </x:c>
      <x:c r="F133" s="31" t="n">
        <x:v>18</x:v>
      </x:c>
      <x:c r="G133" s="31" t="str">
        <x:v>Tactical Deck: Scizor ex distinct numbered identities.</x:v>
      </x:c>
      <x:c r="H133" s="31" t="str">
        <x:v>product_numbered_checklist</x:v>
      </x:c>
      <x:c r="I133" s="31" t="str">
        <x:v>https://asia.pokemon-card.com/tw/card-search/ ; https://bulbapedia.bulbagarden.net/wiki/Pok%C3%A9mon_in_Taiwan</x:v>
      </x:c>
      <x:c r="J133" s="31" t="str"/>
    </x:row>
    <x:row r="134">
      <x:c r="A134" s="31" t="n">
        <x:v>605</x:v>
      </x:c>
      <x:c r="B134" s="31" t="str">
        <x:v>zh-TW</x:v>
      </x:c>
      <x:c r="C134" s="31" t="str">
        <x:v>Tactical Deck: Tera Charizard ex</x:v>
      </x:c>
      <x:c r="D134" s="31" t="str">
        <x:v>TW-TD-TCHAR</x:v>
      </x:c>
      <x:c r="E134" s="31" t="str">
        <x:v>Filled</x:v>
      </x:c>
      <x:c r="F134" s="31" t="n">
        <x:v>21</x:v>
      </x:c>
      <x:c r="G134" s="31" t="str">
        <x:v>Tactical Deck: Tera Charizard ex distinct numbered identities.</x:v>
      </x:c>
      <x:c r="H134" s="31" t="str">
        <x:v>product_numbered_checklist</x:v>
      </x:c>
      <x:c r="I134" s="31" t="str">
        <x:v>https://asia.pokemon-card.com/tw/card-search/ ; https://bulbapedia.bulbagarden.net/wiki/Pok%C3%A9mon_in_Taiwan</x:v>
      </x:c>
      <x:c r="J134" s="31" t="str"/>
    </x:row>
    <x:row r="135">
      <x:c r="A135" s="31" t="n">
        <x:v>606</x:v>
      </x:c>
      <x:c r="B135" s="31" t="str">
        <x:v>zh-TW</x:v>
      </x:c>
      <x:c r="C135" s="31" t="str">
        <x:v>Tactical Deck: Tera Garchomp ex</x:v>
      </x:c>
      <x:c r="D135" s="31" t="str">
        <x:v>SVTG</x:v>
      </x:c>
      <x:c r="E135" s="31" t="str">
        <x:v>Filled</x:v>
      </x:c>
      <x:c r="F135" s="31" t="n">
        <x:v>19</x:v>
      </x:c>
      <x:c r="G135" s="31" t="str">
        <x:v>Tactical Deck: Tera Garchomp ex distinct numbered identities.</x:v>
      </x:c>
      <x:c r="H135" s="31" t="str">
        <x:v>product_numbered_checklist</x:v>
      </x:c>
      <x:c r="I135" s="31" t="str">
        <x:v>https://asia.pokemon-card.com/tw/card-search/ ; https://bulbapedia.bulbagarden.net/wiki/Pok%C3%A9mon_in_Taiwan</x:v>
      </x:c>
      <x:c r="J135" s="31" t="str"/>
    </x:row>
    <x:row r="136">
      <x:c r="A136" s="31" t="n">
        <x:v>607</x:v>
      </x:c>
      <x:c r="B136" s="31" t="str">
        <x:v>zh-TW</x:v>
      </x:c>
      <x:c r="C136" s="31" t="str">
        <x:v>Stellar Miracle</x:v>
      </x:c>
      <x:c r="D136" s="31" t="str">
        <x:v>SV7</x:v>
      </x:c>
      <x:c r="E136" s="31" t="str">
        <x:v>Filled</x:v>
      </x:c>
      <x:c r="F136" s="31" t="n">
        <x:v>135</x:v>
      </x:c>
      <x:c r="G136" s="31" t="str">
        <x:v>Traditional Chinese release uses the synchronized Japanese card identities and numbering for this set; reference count inherited from the matching Japanese checklist.</x:v>
      </x:c>
      <x:c r="H136" s="31" t="str">
        <x:v>synchronized_same_numbering</x:v>
      </x:c>
      <x:c r="I136" s="31" t="str">
        <x:v>https://bulbapedia.bulbagarden.net/wiki/Pok%C3%A9mon_in_Taiwan ; https://asia.pokemon-card.com/tw/card-search/</x:v>
      </x:c>
      <x:c r="J136" s="31" t="str"/>
    </x:row>
    <x:row r="137">
      <x:c r="A137" s="31" t="n">
        <x:v>608</x:v>
      </x:c>
      <x:c r="B137" s="31" t="str">
        <x:v>zh-TW</x:v>
      </x:c>
      <x:c r="C137" s="31" t="str">
        <x:v>Trainers Camp</x:v>
      </x:c>
      <x:c r="D137" s="31" t="str">
        <x:v>TW-TRAINERS-CAMP</x:v>
      </x:c>
      <x:c r="E137" s="31" t="str">
        <x:v>N/A</x:v>
      </x:c>
      <x:c r="F137" s="31"/>
      <x:c r="G137" s="31" t="str">
        <x:v>Reference count is not applicable: this row represents a teaching/event programme rather than a distinct card catalogue.</x:v>
      </x:c>
      <x:c r="H137" s="31" t="str">
        <x:v>not_applicable_event</x:v>
      </x:c>
      <x:c r="I137" s="31" t="str">
        <x:v>https://asia.pokemon-card.com/tw/event/</x:v>
      </x:c>
      <x:c r="J137" s="31" t="str">
        <x:v>Do not substitute the physical cards in teaching decks as a catalogue identity count.</x:v>
      </x:c>
    </x:row>
    <x:row r="138">
      <x:c r="A138" s="31" t="n">
        <x:v>609</x:v>
      </x:c>
      <x:c r="B138" s="31" t="str">
        <x:v>zh-TW</x:v>
      </x:c>
      <x:c r="C138" s="31" t="str">
        <x:v>Deck Build Box Paradise Dragona</x:v>
      </x:c>
      <x:c r="D138" s="31" t="str">
        <x:v>SVK</x:v>
      </x:c>
      <x:c r="E138" s="31" t="str">
        <x:v>Filled</x:v>
      </x:c>
      <x:c r="F138" s="31" t="n">
        <x:v>42</x:v>
      </x:c>
      <x:c r="G138" s="31" t="str">
        <x:v>Deck Build Box Paradise Dragona numbered catalogue identities through 042; not box contents.</x:v>
      </x:c>
      <x:c r="H138" s="31" t="str">
        <x:v>product_numbered_checklist</x:v>
      </x:c>
      <x:c r="I138" s="31" t="str">
        <x:v>https://asia.pokemon-card.com/tw/card-search/ ; https://bulbapedia.bulbagarden.net/wiki/Pok%C3%A9mon_in_Taiwan</x:v>
      </x:c>
      <x:c r="J138" s="31" t="str"/>
    </x:row>
    <x:row r="139">
      <x:c r="A139" s="31" t="n">
        <x:v>610</x:v>
      </x:c>
      <x:c r="B139" s="31" t="str">
        <x:v>zh-TW</x:v>
      </x:c>
      <x:c r="C139" s="31" t="str">
        <x:v>Paradise Dragona</x:v>
      </x:c>
      <x:c r="D139" s="31" t="str">
        <x:v>SV7a</x:v>
      </x:c>
      <x:c r="E139" s="31" t="str">
        <x:v>Filled</x:v>
      </x:c>
      <x:c r="F139" s="31" t="n">
        <x:v>94</x:v>
      </x:c>
      <x:c r="G139" s="31" t="str">
        <x:v>Traditional Chinese release uses the synchronized Japanese card identities and numbering for this set; reference count inherited from the matching Japanese checklist.</x:v>
      </x:c>
      <x:c r="H139" s="31" t="str">
        <x:v>synchronized_same_numbering</x:v>
      </x:c>
      <x:c r="I139" s="31" t="str">
        <x:v>https://bulbapedia.bulbagarden.net/wiki/Pok%C3%A9mon_in_Taiwan ; https://asia.pokemon-card.com/tw/card-search/</x:v>
      </x:c>
      <x:c r="J139" s="31" t="str"/>
    </x:row>
    <x:row r="140">
      <x:c r="A140" s="31" t="n">
        <x:v>611</x:v>
      </x:c>
      <x:c r="B140" s="31" t="str">
        <x:v>zh-TW</x:v>
      </x:c>
      <x:c r="C140" s="31" t="str">
        <x:v>Stellar Tera ex Special Set: Ceruledge ex</x:v>
      </x:c>
      <x:c r="D140" s="31" t="str">
        <x:v>TW-STEX-CERU</x:v>
      </x:c>
      <x:c r="E140" s="31" t="str">
        <x:v>Filled</x:v>
      </x:c>
      <x:c r="F140" s="31" t="n">
        <x:v>25</x:v>
      </x:c>
      <x:c r="G140" s="31" t="str">
        <x:v>Stellar Tera ex Special Set: Ceruledge ex distinct product identities.</x:v>
      </x:c>
      <x:c r="H140" s="31" t="str">
        <x:v>product_numbered_checklist</x:v>
      </x:c>
      <x:c r="I140" s="31" t="str">
        <x:v>https://asia.pokemon-card.com/tw/card-search/ ; https://bulbapedia.bulbagarden.net/wiki/Pok%C3%A9mon_in_Taiwan</x:v>
      </x:c>
      <x:c r="J140" s="31" t="str"/>
    </x:row>
    <x:row r="141">
      <x:c r="A141" s="31" t="n">
        <x:v>612</x:v>
      </x:c>
      <x:c r="B141" s="31" t="str">
        <x:v>zh-TW</x:v>
      </x:c>
      <x:c r="C141" s="31" t="str">
        <x:v>Stellar Tera ex Special Set: Sylveon ex</x:v>
      </x:c>
      <x:c r="D141" s="31" t="str">
        <x:v>TW-STEX-SYLV</x:v>
      </x:c>
      <x:c r="E141" s="31" t="str">
        <x:v>Filled</x:v>
      </x:c>
      <x:c r="F141" s="31" t="n">
        <x:v>25</x:v>
      </x:c>
      <x:c r="G141" s="31" t="str">
        <x:v>Stellar Tera ex Special Set: Sylveon ex distinct product identities.</x:v>
      </x:c>
      <x:c r="H141" s="31" t="str">
        <x:v>product_numbered_checklist</x:v>
      </x:c>
      <x:c r="I141" s="31" t="str">
        <x:v>https://asia.pokemon-card.com/tw/card-search/ ; https://bulbapedia.bulbagarden.net/wiki/Pok%C3%A9mon_in_Taiwan</x:v>
      </x:c>
      <x:c r="J141" s="31" t="str"/>
    </x:row>
    <x:row r="142">
      <x:c r="A142" s="31" t="n">
        <x:v>613</x:v>
      </x:c>
      <x:c r="B142" s="31" t="str">
        <x:v>zh-TW</x:v>
      </x:c>
      <x:c r="C142" s="31" t="str">
        <x:v>Super Electric Breaker</x:v>
      </x:c>
      <x:c r="D142" s="31" t="str">
        <x:v>SV8</x:v>
      </x:c>
      <x:c r="E142" s="31" t="str">
        <x:v>Filled</x:v>
      </x:c>
      <x:c r="F142" s="31" t="n">
        <x:v>138</x:v>
      </x:c>
      <x:c r="G142" s="31" t="str">
        <x:v>Traditional Chinese release uses the synchronized Japanese card identities and numbering for this set; reference count inherited from the matching Japanese checklist.</x:v>
      </x:c>
      <x:c r="H142" s="31" t="str">
        <x:v>synchronized_same_numbering</x:v>
      </x:c>
      <x:c r="I142" s="31" t="str">
        <x:v>https://bulbapedia.bulbagarden.net/wiki/Pok%C3%A9mon_in_Taiwan ; https://asia.pokemon-card.com/tw/card-search/</x:v>
      </x:c>
      <x:c r="J142" s="31" t="str"/>
    </x:row>
    <x:row r="143">
      <x:c r="A143" s="31" t="n">
        <x:v>614</x:v>
      </x:c>
      <x:c r="B143" s="31" t="str">
        <x:v>zh-TW</x:v>
      </x:c>
      <x:c r="C143" s="31" t="str">
        <x:v>Double ex Start Deck Generations</x:v>
      </x:c>
      <x:c r="D143" s="31" t="str">
        <x:v>TW-SVC</x:v>
      </x:c>
      <x:c r="E143" s="31" t="str">
        <x:v>Filled</x:v>
      </x:c>
      <x:c r="F143" s="31" t="n">
        <x:v>175</x:v>
      </x:c>
      <x:c r="G143" s="31" t="str">
        <x:v>Double ex Start Deck Generations combined catalogue identities in the product-family checklist scope.</x:v>
      </x:c>
      <x:c r="H143" s="31" t="str">
        <x:v>product_numbered_checklist</x:v>
      </x:c>
      <x:c r="I143" s="31" t="str">
        <x:v>https://asia.pokemon-card.com/tw/card-search/ ; https://bulbapedia.bulbagarden.net/wiki/Pok%C3%A9mon_in_Taiwan</x:v>
      </x:c>
      <x:c r="J143" s="31" t="str"/>
    </x:row>
    <x:row r="144">
      <x:c r="A144" s="31" t="n">
        <x:v>615</x:v>
      </x:c>
      <x:c r="B144" s="31" t="str">
        <x:v>zh-TW</x:v>
      </x:c>
      <x:c r="C144" s="31" t="str">
        <x:v>Terastal Fest ex</x:v>
      </x:c>
      <x:c r="D144" s="31" t="str">
        <x:v>SV8a</x:v>
      </x:c>
      <x:c r="E144" s="31" t="str">
        <x:v>Filled</x:v>
      </x:c>
      <x:c r="F144" s="31" t="n">
        <x:v>237</x:v>
      </x:c>
      <x:c r="G144" s="31" t="str">
        <x:v>Traditional Chinese release uses the synchronized Japanese card identities and numbering for this set; reference count inherited from the matching Japanese checklist.</x:v>
      </x:c>
      <x:c r="H144" s="31" t="str">
        <x:v>synchronized_same_numbering</x:v>
      </x:c>
      <x:c r="I144" s="31" t="str">
        <x:v>https://bulbapedia.bulbagarden.net/wiki/Pok%C3%A9mon_in_Taiwan ; https://asia.pokemon-card.com/tw/card-search/</x:v>
      </x:c>
      <x:c r="J144" s="31" t="str"/>
    </x:row>
    <x:row r="145">
      <x:c r="A145" s="31" t="n">
        <x:v>616</x:v>
      </x:c>
      <x:c r="B145" s="31" t="str">
        <x:v>zh-TW</x:v>
      </x:c>
      <x:c r="C145" s="31" t="str">
        <x:v>Battle Partners</x:v>
      </x:c>
      <x:c r="D145" s="31" t="str">
        <x:v>SV9</x:v>
      </x:c>
      <x:c r="E145" s="31" t="str">
        <x:v>Filled</x:v>
      </x:c>
      <x:c r="F145" s="31" t="n">
        <x:v>132</x:v>
      </x:c>
      <x:c r="G145" s="31" t="str">
        <x:v>Traditional Chinese release uses the synchronized Japanese card identities and numbering for this set; reference count inherited from the matching Japanese checklist.</x:v>
      </x:c>
      <x:c r="H145" s="31" t="str">
        <x:v>synchronized_same_numbering</x:v>
      </x:c>
      <x:c r="I145" s="31" t="str">
        <x:v>https://bulbapedia.bulbagarden.net/wiki/Pok%C3%A9mon_in_Taiwan ; https://asia.pokemon-card.com/tw/card-search/</x:v>
      </x:c>
      <x:c r="J145" s="31" t="str"/>
    </x:row>
    <x:row r="146">
      <x:c r="A146" s="31" t="n">
        <x:v>617</x:v>
      </x:c>
      <x:c r="B146" s="31" t="str">
        <x:v>zh-TW</x:v>
      </x:c>
      <x:c r="C146" s="31" t="str">
        <x:v>Challenge Deck: Marnie's Morpeko &amp; Grimmsnarl ex</x:v>
      </x:c>
      <x:c r="D146" s="31" t="str">
        <x:v>TW-SVF-M</x:v>
      </x:c>
      <x:c r="E146" s="31" t="str">
        <x:v>Filled</x:v>
      </x:c>
      <x:c r="F146" s="31" t="n">
        <x:v>22</x:v>
      </x:c>
      <x:c r="G146" s="31" t="str">
        <x:v>Marnie's Morpeko &amp; Grimmsnarl ex Challenge Deck: 21-card denominator plus documented 022/021 extra identity.</x:v>
      </x:c>
      <x:c r="H146" s="31" t="str">
        <x:v>product_numbered_checklist</x:v>
      </x:c>
      <x:c r="I146" s="31" t="str">
        <x:v>https://asia.pokemon-card.com/tw/card-search/ ; https://bulbapedia.bulbagarden.net/wiki/Pok%C3%A9mon_in_Taiwan</x:v>
      </x:c>
      <x:c r="J146" s="31" t="str"/>
    </x:row>
    <x:row r="147">
      <x:c r="A147" s="31" t="n">
        <x:v>618</x:v>
      </x:c>
      <x:c r="B147" s="31" t="str">
        <x:v>zh-TW</x:v>
      </x:c>
      <x:c r="C147" s="31" t="str">
        <x:v>Challenge Deck: Steven's Beldum &amp; Metagross ex</x:v>
      </x:c>
      <x:c r="D147" s="31" t="str">
        <x:v>TW-SVF-S</x:v>
      </x:c>
      <x:c r="E147" s="31" t="str">
        <x:v>Filled</x:v>
      </x:c>
      <x:c r="F147" s="31" t="n">
        <x:v>21</x:v>
      </x:c>
      <x:c r="G147" s="31" t="str">
        <x:v>Steven's Beldum &amp; Metagross ex Challenge Deck: 20-card denominator plus documented 021/020 extra identity.</x:v>
      </x:c>
      <x:c r="H147" s="31" t="str">
        <x:v>product_numbered_checklist</x:v>
      </x:c>
      <x:c r="I147" s="31" t="str">
        <x:v>https://asia.pokemon-card.com/tw/card-search/ ; https://bulbapedia.bulbagarden.net/wiki/Pok%C3%A9mon_in_Taiwan</x:v>
      </x:c>
      <x:c r="J147" s="31" t="str"/>
    </x:row>
    <x:row r="148">
      <x:c r="A148" s="31" t="n">
        <x:v>619</x:v>
      </x:c>
      <x:c r="B148" s="31" t="str">
        <x:v>zh-TW</x:v>
      </x:c>
      <x:c r="C148" s="31" t="str">
        <x:v>Hot Wind Arena</x:v>
      </x:c>
      <x:c r="D148" s="31" t="str">
        <x:v>TW-SV9a</x:v>
      </x:c>
      <x:c r="E148" s="31" t="str">
        <x:v>Filled</x:v>
      </x:c>
      <x:c r="F148" s="31" t="n">
        <x:v>92</x:v>
      </x:c>
      <x:c r="G148" s="31" t="str">
        <x:v>Traditional Chinese Hot Wind Arena uses the synchronized Japanese SV9a checklist identity/numbering.</x:v>
      </x:c>
      <x:c r="H148" s="31" t="str">
        <x:v>regional_set_checklist</x:v>
      </x:c>
      <x:c r="I148" s="31" t="str">
        <x:v>https://asia.pokemon-card.com/tw/card-search/ ; https://bulbapedia.bulbagarden.net/wiki/Pok%C3%A9mon_in_Taiwan</x:v>
      </x:c>
      <x:c r="J148" s="31" t="str"/>
    </x:row>
    <x:row r="149">
      <x:c r="A149" s="31" t="n">
        <x:v>620</x:v>
      </x:c>
      <x:c r="B149" s="31" t="str">
        <x:v>zh-TW</x:v>
      </x:c>
      <x:c r="C149" s="31" t="str">
        <x:v>Glory of the Rocket Gang</x:v>
      </x:c>
      <x:c r="D149" s="31" t="str">
        <x:v>SV10</x:v>
      </x:c>
      <x:c r="E149" s="31" t="str">
        <x:v>Filled</x:v>
      </x:c>
      <x:c r="F149" s="31" t="n">
        <x:v>132</x:v>
      </x:c>
      <x:c r="G149" s="31" t="str">
        <x:v>Traditional Chinese release uses the synchronized Japanese card identities and numbering for this set; reference count inherited from the matching Japanese checklist.</x:v>
      </x:c>
      <x:c r="H149" s="31" t="str">
        <x:v>synchronized_same_numbering</x:v>
      </x:c>
      <x:c r="I149" s="31" t="str">
        <x:v>https://bulbapedia.bulbagarden.net/wiki/Pok%C3%A9mon_in_Taiwan ; https://asia.pokemon-card.com/tw/card-search/</x:v>
      </x:c>
      <x:c r="J149" s="31" t="str"/>
    </x:row>
    <x:row r="150">
      <x:c r="A150" s="31" t="n">
        <x:v>621</x:v>
      </x:c>
      <x:c r="B150" s="31" t="str">
        <x:v>zh-TW</x:v>
      </x:c>
      <x:c r="C150" s="31" t="str">
        <x:v>Black Bolt</x:v>
      </x:c>
      <x:c r="D150" s="31" t="str">
        <x:v>TW-SV11B</x:v>
      </x:c>
      <x:c r="E150" s="31" t="str">
        <x:v>Filled</x:v>
      </x:c>
      <x:c r="F150" s="31" t="n">
        <x:v>174</x:v>
      </x:c>
      <x:c r="G150" s="31" t="str">
        <x:v>Traditional Chinese Black Bolt uses the synchronized Japanese SV11B checklist identity/numbering.</x:v>
      </x:c>
      <x:c r="H150" s="31" t="str">
        <x:v>regional_set_checklist</x:v>
      </x:c>
      <x:c r="I150" s="31" t="str">
        <x:v>https://asia.pokemon-card.com/tw/card-search/ ; https://bulbapedia.bulbagarden.net/wiki/Pok%C3%A9mon_in_Taiwan</x:v>
      </x:c>
      <x:c r="J150" s="31" t="str"/>
    </x:row>
    <x:row r="151">
      <x:c r="A151" s="31" t="n">
        <x:v>622</x:v>
      </x:c>
      <x:c r="B151" s="31" t="str">
        <x:v>zh-TW</x:v>
      </x:c>
      <x:c r="C151" s="31" t="str">
        <x:v>White Flare</x:v>
      </x:c>
      <x:c r="D151" s="31" t="str">
        <x:v>SV11W</x:v>
      </x:c>
      <x:c r="E151" s="31" t="str">
        <x:v>Filled</x:v>
      </x:c>
      <x:c r="F151" s="31" t="n">
        <x:v>174</x:v>
      </x:c>
      <x:c r="G151" s="31" t="str">
        <x:v>Traditional Chinese release uses the synchronized Japanese card identities and numbering for this set; reference count inherited from the matching Japanese checklist.</x:v>
      </x:c>
      <x:c r="H151" s="31" t="str">
        <x:v>synchronized_same_numbering</x:v>
      </x:c>
      <x:c r="I151" s="31" t="str">
        <x:v>https://bulbapedia.bulbagarden.net/wiki/Pok%C3%A9mon_in_Taiwan ; https://asia.pokemon-card.com/tw/card-search/</x:v>
      </x:c>
      <x:c r="J151" s="31" t="str"/>
    </x:row>
    <x:row r="152">
      <x:c r="A152" s="31" t="n">
        <x:v>623</x:v>
      </x:c>
      <x:c r="B152" s="31" t="str">
        <x:v>zh-TW</x:v>
      </x:c>
      <x:c r="C152" s="31" t="str">
        <x:v>ex Start Deck: Charizard</x:v>
      </x:c>
      <x:c r="D152" s="31" t="str">
        <x:v>SVQL</x:v>
      </x:c>
      <x:c r="E152" s="31" t="str">
        <x:v>Filled</x:v>
      </x:c>
      <x:c r="F152" s="31" t="n">
        <x:v>22</x:v>
      </x:c>
      <x:c r="G152" s="31" t="str">
        <x:v>ex Start Deck: Charizard distinct numbered identities (001/022–022/022).</x:v>
      </x:c>
      <x:c r="H152" s="31" t="str">
        <x:v>product_numbered_checklist</x:v>
      </x:c>
      <x:c r="I152" s="31" t="str">
        <x:v>https://asia.pokemon-card.com/tw/card-search/ ; https://bulbapedia.bulbagarden.net/wiki/Pok%C3%A9mon_in_Taiwan</x:v>
      </x:c>
      <x:c r="J152" s="31" t="str"/>
    </x:row>
    <x:row r="153">
      <x:c r="A153" s="31" t="n">
        <x:v>624</x:v>
      </x:c>
      <x:c r="B153" s="31" t="str">
        <x:v>zh-TW</x:v>
      </x:c>
      <x:c r="C153" s="31" t="str">
        <x:v>ex Start Deck: Pikachu</x:v>
      </x:c>
      <x:c r="D153" s="31" t="str">
        <x:v>SVQP</x:v>
      </x:c>
      <x:c r="E153" s="31" t="str">
        <x:v>Filled</x:v>
      </x:c>
      <x:c r="F153" s="31" t="n">
        <x:v>23</x:v>
      </x:c>
      <x:c r="G153" s="31" t="str">
        <x:v>ex Start Deck: Pikachu distinct numbered identities (001/023–023/023).</x:v>
      </x:c>
      <x:c r="H153" s="31" t="str">
        <x:v>product_numbered_checklist</x:v>
      </x:c>
      <x:c r="I153" s="31" t="str">
        <x:v>https://asia.pokemon-card.com/tw/card-search/ ; https://bulbapedia.bulbagarden.net/wiki/Pok%C3%A9mon_in_Taiwan</x:v>
      </x:c>
      <x:c r="J153" s="31" t="str"/>
    </x:row>
    <x:row r="154">
      <x:c r="A154" s="31" t="n">
        <x:v>625</x:v>
      </x:c>
      <x:c r="B154" s="31" t="str">
        <x:v>zh-TW</x:v>
      </x:c>
      <x:c r="C154" s="31" t="str">
        <x:v>Mega Brave</x:v>
      </x:c>
      <x:c r="D154" s="31" t="str">
        <x:v>M1L</x:v>
      </x:c>
      <x:c r="E154" s="31" t="str">
        <x:v>Filled</x:v>
      </x:c>
      <x:c r="F154" s="31" t="n">
        <x:v>92</x:v>
      </x:c>
      <x:c r="G154" s="31" t="str">
        <x:v>Traditional Chinese release uses the synchronized Japanese card identities and numbering for this set; reference count inherited from the matching Japanese checklist.</x:v>
      </x:c>
      <x:c r="H154" s="31" t="str">
        <x:v>synchronized_same_numbering</x:v>
      </x:c>
      <x:c r="I154" s="31" t="str">
        <x:v>https://bulbapedia.bulbagarden.net/wiki/Pok%C3%A9mon_in_Taiwan ; https://asia.pokemon-card.com/tw/card-search/</x:v>
      </x:c>
      <x:c r="J154" s="31" t="str"/>
    </x:row>
    <x:row r="155">
      <x:c r="A155" s="31" t="n">
        <x:v>626</x:v>
      </x:c>
      <x:c r="B155" s="31" t="str">
        <x:v>zh-TW</x:v>
      </x:c>
      <x:c r="C155" s="31" t="str">
        <x:v>Mega Symphonia</x:v>
      </x:c>
      <x:c r="D155" s="31" t="str">
        <x:v>M1S</x:v>
      </x:c>
      <x:c r="E155" s="31" t="str">
        <x:v>Filled</x:v>
      </x:c>
      <x:c r="F155" s="31" t="n">
        <x:v>92</x:v>
      </x:c>
      <x:c r="G155" s="31" t="str">
        <x:v>Traditional Chinese release uses the synchronized Japanese card identities and numbering for this set; reference count inherited from the matching Japanese checklist.</x:v>
      </x:c>
      <x:c r="H155" s="31" t="str">
        <x:v>synchronized_same_numbering</x:v>
      </x:c>
      <x:c r="I155" s="31" t="str">
        <x:v>https://bulbapedia.bulbagarden.net/wiki/Pok%C3%A9mon_in_Taiwan ; https://asia.pokemon-card.com/tw/card-search/</x:v>
      </x:c>
      <x:c r="J155" s="31" t="str"/>
    </x:row>
    <x:row r="156">
      <x:c r="A156" s="31" t="n">
        <x:v>627</x:v>
      </x:c>
      <x:c r="B156" s="31" t="str">
        <x:v>zh-TW</x:v>
      </x:c>
      <x:c r="C156" s="31" t="str">
        <x:v>Challenge Deck: Mega Diancie ex</x:v>
      </x:c>
      <x:c r="D156" s="31" t="str">
        <x:v>MBD</x:v>
      </x:c>
      <x:c r="E156" s="31" t="str">
        <x:v>Filled</x:v>
      </x:c>
      <x:c r="F156" s="31" t="n">
        <x:v>23</x:v>
      </x:c>
      <x:c r="G156" s="31" t="str">
        <x:v>Challenge Deck: Mega Diancie ex: 22-card denominator plus documented 023/022 extra identity.</x:v>
      </x:c>
      <x:c r="H156" s="31" t="str">
        <x:v>product_numbered_checklist</x:v>
      </x:c>
      <x:c r="I156" s="31" t="str">
        <x:v>https://asia.pokemon-card.com/tw/card-search/ ; https://bulbapedia.bulbagarden.net/wiki/Pok%C3%A9mon_in_Taiwan</x:v>
      </x:c>
      <x:c r="J156" s="31" t="str"/>
    </x:row>
    <x:row r="157">
      <x:c r="A157" s="31" t="n">
        <x:v>628</x:v>
      </x:c>
      <x:c r="B157" s="31" t="str">
        <x:v>zh-TW</x:v>
      </x:c>
      <x:c r="C157" s="31" t="str">
        <x:v>Challenge Deck: Mega Gengar ex</x:v>
      </x:c>
      <x:c r="D157" s="31" t="str">
        <x:v>MBG</x:v>
      </x:c>
      <x:c r="E157" s="31" t="str">
        <x:v>Filled</x:v>
      </x:c>
      <x:c r="F157" s="31" t="n">
        <x:v>23</x:v>
      </x:c>
      <x:c r="G157" s="31" t="str">
        <x:v>Challenge Deck: Mega Gengar ex: 22-card denominator plus documented 023/022 extra identity.</x:v>
      </x:c>
      <x:c r="H157" s="31" t="str">
        <x:v>product_numbered_checklist</x:v>
      </x:c>
      <x:c r="I157" s="31" t="str">
        <x:v>https://asia.pokemon-card.com/tw/card-search/ ; https://bulbapedia.bulbagarden.net/wiki/Pok%C3%A9mon_in_Taiwan</x:v>
      </x:c>
      <x:c r="J157" s="31" t="str"/>
    </x:row>
    <x:row r="158">
      <x:c r="A158" s="31" t="n">
        <x:v>629</x:v>
      </x:c>
      <x:c r="B158" s="31" t="str">
        <x:v>zh-TW</x:v>
      </x:c>
      <x:c r="C158" s="31" t="str">
        <x:v>Inferno X</x:v>
      </x:c>
      <x:c r="D158" s="31" t="str">
        <x:v>M2</x:v>
      </x:c>
      <x:c r="E158" s="31" t="str">
        <x:v>Filled</x:v>
      </x:c>
      <x:c r="F158" s="31" t="n">
        <x:v>116</x:v>
      </x:c>
      <x:c r="G158" s="31" t="str">
        <x:v>Traditional Chinese release uses the synchronized Japanese card identities and numbering for this set; reference count inherited from the matching Japanese checklist.</x:v>
      </x:c>
      <x:c r="H158" s="31" t="str">
        <x:v>synchronized_same_numbering</x:v>
      </x:c>
      <x:c r="I158" s="31" t="str">
        <x:v>https://bulbapedia.bulbagarden.net/wiki/Pok%C3%A9mon_in_Taiwan ; https://asia.pokemon-card.com/tw/card-search/</x:v>
      </x:c>
      <x:c r="J158" s="31" t="str"/>
    </x:row>
    <x:row r="159">
      <x:c r="A159" s="31" t="n">
        <x:v>630</x:v>
      </x:c>
      <x:c r="B159" s="31" t="str">
        <x:v>zh-TW</x:v>
      </x:c>
      <x:c r="C159" s="31" t="str">
        <x:v>MEGA Dream ex</x:v>
      </x:c>
      <x:c r="D159" s="31" t="str">
        <x:v>M2a</x:v>
      </x:c>
      <x:c r="E159" s="31" t="str">
        <x:v>Filled</x:v>
      </x:c>
      <x:c r="F159" s="31" t="n">
        <x:v>250</x:v>
      </x:c>
      <x:c r="G159" s="31" t="str">
        <x:v>Traditional Chinese release uses the synchronized Japanese card identities and numbering for this set; reference count inherited from the matching Japanese checklist.</x:v>
      </x:c>
      <x:c r="H159" s="31" t="str">
        <x:v>synchronized_same_numbering</x:v>
      </x:c>
      <x:c r="I159" s="31" t="str">
        <x:v>https://bulbapedia.bulbagarden.net/wiki/Pok%C3%A9mon_in_Taiwan ; https://asia.pokemon-card.com/tw/card-search/</x:v>
      </x:c>
      <x:c r="J159" s="31" t="str"/>
    </x:row>
    <x:row r="160">
      <x:c r="A160" s="31" t="n">
        <x:v>631</x:v>
      </x:c>
      <x:c r="B160" s="31" t="str">
        <x:v>zh-TW</x:v>
      </x:c>
      <x:c r="C160" s="31" t="str">
        <x:v>Start Deck 100 Battle Collection</x:v>
      </x:c>
      <x:c r="D160" s="31" t="str">
        <x:v>TW-SD100-BC</x:v>
      </x:c>
      <x:c r="E160" s="31" t="str">
        <x:v>Filled</x:v>
      </x:c>
      <x:c r="F160" s="31" t="n">
        <x:v>742</x:v>
      </x:c>
      <x:c r="G160" s="31" t="str">
        <x:v>Printed denominator / minimum catalogue size for Start Deck 100 Battle Collection. Full beyond-denominator catalogue may be larger; stored deliberately as a lower bound.</x:v>
      </x:c>
      <x:c r="H160" s="31" t="str">
        <x:v>lower_bound_or_numbering_extent</x:v>
      </x:c>
      <x:c r="I160" s="31" t="str">
        <x:v>https://asia.pokemon-card.com/tw/card-search/ ; https://bulbapedia.bulbagarden.net/wiki/Pok%C3%A9mon_in_Taiwan</x:v>
      </x:c>
      <x:c r="J160" s="31" t="str"/>
    </x:row>
    <x:row r="161">
      <x:c r="A161" s="31" t="n">
        <x:v>632</x:v>
      </x:c>
      <x:c r="B161" s="31" t="str">
        <x:v>zh-TW</x:v>
      </x:c>
      <x:c r="C161" s="31" t="str">
        <x:v>Nihil Zero</x:v>
      </x:c>
      <x:c r="D161" s="31" t="str">
        <x:v>M3</x:v>
      </x:c>
      <x:c r="E161" s="31" t="str">
        <x:v>Filled</x:v>
      </x:c>
      <x:c r="F161" s="31" t="n">
        <x:v>117</x:v>
      </x:c>
      <x:c r="G161" s="31" t="str">
        <x:v>Traditional Chinese release uses the synchronized Japanese card identities and numbering for this set; reference count inherited from the matching Japanese checklist.</x:v>
      </x:c>
      <x:c r="H161" s="31" t="str">
        <x:v>synchronized_same_numbering</x:v>
      </x:c>
      <x:c r="I161" s="31" t="str">
        <x:v>https://bulbapedia.bulbagarden.net/wiki/Pok%C3%A9mon_in_Taiwan ; https://asia.pokemon-card.com/tw/card-search/</x:v>
      </x:c>
      <x:c r="J161" s="31" t="str"/>
    </x:row>
    <x:row r="162">
      <x:c r="A162" s="31" t="n">
        <x:v>633</x:v>
      </x:c>
      <x:c r="B162" s="31" t="str">
        <x:v>zh-TW</x:v>
      </x:c>
      <x:c r="C162" s="31" t="str">
        <x:v>New Trainer Journey</x:v>
      </x:c>
      <x:c r="D162" s="31" t="str">
        <x:v>TW-NTJ</x:v>
      </x:c>
      <x:c r="E162" s="31" t="str">
        <x:v>N/A</x:v>
      </x:c>
      <x:c r="F162" s="31"/>
      <x:c r="G162" s="31" t="str">
        <x:v>Reference count is not applicable: this row represents a teaching/event programme rather than a distinct card catalogue.</x:v>
      </x:c>
      <x:c r="H162" s="31" t="str">
        <x:v>not_applicable_event</x:v>
      </x:c>
      <x:c r="I162" s="31" t="str">
        <x:v>https://asia.pokemon-card.com/tw/event/</x:v>
      </x:c>
      <x:c r="J162" s="31" t="str">
        <x:v>Do not substitute the physical cards in teaching decks as a catalogue identity count.</x:v>
      </x:c>
    </x:row>
    <x:row r="163">
      <x:c r="A163" s="31" t="n">
        <x:v>634</x:v>
      </x:c>
      <x:c r="B163" s="31" t="str">
        <x:v>zh-TW</x:v>
      </x:c>
      <x:c r="C163" s="31" t="str">
        <x:v>Ninja Spinner</x:v>
      </x:c>
      <x:c r="D163" s="31" t="str">
        <x:v>M4</x:v>
      </x:c>
      <x:c r="E163" s="31" t="str">
        <x:v>Filled</x:v>
      </x:c>
      <x:c r="F163" s="31" t="n">
        <x:v>120</x:v>
      </x:c>
      <x:c r="G163" s="31" t="str">
        <x:v>Traditional Chinese release uses the synchronized Japanese card identities and numbering for this set; reference count inherited from the matching Japanese checklist.</x:v>
      </x:c>
      <x:c r="H163" s="31" t="str">
        <x:v>synchronized_same_numbering</x:v>
      </x:c>
      <x:c r="I163" s="31" t="str">
        <x:v>https://bulbapedia.bulbagarden.net/wiki/Pok%C3%A9mon_in_Taiwan ; https://asia.pokemon-card.com/tw/card-search/</x:v>
      </x:c>
      <x:c r="J163" s="31" t="str"/>
    </x:row>
    <x:row r="164">
      <x:c r="A164" s="31" t="n">
        <x:v>635</x:v>
      </x:c>
      <x:c r="B164" s="31" t="str">
        <x:v>zh-TW</x:v>
      </x:c>
      <x:c r="C164" s="31" t="str">
        <x:v>Abyss Eye</x:v>
      </x:c>
      <x:c r="D164" s="31" t="str">
        <x:v>M5</x:v>
      </x:c>
      <x:c r="E164" s="31" t="str">
        <x:v>Filled</x:v>
      </x:c>
      <x:c r="F164" s="31" t="n">
        <x:v>118</x:v>
      </x:c>
      <x:c r="G164" s="31" t="str">
        <x:v>Traditional Chinese release uses the synchronized Japanese card identities and numbering for this set; reference count inherited from the matching Japanese checklist.</x:v>
      </x:c>
      <x:c r="H164" s="31" t="str">
        <x:v>synchronized_same_numbering</x:v>
      </x:c>
      <x:c r="I164" s="31" t="str">
        <x:v>https://bulbapedia.bulbagarden.net/wiki/Pok%C3%A9mon_in_Taiwan ; https://asia.pokemon-card.com/tw/card-search/</x:v>
      </x:c>
      <x:c r="J164" s="31" t="str"/>
    </x:row>
    <x:row r="165">
      <x:c r="A165" s="31" t="n">
        <x:v>636</x:v>
      </x:c>
      <x:c r="B165" s="31" t="str">
        <x:v>zh-TW</x:v>
      </x:c>
      <x:c r="C165" s="31" t="str">
        <x:v>Tactical Deck: Mega Charizard X ex</x:v>
      </x:c>
      <x:c r="D165" s="31" t="str">
        <x:v>MTL</x:v>
      </x:c>
      <x:c r="E165" s="31" t="str">
        <x:v>Filled</x:v>
      </x:c>
      <x:c r="F165" s="31" t="n">
        <x:v>23</x:v>
      </x:c>
      <x:c r="G165" s="31" t="str">
        <x:v>Tactical Deck: Mega Charizard X ex distinct numbered identities.</x:v>
      </x:c>
      <x:c r="H165" s="31" t="str">
        <x:v>product_numbered_checklist</x:v>
      </x:c>
      <x:c r="I165" s="31" t="str">
        <x:v>https://asia.pokemon-card.com/tw/card-search/ ; https://bulbapedia.bulbagarden.net/wiki/Pok%C3%A9mon_in_Taiwan</x:v>
      </x:c>
      <x:c r="J165" s="31" t="str"/>
    </x:row>
    <x:row r="166">
      <x:c r="A166" s="31" t="n">
        <x:v>637</x:v>
      </x:c>
      <x:c r="B166" s="31" t="str">
        <x:v>zh-TW</x:v>
      </x:c>
      <x:c r="C166" s="31" t="str">
        <x:v>Tactical Deck: Mega Dragonite ex</x:v>
      </x:c>
      <x:c r="D166" s="31" t="str">
        <x:v>MTK</x:v>
      </x:c>
      <x:c r="E166" s="31" t="str">
        <x:v>Filled</x:v>
      </x:c>
      <x:c r="F166" s="31" t="n">
        <x:v>23</x:v>
      </x:c>
      <x:c r="G166" s="31" t="str">
        <x:v>Tactical Deck: Mega Dragonite ex distinct numbered identities.</x:v>
      </x:c>
      <x:c r="H166" s="31" t="str">
        <x:v>product_numbered_checklist</x:v>
      </x:c>
      <x:c r="I166" s="31" t="str">
        <x:v>https://asia.pokemon-card.com/tw/card-search/ ; https://bulbapedia.bulbagarden.net/wiki/Pok%C3%A9mon_in_Taiwan</x:v>
      </x:c>
      <x:c r="J166" s="31" t="str"/>
    </x:row>
    <x:row r="167">
      <x:c r="A167" s="31" t="n">
        <x:v>638</x:v>
      </x:c>
      <x:c r="B167" s="31" t="str">
        <x:v>zh-TW</x:v>
      </x:c>
      <x:c r="C167" s="31" t="str">
        <x:v>Tactical Deck: Mega Gardevoir ex</x:v>
      </x:c>
      <x:c r="D167" s="31" t="str">
        <x:v>TW-MGEX-G</x:v>
      </x:c>
      <x:c r="E167" s="31" t="str">
        <x:v>Filled</x:v>
      </x:c>
      <x:c r="F167" s="31" t="n">
        <x:v>23</x:v>
      </x:c>
      <x:c r="G167" s="31" t="str">
        <x:v>Tactical Deck: Mega Gardevoir ex distinct numbered identities.</x:v>
      </x:c>
      <x:c r="H167" s="31" t="str">
        <x:v>product_numbered_checklist</x:v>
      </x:c>
      <x:c r="I167" s="31" t="str">
        <x:v>https://asia.pokemon-card.com/tw/card-search/ ; https://bulbapedia.bulbagarden.net/wiki/Pok%C3%A9mon_in_Taiwan</x:v>
      </x:c>
      <x:c r="J167" s="31" t="str"/>
    </x:row>
    <x:row r="168">
      <x:c r="A168" s="31" t="n">
        <x:v>639</x:v>
      </x:c>
      <x:c r="B168" s="31" t="str">
        <x:v>zh-TW</x:v>
      </x:c>
      <x:c r="C168" s="31" t="str">
        <x:v>Tactical Deck: Mega Sharpedo ex</x:v>
      </x:c>
      <x:c r="D168" s="31" t="str">
        <x:v>TW-MGEX-S</x:v>
      </x:c>
      <x:c r="E168" s="31" t="str">
        <x:v>Filled</x:v>
      </x:c>
      <x:c r="F168" s="31" t="n">
        <x:v>20</x:v>
      </x:c>
      <x:c r="G168" s="31" t="str">
        <x:v>Tactical Deck: Mega Sharpedo ex distinct numbered identities.</x:v>
      </x:c>
      <x:c r="H168" s="31" t="str">
        <x:v>product_numbered_checklist</x:v>
      </x:c>
      <x:c r="I168" s="31" t="str">
        <x:v>https://asia.pokemon-card.com/tw/card-search/ ; https://bulbapedia.bulbagarden.net/wiki/Pok%C3%A9mon_in_Taiwan</x:v>
      </x:c>
      <x:c r="J168" s="31" t="str"/>
    </x:row>
    <x:row r="169">
      <x:c r="A169" s="31" t="n">
        <x:v>640</x:v>
      </x:c>
      <x:c r="B169" s="31" t="str">
        <x:v>zh-TW</x:v>
      </x:c>
      <x:c r="C169" s="31" t="str">
        <x:v>Storm Emeralda</x:v>
      </x:c>
      <x:c r="D169" s="31" t="str">
        <x:v>M6</x:v>
      </x:c>
      <x:c r="E169" s="31" t="str">
        <x:v>Filled</x:v>
      </x:c>
      <x:c r="F169" s="31" t="n">
        <x:v>113</x:v>
      </x:c>
      <x:c r="G169" s="31" t="str">
        <x:v>Traditional Chinese release uses the synchronized Japanese card identities and numbering for this set; reference count inherited from the matching Japanese checklist.</x:v>
      </x:c>
      <x:c r="H169" s="31" t="str">
        <x:v>synchronized_same_numbering</x:v>
      </x:c>
      <x:c r="I169" s="31" t="str">
        <x:v>https://bulbapedia.bulbagarden.net/wiki/Pok%C3%A9mon_in_Taiwan ; https://asia.pokemon-card.com/tw/card-search/</x:v>
      </x:c>
      <x:c r="J169" s="31" t="str"/>
    </x:row>
    <x:row r="170">
      <x:c r="A170" s="31" t="n">
        <x:v>641</x:v>
      </x:c>
      <x:c r="B170" s="31" t="str">
        <x:v>zh-TW</x:v>
      </x:c>
      <x:c r="C170" s="31" t="str">
        <x:v>30th Celebration</x:v>
      </x:c>
      <x:c r="D170" s="31" t="str">
        <x:v>M6a</x:v>
      </x:c>
      <x:c r="E170" s="31" t="str">
        <x:v>Filled</x:v>
      </x:c>
      <x:c r="F170" s="31" t="n">
        <x:v>160</x:v>
      </x:c>
      <x:c r="G170" s="31" t="str">
        <x:v>Minimum announced 30th Celebration catalogue size (160+); stored as lower bound pending final checklist reconciliation.</x:v>
      </x:c>
      <x:c r="H170" s="31" t="str">
        <x:v>lower_bound_or_numbering_extent</x:v>
      </x:c>
      <x:c r="I170" s="31" t="str">
        <x:v>https://asia.pokemon-card.com/tw/card-search/ ; https://bulbapedia.bulbagarden.net/wiki/Pok%C3%A9mon_in_Taiwan</x:v>
      </x:c>
      <x:c r="J170" s="31" t="str"/>
    </x:row>
    <x:row r="171">
      <x:c r="A171" s="31" t="n">
        <x:v>642</x:v>
      </x:c>
      <x:c r="B171" s="31" t="str">
        <x:v>zh-TW</x:v>
      </x:c>
      <x:c r="C171" s="31" t="str">
        <x:v>Premium Deck Set: Espeon &amp; Umbreon</x:v>
      </x:c>
      <x:c r="D171" s="31" t="str">
        <x:v>TW-PDS-EU</x:v>
      </x:c>
      <x:c r="E171" s="31" t="str">
        <x:v>Filled</x:v>
      </x:c>
      <x:c r="F171" s="31" t="n">
        <x:v>44</x:v>
      </x:c>
      <x:c r="G171" s="31" t="str">
        <x:v>Premium Deck Set: Espeon &amp; Umbreon distinct numbered identities through 044/040.</x:v>
      </x:c>
      <x:c r="H171" s="31" t="str">
        <x:v>product_numbered_checklist</x:v>
      </x:c>
      <x:c r="I171" s="31" t="str">
        <x:v>https://asia.pokemon-card.com/tw/card-search/ ; https://bulbapedia.bulbagarden.net/wiki/Pok%C3%A9mon_in_Taiwan</x:v>
      </x:c>
      <x:c r="J171" s="31" t="str"/>
    </x:row>
    <x:row r="172">
      <x:c r="A172" s="31" t="n">
        <x:v>643</x:v>
      </x:c>
      <x:c r="B172" s="31" t="str">
        <x:v>zh-TW</x:v>
      </x:c>
      <x:c r="C172" s="31" t="str">
        <x:v>Mega Evolution Promotional cards</x:v>
      </x:c>
      <x:c r="D172" s="31" t="str">
        <x:v>M-P</x:v>
      </x:c>
      <x:c r="E172" s="31" t="str">
        <x:v>Filled</x:v>
      </x:c>
      <x:c r="F172" s="31" t="n">
        <x:v>144</x:v>
      </x:c>
      <x:c r="G172" s="31" t="str">
        <x:v>Current visible M-P Traditional Chinese promo numbering extent in source snapshot; ongoing series, stored as a lower bound.</x:v>
      </x:c>
      <x:c r="H172" s="31" t="str">
        <x:v>lower_bound_or_numbering_extent</x:v>
      </x:c>
      <x:c r="I172" s="31" t="str">
        <x:v>https://asia.pokemon-card.com/tw/card-search/ ; https://bulbapedia.bulbagarden.net/wiki/Pok%C3%A9mon_in_Taiwan</x:v>
      </x:c>
      <x:c r="J172" s="31" t="str"/>
    </x:row>
    <x:row r="173">
      <x:c r="A173" s="31" t="n">
        <x:v>644</x:v>
      </x:c>
      <x:c r="B173" s="31" t="str">
        <x:v>zh-TW</x:v>
      </x:c>
      <x:c r="C173" s="31" t="str">
        <x:v>Scarlet &amp; Violet Promotional cards</x:v>
      </x:c>
      <x:c r="D173" s="31" t="str">
        <x:v>SV-P</x:v>
      </x:c>
      <x:c r="E173" s="31" t="str">
        <x:v>Filled</x:v>
      </x:c>
      <x:c r="F173" s="31" t="n">
        <x:v>265</x:v>
      </x:c>
      <x:c r="G173" s="31" t="str">
        <x:v>Current Traditional Chinese SV-P promotional catalogue minimum (265+); ongoing series.</x:v>
      </x:c>
      <x:c r="H173" s="31" t="str">
        <x:v>lower_bound_or_numbering_extent</x:v>
      </x:c>
      <x:c r="I173" s="31" t="str">
        <x:v>https://asia.pokemon-card.com/tw/card-search/ ; https://bulbapedia.bulbagarden.net/wiki/Pok%C3%A9mon_in_Taiwan</x:v>
      </x:c>
      <x:c r="J173" s="31" t="str"/>
    </x:row>
    <x:row r="174">
      <x:c r="A174" s="31" t="n">
        <x:v>645</x:v>
      </x:c>
      <x:c r="B174" s="31" t="str">
        <x:v>zh-TW</x:v>
      </x:c>
      <x:c r="C174" s="31" t="str">
        <x:v>Sun &amp; Moon Promotional cards</x:v>
      </x:c>
      <x:c r="D174" s="31" t="str">
        <x:v>SM-P</x:v>
      </x:c>
      <x:c r="E174" s="31" t="str">
        <x:v>Filled</x:v>
      </x:c>
      <x:c r="F174" s="31" t="n">
        <x:v>78</x:v>
      </x:c>
      <x:c r="G174" s="31" t="str">
        <x:v>Traditional Chinese SM-P promotional catalogue identities in the referenced catalogue scope.</x:v>
      </x:c>
      <x:c r="H174" s="31" t="str">
        <x:v>product_numbered_checklist</x:v>
      </x:c>
      <x:c r="I174" s="31" t="str">
        <x:v>https://asia.pokemon-card.com/tw/card-search/ ; https://bulbapedia.bulbagarden.net/wiki/Pok%C3%A9mon_in_Taiwan</x:v>
      </x:c>
      <x:c r="J174" s="31" t="str"/>
    </x:row>
    <x:row r="175">
      <x:c r="A175" s="31" t="n">
        <x:v>646</x:v>
      </x:c>
      <x:c r="B175" s="31" t="str">
        <x:v>zh-TW</x:v>
      </x:c>
      <x:c r="C175" s="31" t="str">
        <x:v>Sword &amp; Shield Promotional cards</x:v>
      </x:c>
      <x:c r="D175" s="31" t="str">
        <x:v>S-P</x:v>
      </x:c>
      <x:c r="E175" s="31" t="str">
        <x:v>Filled</x:v>
      </x:c>
      <x:c r="F175" s="31" t="n">
        <x:v>229</x:v>
      </x:c>
      <x:c r="G175" s="31" t="str">
        <x:v>Current Traditional Chinese S-P promotional catalogue minimum (229+); ongoing series.</x:v>
      </x:c>
      <x:c r="H175" s="31" t="str">
        <x:v>lower_bound_or_numbering_extent</x:v>
      </x:c>
      <x:c r="I175" s="31" t="str">
        <x:v>https://asia.pokemon-card.com/tw/card-search/ ; https://bulbapedia.bulbagarden.net/wiki/Pok%C3%A9mon_in_Taiwan</x:v>
      </x:c>
      <x:c r="J175" s="31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4" hidden="0" customWidth="1"/>
    <x:col min="4" max="4" width="18" hidden="0" customWidth="1"/>
    <x:col min="5" max="5" width="30" hidden="0" customWidth="1"/>
    <x:col min="6" max="6" width="16" hidden="0" customWidth="1"/>
    <x:col min="7" max="7" width="58" hidden="0" customWidth="1"/>
    <x:col min="8" max="8" width="50" hidden="0" customWidth="1"/>
    <x:col min="9" max="9" width="18" hidden="0" customWidth="1"/>
    <x:col min="10" max="10" width="42" hidden="0" customWidth="1"/>
  </x:cols>
  <x:sheetData>
    <x:row r="1">
      <x:c r="A1" s="77" t="str">
        <x:v>Reference row</x:v>
      </x:c>
      <x:c r="B1" s="77" t="str">
        <x:v>Language</x:v>
      </x:c>
      <x:c r="C1" s="77" t="str">
        <x:v>Set / product</x:v>
      </x:c>
      <x:c r="D1" s="77" t="str">
        <x:v>Code</x:v>
      </x:c>
      <x:c r="E1" s="77" t="str">
        <x:v>Status</x:v>
      </x:c>
      <x:c r="F1" s="77" t="str">
        <x:v>Numbered total</x:v>
      </x:c>
      <x:c r="G1" s="77" t="str">
        <x:v>Basis</x:v>
      </x:c>
      <x:c r="H1" s="77" t="str">
        <x:v>Source URL</x:v>
      </x:c>
      <x:c r="I1" s="77" t="str">
        <x:v>Reference count</x:v>
      </x:c>
      <x:c r="J1" s="77" t="str">
        <x:v>Remaining status</x:v>
      </x:c>
    </x:row>
    <x:row r="2">
      <x:c r="A2" s="31" t="n">
        <x:v>5</x:v>
      </x:c>
      <x:c r="B2" s="31" t="str">
        <x:v>en</x:v>
      </x:c>
      <x:c r="C2" s="31" t="str">
        <x:v>Base Set</x:v>
      </x:c>
      <x:c r="D2" s="31" t="str">
        <x:v>BS</x:v>
      </x:c>
      <x:c r="E2" s="31" t="str">
        <x:v>reconciled_components</x:v>
      </x:c>
      <x:c r="F2" s="31" t="n">
        <x:v>102</x:v>
      </x:c>
      <x:c r="G2" s="31" t="str">
        <x:v>Numbered total equals the reconciled printed denominator + beyond-denominator identities + separately listed subset identities.</x:v>
      </x:c>
      <x:c r="H2" s="31" t="str"/>
      <x:c r="I2" s="31" t="n">
        <x:v>102</x:v>
      </x:c>
      <x:c r="J2" s="31" t="str"/>
    </x:row>
    <x:row r="3">
      <x:c r="A3" s="31" t="n">
        <x:v>6</x:v>
      </x:c>
      <x:c r="B3" s="31" t="str">
        <x:v>en</x:v>
      </x:c>
      <x:c r="C3" s="31" t="str">
        <x:v>Jungle</x:v>
      </x:c>
      <x:c r="D3" s="31" t="str">
        <x:v>JU</x:v>
      </x:c>
      <x:c r="E3" s="31" t="str">
        <x:v>reconciled_components</x:v>
      </x:c>
      <x:c r="F3" s="31" t="n">
        <x:v>64</x:v>
      </x:c>
      <x:c r="G3" s="31" t="str">
        <x:v>Numbered total equals the reconciled printed denominator + beyond-denominator identities + separately listed subset identities.</x:v>
      </x:c>
      <x:c r="H3" s="31" t="str"/>
      <x:c r="I3" s="31" t="n">
        <x:v>64</x:v>
      </x:c>
      <x:c r="J3" s="31" t="str"/>
    </x:row>
    <x:row r="4">
      <x:c r="A4" s="31" t="n">
        <x:v>7</x:v>
      </x:c>
      <x:c r="B4" s="31" t="str">
        <x:v>en</x:v>
      </x:c>
      <x:c r="C4" s="31" t="str">
        <x:v>Wizards Black Star Promos</x:v>
      </x:c>
      <x:c r="D4" s="31" t="str">
        <x:v>WP</x:v>
      </x:c>
      <x:c r="E4" s="31" t="str">
        <x:v>reconciled_components</x:v>
      </x:c>
      <x:c r="F4" s="31" t="n">
        <x:v>53</x:v>
      </x:c>
      <x:c r="G4" s="31" t="str">
        <x:v>Numbered total equals the reconciled printed denominator + beyond-denominator identities + separately listed subset identities.</x:v>
      </x:c>
      <x:c r="H4" s="31" t="str"/>
      <x:c r="I4" s="31" t="n">
        <x:v>53</x:v>
      </x:c>
      <x:c r="J4" s="31" t="str"/>
    </x:row>
    <x:row r="5">
      <x:c r="A5" s="31" t="n">
        <x:v>8</x:v>
      </x:c>
      <x:c r="B5" s="31" t="str">
        <x:v>en</x:v>
      </x:c>
      <x:c r="C5" s="31" t="str">
        <x:v>Fossil</x:v>
      </x:c>
      <x:c r="D5" s="31" t="str">
        <x:v>FO</x:v>
      </x:c>
      <x:c r="E5" s="31" t="str">
        <x:v>reconciled_components</x:v>
      </x:c>
      <x:c r="F5" s="31" t="n">
        <x:v>62</x:v>
      </x:c>
      <x:c r="G5" s="31" t="str">
        <x:v>Numbered total equals the reconciled printed denominator + beyond-denominator identities + separately listed subset identities.</x:v>
      </x:c>
      <x:c r="H5" s="31" t="str"/>
      <x:c r="I5" s="31" t="n">
        <x:v>62</x:v>
      </x:c>
      <x:c r="J5" s="31" t="str"/>
    </x:row>
    <x:row r="6">
      <x:c r="A6" s="31" t="n">
        <x:v>9</x:v>
      </x:c>
      <x:c r="B6" s="31" t="str">
        <x:v>en</x:v>
      </x:c>
      <x:c r="C6" s="31" t="str">
        <x:v>Base Set 2</x:v>
      </x:c>
      <x:c r="D6" s="31" t="str">
        <x:v>B2</x:v>
      </x:c>
      <x:c r="E6" s="31" t="str">
        <x:v>reconciled_components</x:v>
      </x:c>
      <x:c r="F6" s="31" t="n">
        <x:v>130</x:v>
      </x:c>
      <x:c r="G6" s="31" t="str">
        <x:v>Numbered total equals the reconciled printed denominator + beyond-denominator identities + separately listed subset identities.</x:v>
      </x:c>
      <x:c r="H6" s="31" t="str"/>
      <x:c r="I6" s="31" t="n">
        <x:v>130</x:v>
      </x:c>
      <x:c r="J6" s="31" t="str"/>
    </x:row>
    <x:row r="7">
      <x:c r="A7" s="31" t="n">
        <x:v>10</x:v>
      </x:c>
      <x:c r="B7" s="31" t="str">
        <x:v>en</x:v>
      </x:c>
      <x:c r="C7" s="31" t="str">
        <x:v>Team Rocket</x:v>
      </x:c>
      <x:c r="D7" s="31" t="str">
        <x:v>TR</x:v>
      </x:c>
      <x:c r="E7" s="31" t="str">
        <x:v>reconciled_components</x:v>
      </x:c>
      <x:c r="F7" s="31" t="n">
        <x:v>83</x:v>
      </x:c>
      <x:c r="G7" s="31" t="str">
        <x:v>Numbered total equals the reconciled printed denominator + beyond-denominator identities + separately listed subset identities.</x:v>
      </x:c>
      <x:c r="H7" s="31" t="str"/>
      <x:c r="I7" s="31" t="n">
        <x:v>83</x:v>
      </x:c>
      <x:c r="J7" s="31" t="str"/>
    </x:row>
    <x:row r="8">
      <x:c r="A8" s="31" t="n">
        <x:v>11</x:v>
      </x:c>
      <x:c r="B8" s="31" t="str">
        <x:v>en</x:v>
      </x:c>
      <x:c r="C8" s="31" t="str">
        <x:v>Gym Heroes</x:v>
      </x:c>
      <x:c r="D8" s="31" t="str">
        <x:v>G1</x:v>
      </x:c>
      <x:c r="E8" s="31" t="str">
        <x:v>reconciled_components</x:v>
      </x:c>
      <x:c r="F8" s="31" t="n">
        <x:v>132</x:v>
      </x:c>
      <x:c r="G8" s="31" t="str">
        <x:v>Numbered total equals the reconciled printed denominator + beyond-denominator identities + separately listed subset identities.</x:v>
      </x:c>
      <x:c r="H8" s="31" t="str"/>
      <x:c r="I8" s="31" t="n">
        <x:v>132</x:v>
      </x:c>
      <x:c r="J8" s="31" t="str"/>
    </x:row>
    <x:row r="9">
      <x:c r="A9" s="31" t="n">
        <x:v>12</x:v>
      </x:c>
      <x:c r="B9" s="31" t="str">
        <x:v>en</x:v>
      </x:c>
      <x:c r="C9" s="31" t="str">
        <x:v>Gym Challenge</x:v>
      </x:c>
      <x:c r="D9" s="31" t="str">
        <x:v>G2</x:v>
      </x:c>
      <x:c r="E9" s="31" t="str">
        <x:v>reconciled_components</x:v>
      </x:c>
      <x:c r="F9" s="31" t="n">
        <x:v>132</x:v>
      </x:c>
      <x:c r="G9" s="31" t="str">
        <x:v>Numbered total equals the reconciled printed denominator + beyond-denominator identities + separately listed subset identities.</x:v>
      </x:c>
      <x:c r="H9" s="31" t="str"/>
      <x:c r="I9" s="31" t="n">
        <x:v>132</x:v>
      </x:c>
      <x:c r="J9" s="31" t="str"/>
    </x:row>
    <x:row r="10">
      <x:c r="A10" s="31" t="n">
        <x:v>13</x:v>
      </x:c>
      <x:c r="B10" s="31" t="str">
        <x:v>en</x:v>
      </x:c>
      <x:c r="C10" s="31" t="str">
        <x:v>Neo Genesis</x:v>
      </x:c>
      <x:c r="D10" s="31" t="str">
        <x:v>N1</x:v>
      </x:c>
      <x:c r="E10" s="31" t="str">
        <x:v>reconciled_components</x:v>
      </x:c>
      <x:c r="F10" s="31" t="n">
        <x:v>111</x:v>
      </x:c>
      <x:c r="G10" s="31" t="str">
        <x:v>Numbered total equals the reconciled printed denominator + beyond-denominator identities + separately listed subset identities.</x:v>
      </x:c>
      <x:c r="H10" s="31" t="str"/>
      <x:c r="I10" s="31" t="n">
        <x:v>111</x:v>
      </x:c>
      <x:c r="J10" s="31" t="str"/>
    </x:row>
    <x:row r="11">
      <x:c r="A11" s="31" t="n">
        <x:v>14</x:v>
      </x:c>
      <x:c r="B11" s="31" t="str">
        <x:v>en</x:v>
      </x:c>
      <x:c r="C11" s="31" t="str">
        <x:v>Neo Discovery</x:v>
      </x:c>
      <x:c r="D11" s="31" t="str">
        <x:v>N2</x:v>
      </x:c>
      <x:c r="E11" s="31" t="str">
        <x:v>reconciled_components</x:v>
      </x:c>
      <x:c r="F11" s="31" t="n">
        <x:v>75</x:v>
      </x:c>
      <x:c r="G11" s="31" t="str">
        <x:v>Numbered total equals the reconciled printed denominator + beyond-denominator identities + separately listed subset identities.</x:v>
      </x:c>
      <x:c r="H11" s="31" t="str"/>
      <x:c r="I11" s="31" t="n">
        <x:v>75</x:v>
      </x:c>
      <x:c r="J11" s="31" t="str"/>
    </x:row>
    <x:row r="12">
      <x:c r="A12" s="31" t="n">
        <x:v>15</x:v>
      </x:c>
      <x:c r="B12" s="31" t="str">
        <x:v>en</x:v>
      </x:c>
      <x:c r="C12" s="31" t="str">
        <x:v>Southern Islands</x:v>
      </x:c>
      <x:c r="D12" s="31" t="str">
        <x:v>SI</x:v>
      </x:c>
      <x:c r="E12" s="31" t="str">
        <x:v>reconciled_components</x:v>
      </x:c>
      <x:c r="F12" s="31" t="n">
        <x:v>18</x:v>
      </x:c>
      <x:c r="G12" s="31" t="str">
        <x:v>Numbered total equals the reconciled printed denominator + beyond-denominator identities + separately listed subset identities.</x:v>
      </x:c>
      <x:c r="H12" s="31" t="str"/>
      <x:c r="I12" s="31" t="n">
        <x:v>18</x:v>
      </x:c>
      <x:c r="J12" s="31" t="str"/>
    </x:row>
    <x:row r="13">
      <x:c r="A13" s="31" t="n">
        <x:v>16</x:v>
      </x:c>
      <x:c r="B13" s="31" t="str">
        <x:v>en</x:v>
      </x:c>
      <x:c r="C13" s="31" t="str">
        <x:v>Neo Revelation</x:v>
      </x:c>
      <x:c r="D13" s="31" t="str">
        <x:v>N3</x:v>
      </x:c>
      <x:c r="E13" s="31" t="str">
        <x:v>reconciled_components</x:v>
      </x:c>
      <x:c r="F13" s="31" t="n">
        <x:v>66</x:v>
      </x:c>
      <x:c r="G13" s="31" t="str">
        <x:v>Numbered total equals the reconciled printed denominator + beyond-denominator identities + separately listed subset identities.</x:v>
      </x:c>
      <x:c r="H13" s="31" t="str"/>
      <x:c r="I13" s="31" t="n">
        <x:v>66</x:v>
      </x:c>
      <x:c r="J13" s="31" t="str"/>
    </x:row>
    <x:row r="14">
      <x:c r="A14" s="31" t="n">
        <x:v>17</x:v>
      </x:c>
      <x:c r="B14" s="31" t="str">
        <x:v>en</x:v>
      </x:c>
      <x:c r="C14" s="31" t="str">
        <x:v>Neo Destiny</x:v>
      </x:c>
      <x:c r="D14" s="31" t="str">
        <x:v>N4</x:v>
      </x:c>
      <x:c r="E14" s="31" t="str">
        <x:v>reconciled_components</x:v>
      </x:c>
      <x:c r="F14" s="31" t="n">
        <x:v>113</x:v>
      </x:c>
      <x:c r="G14" s="31" t="str">
        <x:v>Numbered total equals the reconciled printed denominator + beyond-denominator identities + separately listed subset identities.</x:v>
      </x:c>
      <x:c r="H14" s="31" t="str"/>
      <x:c r="I14" s="31" t="n">
        <x:v>113</x:v>
      </x:c>
      <x:c r="J14" s="31" t="str"/>
    </x:row>
    <x:row r="15">
      <x:c r="A15" s="31" t="n">
        <x:v>18</x:v>
      </x:c>
      <x:c r="B15" s="31" t="str">
        <x:v>en</x:v>
      </x:c>
      <x:c r="C15" s="31" t="str">
        <x:v>Legendary Collection</x:v>
      </x:c>
      <x:c r="D15" s="31" t="str">
        <x:v>LC</x:v>
      </x:c>
      <x:c r="E15" s="31" t="str">
        <x:v>reconciled_components</x:v>
      </x:c>
      <x:c r="F15" s="31" t="n">
        <x:v>110</x:v>
      </x:c>
      <x:c r="G15" s="31" t="str">
        <x:v>Numbered total equals the reconciled printed denominator + beyond-denominator identities + separately listed subset identities.</x:v>
      </x:c>
      <x:c r="H15" s="31" t="str"/>
      <x:c r="I15" s="31" t="n">
        <x:v>110</x:v>
      </x:c>
      <x:c r="J15" s="31" t="str"/>
    </x:row>
    <x:row r="16">
      <x:c r="A16" s="31" t="n">
        <x:v>19</x:v>
      </x:c>
      <x:c r="B16" s="31" t="str">
        <x:v>en</x:v>
      </x:c>
      <x:c r="C16" s="31" t="str">
        <x:v>Expedition Base Set</x:v>
      </x:c>
      <x:c r="D16" s="31" t="str">
        <x:v>EX</x:v>
      </x:c>
      <x:c r="E16" s="31" t="str">
        <x:v>reconciled_components</x:v>
      </x:c>
      <x:c r="F16" s="31" t="n">
        <x:v>165</x:v>
      </x:c>
      <x:c r="G16" s="31" t="str">
        <x:v>Numbered total equals the reconciled printed denominator + beyond-denominator identities + separately listed subset identities.</x:v>
      </x:c>
      <x:c r="H16" s="31" t="str"/>
      <x:c r="I16" s="31" t="n">
        <x:v>165</x:v>
      </x:c>
      <x:c r="J16" s="31" t="str"/>
    </x:row>
    <x:row r="17">
      <x:c r="A17" s="31" t="n">
        <x:v>20</x:v>
      </x:c>
      <x:c r="B17" s="31" t="str">
        <x:v>en</x:v>
      </x:c>
      <x:c r="C17" s="31" t="str">
        <x:v>Best of Game</x:v>
      </x:c>
      <x:c r="D17" s="31" t="str">
        <x:v>BOG</x:v>
      </x:c>
      <x:c r="E17" s="31" t="str">
        <x:v>reconciled_components</x:v>
      </x:c>
      <x:c r="F17" s="31" t="n">
        <x:v>9</x:v>
      </x:c>
      <x:c r="G17" s="31" t="str">
        <x:v>Numbered total equals the reconciled printed denominator + beyond-denominator identities + separately listed subset identities.</x:v>
      </x:c>
      <x:c r="H17" s="31" t="str">
        <x:v>https://pkmncards.com/sets/</x:v>
      </x:c>
      <x:c r="I17" s="31" t="n">
        <x:v>9</x:v>
      </x:c>
      <x:c r="J17" s="31" t="str"/>
    </x:row>
    <x:row r="18">
      <x:c r="A18" s="31" t="n">
        <x:v>21</x:v>
      </x:c>
      <x:c r="B18" s="31" t="str">
        <x:v>en</x:v>
      </x:c>
      <x:c r="C18" s="31" t="str">
        <x:v>Aquapolis</x:v>
      </x:c>
      <x:c r="D18" s="31" t="str">
        <x:v>AQ</x:v>
      </x:c>
      <x:c r="E18" s="31" t="str">
        <x:v>reconciled_components</x:v>
      </x:c>
      <x:c r="F18" s="31" t="n">
        <x:v>182</x:v>
      </x:c>
      <x:c r="G18" s="31" t="str">
        <x:v>Numbered total equals the reconciled printed denominator + beyond-denominator identities + separately listed subset identities.</x:v>
      </x:c>
      <x:c r="H18" s="31" t="str"/>
      <x:c r="I18" s="31" t="n">
        <x:v>182</x:v>
      </x:c>
      <x:c r="J18" s="31" t="str"/>
    </x:row>
    <x:row r="19">
      <x:c r="A19" s="31" t="n">
        <x:v>22</x:v>
      </x:c>
      <x:c r="B19" s="31" t="str">
        <x:v>en</x:v>
      </x:c>
      <x:c r="C19" s="31" t="str">
        <x:v>Skyridge</x:v>
      </x:c>
      <x:c r="D19" s="31" t="str">
        <x:v>SK</x:v>
      </x:c>
      <x:c r="E19" s="31" t="str">
        <x:v>reconciled_components</x:v>
      </x:c>
      <x:c r="F19" s="31" t="n">
        <x:v>182</x:v>
      </x:c>
      <x:c r="G19" s="31" t="str">
        <x:v>Numbered total equals the reconciled printed denominator + beyond-denominator identities + separately listed subset identities.</x:v>
      </x:c>
      <x:c r="H19" s="31" t="str"/>
      <x:c r="I19" s="31" t="n">
        <x:v>182</x:v>
      </x:c>
      <x:c r="J19" s="31" t="str"/>
    </x:row>
    <x:row r="20">
      <x:c r="A20" s="31" t="n">
        <x:v>23</x:v>
      </x:c>
      <x:c r="B20" s="31" t="str">
        <x:v>en</x:v>
      </x:c>
      <x:c r="C20" s="31" t="str">
        <x:v>EX Ruby &amp; Sapphire</x:v>
      </x:c>
      <x:c r="D20" s="31" t="str">
        <x:v>RS</x:v>
      </x:c>
      <x:c r="E20" s="31" t="str">
        <x:v>reconciled_components</x:v>
      </x:c>
      <x:c r="F20" s="31" t="n">
        <x:v>109</x:v>
      </x:c>
      <x:c r="G20" s="31" t="str">
        <x:v>Numbered total equals the reconciled printed denominator + beyond-denominator identities + separately listed subset identities.</x:v>
      </x:c>
      <x:c r="H20" s="31" t="str"/>
      <x:c r="I20" s="31" t="n">
        <x:v>109</x:v>
      </x:c>
      <x:c r="J20" s="31" t="str"/>
    </x:row>
    <x:row r="21">
      <x:c r="A21" s="31" t="n">
        <x:v>24</x:v>
      </x:c>
      <x:c r="B21" s="31" t="str">
        <x:v>en</x:v>
      </x:c>
      <x:c r="C21" s="31" t="str">
        <x:v>EX Sandstorm</x:v>
      </x:c>
      <x:c r="D21" s="31" t="str">
        <x:v>SS</x:v>
      </x:c>
      <x:c r="E21" s="31" t="str">
        <x:v>reconciled_components</x:v>
      </x:c>
      <x:c r="F21" s="31" t="n">
        <x:v>100</x:v>
      </x:c>
      <x:c r="G21" s="31" t="str">
        <x:v>Numbered total equals the reconciled printed denominator + beyond-denominator identities + separately listed subset identities.</x:v>
      </x:c>
      <x:c r="H21" s="31" t="str"/>
      <x:c r="I21" s="31" t="n">
        <x:v>100</x:v>
      </x:c>
      <x:c r="J21" s="31" t="str"/>
    </x:row>
    <x:row r="22">
      <x:c r="A22" s="31" t="n">
        <x:v>25</x:v>
      </x:c>
      <x:c r="B22" s="31" t="str">
        <x:v>en</x:v>
      </x:c>
      <x:c r="C22" s="31" t="str">
        <x:v>Nintendo Black Star Promos</x:v>
      </x:c>
      <x:c r="D22" s="31" t="str">
        <x:v>NP</x:v>
      </x:c>
      <x:c r="E22" s="31" t="str">
        <x:v>reconciled_components</x:v>
      </x:c>
      <x:c r="F22" s="31" t="n">
        <x:v>40</x:v>
      </x:c>
      <x:c r="G22" s="31" t="str">
        <x:v>Numbered total equals the reconciled printed denominator + beyond-denominator identities + separately listed subset identities.</x:v>
      </x:c>
      <x:c r="H22" s="31" t="str"/>
      <x:c r="I22" s="31" t="n">
        <x:v>40</x:v>
      </x:c>
      <x:c r="J22" s="31" t="str"/>
    </x:row>
    <x:row r="23">
      <x:c r="A23" s="31" t="n">
        <x:v>26</x:v>
      </x:c>
      <x:c r="B23" s="31" t="str">
        <x:v>en</x:v>
      </x:c>
      <x:c r="C23" s="31" t="str">
        <x:v>EX Dragon</x:v>
      </x:c>
      <x:c r="D23" s="31" t="str">
        <x:v>DR</x:v>
      </x:c>
      <x:c r="E23" s="31" t="str">
        <x:v>reconciled_components</x:v>
      </x:c>
      <x:c r="F23" s="31" t="n">
        <x:v>100</x:v>
      </x:c>
      <x:c r="G23" s="31" t="str">
        <x:v>Numbered total equals the reconciled printed denominator + beyond-denominator identities + separately listed subset identities.</x:v>
      </x:c>
      <x:c r="H23" s="31" t="str"/>
      <x:c r="I23" s="31" t="n">
        <x:v>100</x:v>
      </x:c>
      <x:c r="J23" s="31" t="str"/>
    </x:row>
    <x:row r="24">
      <x:c r="A24" s="31" t="n">
        <x:v>27</x:v>
      </x:c>
      <x:c r="B24" s="31" t="str">
        <x:v>en</x:v>
      </x:c>
      <x:c r="C24" s="31" t="str">
        <x:v>EX Team Magma vs Team Aqua</x:v>
      </x:c>
      <x:c r="D24" s="31" t="str">
        <x:v>MA</x:v>
      </x:c>
      <x:c r="E24" s="31" t="str">
        <x:v>reconciled_components</x:v>
      </x:c>
      <x:c r="F24" s="31" t="n">
        <x:v>97</x:v>
      </x:c>
      <x:c r="G24" s="31" t="str">
        <x:v>Numbered total equals the reconciled printed denominator + beyond-denominator identities + separately listed subset identities.</x:v>
      </x:c>
      <x:c r="H24" s="31" t="str"/>
      <x:c r="I24" s="31" t="n">
        <x:v>97</x:v>
      </x:c>
      <x:c r="J24" s="31" t="str"/>
    </x:row>
    <x:row r="25">
      <x:c r="A25" s="31" t="n">
        <x:v>28</x:v>
      </x:c>
      <x:c r="B25" s="31" t="str">
        <x:v>en</x:v>
      </x:c>
      <x:c r="C25" s="31" t="str">
        <x:v>EX Hidden Legends</x:v>
      </x:c>
      <x:c r="D25" s="31" t="str">
        <x:v>HL</x:v>
      </x:c>
      <x:c r="E25" s="31" t="str">
        <x:v>reconciled_components</x:v>
      </x:c>
      <x:c r="F25" s="31" t="n">
        <x:v>102</x:v>
      </x:c>
      <x:c r="G25" s="31" t="str">
        <x:v>Numbered total equals the reconciled printed denominator + beyond-denominator identities + separately listed subset identities.</x:v>
      </x:c>
      <x:c r="H25" s="31" t="str"/>
      <x:c r="I25" s="31" t="n">
        <x:v>102</x:v>
      </x:c>
      <x:c r="J25" s="31" t="str"/>
    </x:row>
    <x:row r="26">
      <x:c r="A26" s="31" t="n">
        <x:v>29</x:v>
      </x:c>
      <x:c r="B26" s="31" t="str">
        <x:v>en</x:v>
      </x:c>
      <x:c r="C26" s="31" t="str">
        <x:v>Poké Card Creator Pack</x:v>
      </x:c>
      <x:c r="D26" s="31" t="str">
        <x:v>CC</x:v>
      </x:c>
      <x:c r="E26" s="31" t="str">
        <x:v>reconciled_components</x:v>
      </x:c>
      <x:c r="F26" s="31" t="n">
        <x:v>5</x:v>
      </x:c>
      <x:c r="G26" s="31" t="str">
        <x:v>Numbered total equals the reconciled printed denominator + beyond-denominator identities + separately listed subset identities.</x:v>
      </x:c>
      <x:c r="H26" s="31" t="str"/>
      <x:c r="I26" s="31" t="n">
        <x:v>5</x:v>
      </x:c>
      <x:c r="J26" s="31" t="str"/>
    </x:row>
    <x:row r="27">
      <x:c r="A27" s="31" t="n">
        <x:v>30</x:v>
      </x:c>
      <x:c r="B27" s="31" t="str">
        <x:v>en</x:v>
      </x:c>
      <x:c r="C27" s="31" t="str">
        <x:v>EX FireRed &amp; LeafGreen</x:v>
      </x:c>
      <x:c r="D27" s="31" t="str">
        <x:v>RG</x:v>
      </x:c>
      <x:c r="E27" s="31" t="str">
        <x:v>reconciled_components</x:v>
      </x:c>
      <x:c r="F27" s="31" t="n">
        <x:v>116</x:v>
      </x:c>
      <x:c r="G27" s="31" t="str">
        <x:v>Numbered total equals the reconciled printed denominator + beyond-denominator identities + separately listed subset identities.</x:v>
      </x:c>
      <x:c r="H27" s="31" t="str"/>
      <x:c r="I27" s="31" t="n">
        <x:v>116</x:v>
      </x:c>
      <x:c r="J27" s="31" t="str"/>
    </x:row>
    <x:row r="28">
      <x:c r="A28" s="31" t="n">
        <x:v>31</x:v>
      </x:c>
      <x:c r="B28" s="31" t="str">
        <x:v>en</x:v>
      </x:c>
      <x:c r="C28" s="31" t="str">
        <x:v>POP Series 1</x:v>
      </x:c>
      <x:c r="D28" s="31" t="str">
        <x:v>POP1</x:v>
      </x:c>
      <x:c r="E28" s="31" t="str">
        <x:v>reconciled_components</x:v>
      </x:c>
      <x:c r="F28" s="31" t="n">
        <x:v>17</x:v>
      </x:c>
      <x:c r="G28" s="31" t="str">
        <x:v>Numbered total equals the reconciled printed denominator + beyond-denominator identities + separately listed subset identities.</x:v>
      </x:c>
      <x:c r="H28" s="31" t="str"/>
      <x:c r="I28" s="31" t="n">
        <x:v>17</x:v>
      </x:c>
      <x:c r="J28" s="31" t="str"/>
    </x:row>
    <x:row r="29">
      <x:c r="A29" s="31" t="n">
        <x:v>32</x:v>
      </x:c>
      <x:c r="B29" s="31" t="str">
        <x:v>en</x:v>
      </x:c>
      <x:c r="C29" s="31" t="str">
        <x:v>EX Team Rocket Returns</x:v>
      </x:c>
      <x:c r="D29" s="31" t="str">
        <x:v>TRR</x:v>
      </x:c>
      <x:c r="E29" s="31" t="str">
        <x:v>reconciled_components</x:v>
      </x:c>
      <x:c r="F29" s="31" t="n">
        <x:v>111</x:v>
      </x:c>
      <x:c r="G29" s="31" t="str">
        <x:v>Numbered total equals the reconciled printed denominator + beyond-denominator identities + separately listed subset identities.</x:v>
      </x:c>
      <x:c r="H29" s="31" t="str"/>
      <x:c r="I29" s="31" t="n">
        <x:v>111</x:v>
      </x:c>
      <x:c r="J29" s="31" t="str"/>
    </x:row>
    <x:row r="30">
      <x:c r="A30" s="31" t="n">
        <x:v>33</x:v>
      </x:c>
      <x:c r="B30" s="31" t="str">
        <x:v>en</x:v>
      </x:c>
      <x:c r="C30" s="31" t="str">
        <x:v>EX Deoxys</x:v>
      </x:c>
      <x:c r="D30" s="31" t="str">
        <x:v>DX</x:v>
      </x:c>
      <x:c r="E30" s="31" t="str">
        <x:v>reconciled_components</x:v>
      </x:c>
      <x:c r="F30" s="31" t="n">
        <x:v>108</x:v>
      </x:c>
      <x:c r="G30" s="31" t="str">
        <x:v>Numbered total equals the reconciled printed denominator + beyond-denominator identities + separately listed subset identities.</x:v>
      </x:c>
      <x:c r="H30" s="31" t="str"/>
      <x:c r="I30" s="31" t="n">
        <x:v>108</x:v>
      </x:c>
      <x:c r="J30" s="31" t="str"/>
    </x:row>
    <x:row r="31">
      <x:c r="A31" s="31" t="n">
        <x:v>34</x:v>
      </x:c>
      <x:c r="B31" s="31" t="str">
        <x:v>en</x:v>
      </x:c>
      <x:c r="C31" s="31" t="str">
        <x:v>EX Emerald</x:v>
      </x:c>
      <x:c r="D31" s="31" t="str">
        <x:v>EM</x:v>
      </x:c>
      <x:c r="E31" s="31" t="str">
        <x:v>reconciled_components</x:v>
      </x:c>
      <x:c r="F31" s="31" t="n">
        <x:v>107</x:v>
      </x:c>
      <x:c r="G31" s="31" t="str">
        <x:v>Numbered total equals the reconciled printed denominator + beyond-denominator identities + separately listed subset identities.</x:v>
      </x:c>
      <x:c r="H31" s="31" t="str"/>
      <x:c r="I31" s="31" t="n">
        <x:v>107</x:v>
      </x:c>
      <x:c r="J31" s="31" t="str"/>
    </x:row>
    <x:row r="32">
      <x:c r="A32" s="31" t="n">
        <x:v>35</x:v>
      </x:c>
      <x:c r="B32" s="31" t="str">
        <x:v>en</x:v>
      </x:c>
      <x:c r="C32" s="31" t="str">
        <x:v>POP Series 2</x:v>
      </x:c>
      <x:c r="D32" s="31" t="str">
        <x:v>POP2</x:v>
      </x:c>
      <x:c r="E32" s="31" t="str">
        <x:v>reconciled_components</x:v>
      </x:c>
      <x:c r="F32" s="31" t="n">
        <x:v>17</x:v>
      </x:c>
      <x:c r="G32" s="31" t="str">
        <x:v>Numbered total equals the reconciled printed denominator + beyond-denominator identities + separately listed subset identities.</x:v>
      </x:c>
      <x:c r="H32" s="31" t="str"/>
      <x:c r="I32" s="31" t="n">
        <x:v>17</x:v>
      </x:c>
      <x:c r="J32" s="31" t="str"/>
    </x:row>
    <x:row r="33">
      <x:c r="A33" s="31" t="n">
        <x:v>36</x:v>
      </x:c>
      <x:c r="B33" s="31" t="str">
        <x:v>en</x:v>
      </x:c>
      <x:c r="C33" s="31" t="str">
        <x:v>EX Unseen Forces</x:v>
      </x:c>
      <x:c r="D33" s="31" t="str">
        <x:v>UF</x:v>
      </x:c>
      <x:c r="E33" s="31" t="str">
        <x:v>reconciled_components</x:v>
      </x:c>
      <x:c r="F33" s="31" t="n">
        <x:v>145</x:v>
      </x:c>
      <x:c r="G33" s="31" t="str">
        <x:v>Numbered total equals the reconciled printed denominator + beyond-denominator identities + separately listed subset identities.</x:v>
      </x:c>
      <x:c r="H33" s="31" t="str"/>
      <x:c r="I33" s="31" t="n">
        <x:v>145</x:v>
      </x:c>
      <x:c r="J33" s="31" t="str"/>
    </x:row>
    <x:row r="34">
      <x:c r="A34" s="31" t="n">
        <x:v>37</x:v>
      </x:c>
      <x:c r="B34" s="31" t="str">
        <x:v>en</x:v>
      </x:c>
      <x:c r="C34" s="31" t="str">
        <x:v>EX Delta Species</x:v>
      </x:c>
      <x:c r="D34" s="31" t="str">
        <x:v>DS</x:v>
      </x:c>
      <x:c r="E34" s="31" t="str">
        <x:v>reconciled_components</x:v>
      </x:c>
      <x:c r="F34" s="31" t="n">
        <x:v>114</x:v>
      </x:c>
      <x:c r="G34" s="31" t="str">
        <x:v>Numbered total equals the reconciled printed denominator + beyond-denominator identities + separately listed subset identities.</x:v>
      </x:c>
      <x:c r="H34" s="31" t="str"/>
      <x:c r="I34" s="31" t="n">
        <x:v>114</x:v>
      </x:c>
      <x:c r="J34" s="31" t="str"/>
    </x:row>
    <x:row r="35">
      <x:c r="A35" s="31" t="n">
        <x:v>38</x:v>
      </x:c>
      <x:c r="B35" s="31" t="str">
        <x:v>en</x:v>
      </x:c>
      <x:c r="C35" s="31" t="str">
        <x:v>EX Legend Maker</x:v>
      </x:c>
      <x:c r="D35" s="31" t="str">
        <x:v>LM</x:v>
      </x:c>
      <x:c r="E35" s="31" t="str">
        <x:v>reconciled_components</x:v>
      </x:c>
      <x:c r="F35" s="31" t="n">
        <x:v>93</x:v>
      </x:c>
      <x:c r="G35" s="31" t="str">
        <x:v>Numbered total equals the reconciled printed denominator + beyond-denominator identities + separately listed subset identities.</x:v>
      </x:c>
      <x:c r="H35" s="31" t="str"/>
      <x:c r="I35" s="31" t="n">
        <x:v>93</x:v>
      </x:c>
      <x:c r="J35" s="31" t="str"/>
    </x:row>
    <x:row r="36">
      <x:c r="A36" s="31" t="n">
        <x:v>39</x:v>
      </x:c>
      <x:c r="B36" s="31" t="str">
        <x:v>en</x:v>
      </x:c>
      <x:c r="C36" s="31" t="str">
        <x:v>POP Series 3</x:v>
      </x:c>
      <x:c r="D36" s="31" t="str">
        <x:v>POP3</x:v>
      </x:c>
      <x:c r="E36" s="31" t="str">
        <x:v>reconciled_components</x:v>
      </x:c>
      <x:c r="F36" s="31" t="n">
        <x:v>17</x:v>
      </x:c>
      <x:c r="G36" s="31" t="str">
        <x:v>Numbered total equals the reconciled printed denominator + beyond-denominator identities + separately listed subset identities.</x:v>
      </x:c>
      <x:c r="H36" s="31" t="str"/>
      <x:c r="I36" s="31" t="n">
        <x:v>17</x:v>
      </x:c>
      <x:c r="J36" s="31" t="str"/>
    </x:row>
    <x:row r="37">
      <x:c r="A37" s="31" t="n">
        <x:v>40</x:v>
      </x:c>
      <x:c r="B37" s="31" t="str">
        <x:v>en</x:v>
      </x:c>
      <x:c r="C37" s="31" t="str">
        <x:v>EX Holon Phantoms</x:v>
      </x:c>
      <x:c r="D37" s="31" t="str">
        <x:v>HP</x:v>
      </x:c>
      <x:c r="E37" s="31" t="str">
        <x:v>reconciled_components</x:v>
      </x:c>
      <x:c r="F37" s="31" t="n">
        <x:v>111</x:v>
      </x:c>
      <x:c r="G37" s="31" t="str">
        <x:v>Numbered total equals the reconciled printed denominator + beyond-denominator identities + separately listed subset identities.</x:v>
      </x:c>
      <x:c r="H37" s="31" t="str"/>
      <x:c r="I37" s="31" t="n">
        <x:v>111</x:v>
      </x:c>
      <x:c r="J37" s="31" t="str"/>
    </x:row>
    <x:row r="38">
      <x:c r="A38" s="31" t="n">
        <x:v>41</x:v>
      </x:c>
      <x:c r="B38" s="31" t="str">
        <x:v>en</x:v>
      </x:c>
      <x:c r="C38" s="31" t="str">
        <x:v>POP Series 4</x:v>
      </x:c>
      <x:c r="D38" s="31" t="str">
        <x:v>POP4</x:v>
      </x:c>
      <x:c r="E38" s="31" t="str">
        <x:v>reconciled_components</x:v>
      </x:c>
      <x:c r="F38" s="31" t="n">
        <x:v>17</x:v>
      </x:c>
      <x:c r="G38" s="31" t="str">
        <x:v>Numbered total equals the reconciled printed denominator + beyond-denominator identities + separately listed subset identities.</x:v>
      </x:c>
      <x:c r="H38" s="31" t="str"/>
      <x:c r="I38" s="31" t="n">
        <x:v>17</x:v>
      </x:c>
      <x:c r="J38" s="31" t="str"/>
    </x:row>
    <x:row r="39">
      <x:c r="A39" s="31" t="n">
        <x:v>42</x:v>
      </x:c>
      <x:c r="B39" s="31" t="str">
        <x:v>en</x:v>
      </x:c>
      <x:c r="C39" s="31" t="str">
        <x:v>EX Crystal Guardians</x:v>
      </x:c>
      <x:c r="D39" s="31" t="str">
        <x:v>CG</x:v>
      </x:c>
      <x:c r="E39" s="31" t="str">
        <x:v>reconciled_components</x:v>
      </x:c>
      <x:c r="F39" s="31" t="n">
        <x:v>100</x:v>
      </x:c>
      <x:c r="G39" s="31" t="str">
        <x:v>Numbered total equals the reconciled printed denominator + beyond-denominator identities + separately listed subset identities.</x:v>
      </x:c>
      <x:c r="H39" s="31" t="str"/>
      <x:c r="I39" s="31" t="n">
        <x:v>100</x:v>
      </x:c>
      <x:c r="J39" s="31" t="str"/>
    </x:row>
    <x:row r="40">
      <x:c r="A40" s="31" t="n">
        <x:v>43</x:v>
      </x:c>
      <x:c r="B40" s="31" t="str">
        <x:v>en</x:v>
      </x:c>
      <x:c r="C40" s="31" t="str">
        <x:v>EX Dragon Frontiers</x:v>
      </x:c>
      <x:c r="D40" s="31" t="str">
        <x:v>DF</x:v>
      </x:c>
      <x:c r="E40" s="31" t="str">
        <x:v>reconciled_components</x:v>
      </x:c>
      <x:c r="F40" s="31" t="n">
        <x:v>101</x:v>
      </x:c>
      <x:c r="G40" s="31" t="str">
        <x:v>Numbered total equals the reconciled printed denominator + beyond-denominator identities + separately listed subset identities.</x:v>
      </x:c>
      <x:c r="H40" s="31" t="str"/>
      <x:c r="I40" s="31" t="n">
        <x:v>101</x:v>
      </x:c>
      <x:c r="J40" s="31" t="str"/>
    </x:row>
    <x:row r="41">
      <x:c r="A41" s="31" t="n">
        <x:v>44</x:v>
      </x:c>
      <x:c r="B41" s="31" t="str">
        <x:v>en</x:v>
      </x:c>
      <x:c r="C41" s="31" t="str">
        <x:v>EX Power Keepers</x:v>
      </x:c>
      <x:c r="D41" s="31" t="str">
        <x:v>PK</x:v>
      </x:c>
      <x:c r="E41" s="31" t="str">
        <x:v>reconciled_components</x:v>
      </x:c>
      <x:c r="F41" s="31" t="n">
        <x:v>108</x:v>
      </x:c>
      <x:c r="G41" s="31" t="str">
        <x:v>Numbered total equals the reconciled printed denominator + beyond-denominator identities + separately listed subset identities.</x:v>
      </x:c>
      <x:c r="H41" s="31" t="str"/>
      <x:c r="I41" s="31" t="n">
        <x:v>108</x:v>
      </x:c>
      <x:c r="J41" s="31" t="str"/>
    </x:row>
    <x:row r="42">
      <x:c r="A42" s="31" t="n">
        <x:v>45</x:v>
      </x:c>
      <x:c r="B42" s="31" t="str">
        <x:v>en</x:v>
      </x:c>
      <x:c r="C42" s="31" t="str">
        <x:v>POP Series 5</x:v>
      </x:c>
      <x:c r="D42" s="31" t="str">
        <x:v>POP5</x:v>
      </x:c>
      <x:c r="E42" s="31" t="str">
        <x:v>reconciled_components</x:v>
      </x:c>
      <x:c r="F42" s="31" t="n">
        <x:v>17</x:v>
      </x:c>
      <x:c r="G42" s="31" t="str">
        <x:v>Numbered total equals the reconciled printed denominator + beyond-denominator identities + separately listed subset identities.</x:v>
      </x:c>
      <x:c r="H42" s="31" t="str"/>
      <x:c r="I42" s="31" t="n">
        <x:v>17</x:v>
      </x:c>
      <x:c r="J42" s="31" t="str"/>
    </x:row>
    <x:row r="43">
      <x:c r="A43" s="31" t="n">
        <x:v>46</x:v>
      </x:c>
      <x:c r="B43" s="31" t="str">
        <x:v>en</x:v>
      </x:c>
      <x:c r="C43" s="31" t="str">
        <x:v>DP Black Star Promos</x:v>
      </x:c>
      <x:c r="D43" s="31" t="str">
        <x:v>DPP</x:v>
      </x:c>
      <x:c r="E43" s="31" t="str">
        <x:v>reconciled_components</x:v>
      </x:c>
      <x:c r="F43" s="31" t="n">
        <x:v>56</x:v>
      </x:c>
      <x:c r="G43" s="31" t="str">
        <x:v>Numbered total equals the reconciled printed denominator + beyond-denominator identities + separately listed subset identities.</x:v>
      </x:c>
      <x:c r="H43" s="31" t="str"/>
      <x:c r="I43" s="31" t="n">
        <x:v>56</x:v>
      </x:c>
      <x:c r="J43" s="31" t="str"/>
    </x:row>
    <x:row r="44">
      <x:c r="A44" s="31" t="n">
        <x:v>47</x:v>
      </x:c>
      <x:c r="B44" s="31" t="str">
        <x:v>en</x:v>
      </x:c>
      <x:c r="C44" s="31" t="str">
        <x:v>Diamond &amp; Pearl</x:v>
      </x:c>
      <x:c r="D44" s="31" t="str">
        <x:v>DP</x:v>
      </x:c>
      <x:c r="E44" s="31" t="str">
        <x:v>reconciled_components</x:v>
      </x:c>
      <x:c r="F44" s="31" t="n">
        <x:v>130</x:v>
      </x:c>
      <x:c r="G44" s="31" t="str">
        <x:v>Numbered total equals the reconciled printed denominator + beyond-denominator identities + separately listed subset identities.</x:v>
      </x:c>
      <x:c r="H44" s="31" t="str"/>
      <x:c r="I44" s="31" t="n">
        <x:v>130</x:v>
      </x:c>
      <x:c r="J44" s="31" t="str"/>
    </x:row>
    <x:row r="45">
      <x:c r="A45" s="31" t="n">
        <x:v>48</x:v>
      </x:c>
      <x:c r="B45" s="31" t="str">
        <x:v>en</x:v>
      </x:c>
      <x:c r="C45" s="31" t="str">
        <x:v>Mysterious Treasures</x:v>
      </x:c>
      <x:c r="D45" s="31" t="str">
        <x:v>MT</x:v>
      </x:c>
      <x:c r="E45" s="31" t="str">
        <x:v>reconciled_components</x:v>
      </x:c>
      <x:c r="F45" s="31" t="n">
        <x:v>124</x:v>
      </x:c>
      <x:c r="G45" s="31" t="str">
        <x:v>Numbered total equals the reconciled printed denominator + beyond-denominator identities + separately listed subset identities.</x:v>
      </x:c>
      <x:c r="H45" s="31" t="str"/>
      <x:c r="I45" s="31" t="n">
        <x:v>124</x:v>
      </x:c>
      <x:c r="J45" s="31" t="str"/>
    </x:row>
    <x:row r="46">
      <x:c r="A46" s="31" t="n">
        <x:v>49</x:v>
      </x:c>
      <x:c r="B46" s="31" t="str">
        <x:v>en</x:v>
      </x:c>
      <x:c r="C46" s="31" t="str">
        <x:v>POP Series 6</x:v>
      </x:c>
      <x:c r="D46" s="31" t="str">
        <x:v>POP6</x:v>
      </x:c>
      <x:c r="E46" s="31" t="str">
        <x:v>reconciled_components</x:v>
      </x:c>
      <x:c r="F46" s="31" t="n">
        <x:v>17</x:v>
      </x:c>
      <x:c r="G46" s="31" t="str">
        <x:v>Numbered total equals the reconciled printed denominator + beyond-denominator identities + separately listed subset identities.</x:v>
      </x:c>
      <x:c r="H46" s="31" t="str"/>
      <x:c r="I46" s="31" t="n">
        <x:v>17</x:v>
      </x:c>
      <x:c r="J46" s="31" t="str"/>
    </x:row>
    <x:row r="47">
      <x:c r="A47" s="31" t="n">
        <x:v>50</x:v>
      </x:c>
      <x:c r="B47" s="31" t="str">
        <x:v>en</x:v>
      </x:c>
      <x:c r="C47" s="31" t="str">
        <x:v>Secret Wonders</x:v>
      </x:c>
      <x:c r="D47" s="31" t="str">
        <x:v>SW</x:v>
      </x:c>
      <x:c r="E47" s="31" t="str">
        <x:v>reconciled_components</x:v>
      </x:c>
      <x:c r="F47" s="31" t="n">
        <x:v>132</x:v>
      </x:c>
      <x:c r="G47" s="31" t="str">
        <x:v>Numbered total equals the reconciled printed denominator + beyond-denominator identities + separately listed subset identities.</x:v>
      </x:c>
      <x:c r="H47" s="31" t="str"/>
      <x:c r="I47" s="31" t="n">
        <x:v>132</x:v>
      </x:c>
      <x:c r="J47" s="31" t="str"/>
    </x:row>
    <x:row r="48">
      <x:c r="A48" s="31" t="n">
        <x:v>51</x:v>
      </x:c>
      <x:c r="B48" s="31" t="str">
        <x:v>en</x:v>
      </x:c>
      <x:c r="C48" s="31" t="str">
        <x:v>Great Encounters</x:v>
      </x:c>
      <x:c r="D48" s="31" t="str">
        <x:v>GE</x:v>
      </x:c>
      <x:c r="E48" s="31" t="str">
        <x:v>reconciled_components</x:v>
      </x:c>
      <x:c r="F48" s="31" t="n">
        <x:v>106</x:v>
      </x:c>
      <x:c r="G48" s="31" t="str">
        <x:v>Numbered total equals the reconciled printed denominator + beyond-denominator identities + separately listed subset identities.</x:v>
      </x:c>
      <x:c r="H48" s="31" t="str"/>
      <x:c r="I48" s="31" t="n">
        <x:v>106</x:v>
      </x:c>
      <x:c r="J48" s="31" t="str"/>
    </x:row>
    <x:row r="49">
      <x:c r="A49" s="31" t="n">
        <x:v>52</x:v>
      </x:c>
      <x:c r="B49" s="31" t="str">
        <x:v>en</x:v>
      </x:c>
      <x:c r="C49" s="31" t="str">
        <x:v>POP Series 7</x:v>
      </x:c>
      <x:c r="D49" s="31" t="str">
        <x:v>POP7</x:v>
      </x:c>
      <x:c r="E49" s="31" t="str">
        <x:v>reconciled_components</x:v>
      </x:c>
      <x:c r="F49" s="31" t="n">
        <x:v>17</x:v>
      </x:c>
      <x:c r="G49" s="31" t="str">
        <x:v>Numbered total equals the reconciled printed denominator + beyond-denominator identities + separately listed subset identities.</x:v>
      </x:c>
      <x:c r="H49" s="31" t="str"/>
      <x:c r="I49" s="31" t="n">
        <x:v>17</x:v>
      </x:c>
      <x:c r="J49" s="31" t="str"/>
    </x:row>
    <x:row r="50">
      <x:c r="A50" s="31" t="n">
        <x:v>53</x:v>
      </x:c>
      <x:c r="B50" s="31" t="str">
        <x:v>en</x:v>
      </x:c>
      <x:c r="C50" s="31" t="str">
        <x:v>Majestic Dawn</x:v>
      </x:c>
      <x:c r="D50" s="31" t="str">
        <x:v>MD</x:v>
      </x:c>
      <x:c r="E50" s="31" t="str">
        <x:v>reconciled_components</x:v>
      </x:c>
      <x:c r="F50" s="31" t="n">
        <x:v>100</x:v>
      </x:c>
      <x:c r="G50" s="31" t="str">
        <x:v>Numbered total equals the reconciled printed denominator + beyond-denominator identities + separately listed subset identities.</x:v>
      </x:c>
      <x:c r="H50" s="31" t="str"/>
      <x:c r="I50" s="31" t="n">
        <x:v>100</x:v>
      </x:c>
      <x:c r="J50" s="31" t="str"/>
    </x:row>
    <x:row r="51">
      <x:c r="A51" s="31" t="n">
        <x:v>54</x:v>
      </x:c>
      <x:c r="B51" s="31" t="str">
        <x:v>en</x:v>
      </x:c>
      <x:c r="C51" s="31" t="str">
        <x:v>Legends Awakened</x:v>
      </x:c>
      <x:c r="D51" s="31" t="str">
        <x:v>LA</x:v>
      </x:c>
      <x:c r="E51" s="31" t="str">
        <x:v>reconciled_components</x:v>
      </x:c>
      <x:c r="F51" s="31" t="n">
        <x:v>146</x:v>
      </x:c>
      <x:c r="G51" s="31" t="str">
        <x:v>Numbered total equals the reconciled printed denominator + beyond-denominator identities + separately listed subset identities.</x:v>
      </x:c>
      <x:c r="H51" s="31" t="str"/>
      <x:c r="I51" s="31" t="n">
        <x:v>146</x:v>
      </x:c>
      <x:c r="J51" s="31" t="str"/>
    </x:row>
    <x:row r="52">
      <x:c r="A52" s="31" t="n">
        <x:v>55</x:v>
      </x:c>
      <x:c r="B52" s="31" t="str">
        <x:v>en</x:v>
      </x:c>
      <x:c r="C52" s="31" t="str">
        <x:v>POP Series 8</x:v>
      </x:c>
      <x:c r="D52" s="31" t="str">
        <x:v>POP8</x:v>
      </x:c>
      <x:c r="E52" s="31" t="str">
        <x:v>reconciled_components</x:v>
      </x:c>
      <x:c r="F52" s="31" t="n">
        <x:v>17</x:v>
      </x:c>
      <x:c r="G52" s="31" t="str">
        <x:v>Numbered total equals the reconciled printed denominator + beyond-denominator identities + separately listed subset identities.</x:v>
      </x:c>
      <x:c r="H52" s="31" t="str"/>
      <x:c r="I52" s="31" t="n">
        <x:v>17</x:v>
      </x:c>
      <x:c r="J52" s="31" t="str"/>
    </x:row>
    <x:row r="53">
      <x:c r="A53" s="31" t="n">
        <x:v>56</x:v>
      </x:c>
      <x:c r="B53" s="31" t="str">
        <x:v>en</x:v>
      </x:c>
      <x:c r="C53" s="31" t="str">
        <x:v>Stormfront</x:v>
      </x:c>
      <x:c r="D53" s="31" t="str">
        <x:v>SF</x:v>
      </x:c>
      <x:c r="E53" s="31" t="str">
        <x:v>reconciled_components</x:v>
      </x:c>
      <x:c r="F53" s="31" t="n">
        <x:v>106</x:v>
      </x:c>
      <x:c r="G53" s="31" t="str">
        <x:v>Numbered total equals the reconciled printed denominator + beyond-denominator identities + separately listed subset identities.</x:v>
      </x:c>
      <x:c r="H53" s="31" t="str"/>
      <x:c r="I53" s="31" t="n">
        <x:v>106</x:v>
      </x:c>
      <x:c r="J53" s="31" t="str"/>
    </x:row>
    <x:row r="54">
      <x:c r="A54" s="31" t="n">
        <x:v>57</x:v>
      </x:c>
      <x:c r="B54" s="31" t="str">
        <x:v>en</x:v>
      </x:c>
      <x:c r="C54" s="31" t="str">
        <x:v>Platinum</x:v>
      </x:c>
      <x:c r="D54" s="31" t="str">
        <x:v>PL</x:v>
      </x:c>
      <x:c r="E54" s="31" t="str">
        <x:v>reconciled_components</x:v>
      </x:c>
      <x:c r="F54" s="31" t="n">
        <x:v>133</x:v>
      </x:c>
      <x:c r="G54" s="31" t="str">
        <x:v>Numbered total equals the reconciled printed denominator + beyond-denominator identities + separately listed subset identities.</x:v>
      </x:c>
      <x:c r="H54" s="31" t="str"/>
      <x:c r="I54" s="31" t="n">
        <x:v>133</x:v>
      </x:c>
      <x:c r="J54" s="31" t="str"/>
    </x:row>
    <x:row r="55">
      <x:c r="A55" s="31" t="n">
        <x:v>58</x:v>
      </x:c>
      <x:c r="B55" s="31" t="str">
        <x:v>en</x:v>
      </x:c>
      <x:c r="C55" s="31" t="str">
        <x:v>POP Series 9</x:v>
      </x:c>
      <x:c r="D55" s="31" t="str">
        <x:v>POP9</x:v>
      </x:c>
      <x:c r="E55" s="31" t="str">
        <x:v>reconciled_components</x:v>
      </x:c>
      <x:c r="F55" s="31" t="n">
        <x:v>17</x:v>
      </x:c>
      <x:c r="G55" s="31" t="str">
        <x:v>Numbered total equals the reconciled printed denominator + beyond-denominator identities + separately listed subset identities.</x:v>
      </x:c>
      <x:c r="H55" s="31" t="str"/>
      <x:c r="I55" s="31" t="n">
        <x:v>17</x:v>
      </x:c>
      <x:c r="J55" s="31" t="str"/>
    </x:row>
    <x:row r="56">
      <x:c r="A56" s="31" t="n">
        <x:v>59</x:v>
      </x:c>
      <x:c r="B56" s="31" t="str">
        <x:v>en</x:v>
      </x:c>
      <x:c r="C56" s="31" t="str">
        <x:v>Rising Rivals</x:v>
      </x:c>
      <x:c r="D56" s="31" t="str">
        <x:v>RR</x:v>
      </x:c>
      <x:c r="E56" s="31" t="str">
        <x:v>reconciled_components</x:v>
      </x:c>
      <x:c r="F56" s="31" t="n">
        <x:v>120</x:v>
      </x:c>
      <x:c r="G56" s="31" t="str">
        <x:v>Numbered total equals the reconciled printed denominator + beyond-denominator identities + separately listed subset identities.</x:v>
      </x:c>
      <x:c r="H56" s="31" t="str"/>
      <x:c r="I56" s="31" t="n">
        <x:v>120</x:v>
      </x:c>
      <x:c r="J56" s="31" t="str"/>
    </x:row>
    <x:row r="57">
      <x:c r="A57" s="31" t="n">
        <x:v>60</x:v>
      </x:c>
      <x:c r="B57" s="31" t="str">
        <x:v>en</x:v>
      </x:c>
      <x:c r="C57" s="31" t="str">
        <x:v>Supreme Victors</x:v>
      </x:c>
      <x:c r="D57" s="31" t="str">
        <x:v>SV</x:v>
      </x:c>
      <x:c r="E57" s="31" t="str">
        <x:v>reconciled_components</x:v>
      </x:c>
      <x:c r="F57" s="31" t="n">
        <x:v>153</x:v>
      </x:c>
      <x:c r="G57" s="31" t="str">
        <x:v>Numbered total equals the reconciled printed denominator + beyond-denominator identities + separately listed subset identities.</x:v>
      </x:c>
      <x:c r="H57" s="31" t="str"/>
      <x:c r="I57" s="31" t="n">
        <x:v>153</x:v>
      </x:c>
      <x:c r="J57" s="31" t="str"/>
    </x:row>
    <x:row r="58">
      <x:c r="A58" s="31" t="n">
        <x:v>61</x:v>
      </x:c>
      <x:c r="B58" s="31" t="str">
        <x:v>en</x:v>
      </x:c>
      <x:c r="C58" s="31" t="str">
        <x:v>Arceus</x:v>
      </x:c>
      <x:c r="D58" s="31" t="str">
        <x:v>AR</x:v>
      </x:c>
      <x:c r="E58" s="31" t="str">
        <x:v>reconciled_components</x:v>
      </x:c>
      <x:c r="F58" s="31" t="n">
        <x:v>111</x:v>
      </x:c>
      <x:c r="G58" s="31" t="str">
        <x:v>Numbered total equals the reconciled printed denominator + beyond-denominator identities + separately listed subset identities.</x:v>
      </x:c>
      <x:c r="H58" s="31" t="str"/>
      <x:c r="I58" s="31" t="n">
        <x:v>111</x:v>
      </x:c>
      <x:c r="J58" s="31" t="str"/>
    </x:row>
    <x:row r="59">
      <x:c r="A59" s="31" t="n">
        <x:v>62</x:v>
      </x:c>
      <x:c r="B59" s="31" t="str">
        <x:v>en</x:v>
      </x:c>
      <x:c r="C59" s="31" t="str">
        <x:v>Pokémon Rumble</x:v>
      </x:c>
      <x:c r="D59" s="31" t="str">
        <x:v>RM</x:v>
      </x:c>
      <x:c r="E59" s="31" t="str">
        <x:v>reconciled_components</x:v>
      </x:c>
      <x:c r="F59" s="31" t="n">
        <x:v>16</x:v>
      </x:c>
      <x:c r="G59" s="31" t="str">
        <x:v>Numbered total equals the reconciled printed denominator + beyond-denominator identities + separately listed subset identities.</x:v>
      </x:c>
      <x:c r="H59" s="31" t="str"/>
      <x:c r="I59" s="31" t="n">
        <x:v>16</x:v>
      </x:c>
      <x:c r="J59" s="31" t="str"/>
    </x:row>
    <x:row r="60">
      <x:c r="A60" s="31" t="n">
        <x:v>63</x:v>
      </x:c>
      <x:c r="B60" s="31" t="str">
        <x:v>en</x:v>
      </x:c>
      <x:c r="C60" s="31" t="str">
        <x:v>HGSS Black Star Promos</x:v>
      </x:c>
      <x:c r="D60" s="31" t="str">
        <x:v>HSP</x:v>
      </x:c>
      <x:c r="E60" s="31" t="str">
        <x:v>reconciled_components</x:v>
      </x:c>
      <x:c r="F60" s="31" t="n">
        <x:v>25</x:v>
      </x:c>
      <x:c r="G60" s="31" t="str">
        <x:v>Numbered total equals the reconciled printed denominator + beyond-denominator identities + separately listed subset identities.</x:v>
      </x:c>
      <x:c r="H60" s="31" t="str"/>
      <x:c r="I60" s="31" t="n">
        <x:v>25</x:v>
      </x:c>
      <x:c r="J60" s="31" t="str"/>
    </x:row>
    <x:row r="61">
      <x:c r="A61" s="31" t="n">
        <x:v>64</x:v>
      </x:c>
      <x:c r="B61" s="31" t="str">
        <x:v>en</x:v>
      </x:c>
      <x:c r="C61" s="31" t="str">
        <x:v>HeartGold &amp; SoulSilver</x:v>
      </x:c>
      <x:c r="D61" s="31" t="str">
        <x:v>HS</x:v>
      </x:c>
      <x:c r="E61" s="31" t="str">
        <x:v>reconciled_components</x:v>
      </x:c>
      <x:c r="F61" s="31" t="n">
        <x:v>124</x:v>
      </x:c>
      <x:c r="G61" s="31" t="str">
        <x:v>Numbered total equals the reconciled printed denominator + beyond-denominator identities + separately listed subset identities.</x:v>
      </x:c>
      <x:c r="H61" s="31" t="str"/>
      <x:c r="I61" s="31" t="n">
        <x:v>124</x:v>
      </x:c>
      <x:c r="J61" s="31" t="str"/>
    </x:row>
    <x:row r="62">
      <x:c r="A62" s="31" t="n">
        <x:v>65</x:v>
      </x:c>
      <x:c r="B62" s="31" t="str">
        <x:v>en</x:v>
      </x:c>
      <x:c r="C62" s="31" t="str">
        <x:v>HS—Unleashed</x:v>
      </x:c>
      <x:c r="D62" s="31" t="str">
        <x:v>UL</x:v>
      </x:c>
      <x:c r="E62" s="31" t="str">
        <x:v>reconciled_components</x:v>
      </x:c>
      <x:c r="F62" s="31" t="n">
        <x:v>96</x:v>
      </x:c>
      <x:c r="G62" s="31" t="str">
        <x:v>Numbered total equals the reconciled printed denominator + beyond-denominator identities + separately listed subset identities.</x:v>
      </x:c>
      <x:c r="H62" s="31" t="str"/>
      <x:c r="I62" s="31" t="n">
        <x:v>96</x:v>
      </x:c>
      <x:c r="J62" s="31" t="str"/>
    </x:row>
    <x:row r="63">
      <x:c r="A63" s="31" t="n">
        <x:v>66</x:v>
      </x:c>
      <x:c r="B63" s="31" t="str">
        <x:v>en</x:v>
      </x:c>
      <x:c r="C63" s="31" t="str">
        <x:v>HS—Undaunted</x:v>
      </x:c>
      <x:c r="D63" s="31" t="str">
        <x:v>UD</x:v>
      </x:c>
      <x:c r="E63" s="31" t="str">
        <x:v>reconciled_components</x:v>
      </x:c>
      <x:c r="F63" s="31" t="n">
        <x:v>91</x:v>
      </x:c>
      <x:c r="G63" s="31" t="str">
        <x:v>Numbered total equals the reconciled printed denominator + beyond-denominator identities + separately listed subset identities.</x:v>
      </x:c>
      <x:c r="H63" s="31" t="str"/>
      <x:c r="I63" s="31" t="n">
        <x:v>91</x:v>
      </x:c>
      <x:c r="J63" s="31" t="str"/>
    </x:row>
    <x:row r="64">
      <x:c r="A64" s="31" t="n">
        <x:v>67</x:v>
      </x:c>
      <x:c r="B64" s="31" t="str">
        <x:v>en</x:v>
      </x:c>
      <x:c r="C64" s="31" t="str">
        <x:v>HS—Triumphant</x:v>
      </x:c>
      <x:c r="D64" s="31" t="str">
        <x:v>TM</x:v>
      </x:c>
      <x:c r="E64" s="31" t="str">
        <x:v>reconciled_components</x:v>
      </x:c>
      <x:c r="F64" s="31" t="n">
        <x:v>103</x:v>
      </x:c>
      <x:c r="G64" s="31" t="str">
        <x:v>Numbered total equals the reconciled printed denominator + beyond-denominator identities + separately listed subset identities.</x:v>
      </x:c>
      <x:c r="H64" s="31" t="str"/>
      <x:c r="I64" s="31" t="n">
        <x:v>103</x:v>
      </x:c>
      <x:c r="J64" s="31" t="str"/>
    </x:row>
    <x:row r="65">
      <x:c r="A65" s="31" t="n">
        <x:v>68</x:v>
      </x:c>
      <x:c r="B65" s="31" t="str">
        <x:v>en</x:v>
      </x:c>
      <x:c r="C65" s="31" t="str">
        <x:v>Call of Legends</x:v>
      </x:c>
      <x:c r="D65" s="31" t="str">
        <x:v>CL</x:v>
      </x:c>
      <x:c r="E65" s="31" t="str">
        <x:v>reconciled_components</x:v>
      </x:c>
      <x:c r="F65" s="31" t="n">
        <x:v>106</x:v>
      </x:c>
      <x:c r="G65" s="31" t="str">
        <x:v>Numbered total equals the reconciled printed denominator + beyond-denominator identities + separately listed subset identities.</x:v>
      </x:c>
      <x:c r="H65" s="31" t="str"/>
      <x:c r="I65" s="31" t="n">
        <x:v>106</x:v>
      </x:c>
      <x:c r="J65" s="31" t="str"/>
    </x:row>
    <x:row r="66">
      <x:c r="A66" s="31" t="n">
        <x:v>69</x:v>
      </x:c>
      <x:c r="B66" s="31" t="str">
        <x:v>en</x:v>
      </x:c>
      <x:c r="C66" s="31" t="str">
        <x:v>BW Black Star Promos</x:v>
      </x:c>
      <x:c r="D66" s="31" t="str">
        <x:v>BWP</x:v>
      </x:c>
      <x:c r="E66" s="31" t="str">
        <x:v>reconciled_components</x:v>
      </x:c>
      <x:c r="F66" s="31" t="n">
        <x:v>99</x:v>
      </x:c>
      <x:c r="G66" s="31" t="str">
        <x:v>Numbered total equals the reconciled printed denominator + beyond-denominator identities + separately listed subset identities.</x:v>
      </x:c>
      <x:c r="H66" s="31" t="str"/>
      <x:c r="I66" s="31" t="n">
        <x:v>99</x:v>
      </x:c>
      <x:c r="J66" s="31" t="str"/>
    </x:row>
    <x:row r="67">
      <x:c r="A67" s="31" t="n">
        <x:v>70</x:v>
      </x:c>
      <x:c r="B67" s="31" t="str">
        <x:v>en</x:v>
      </x:c>
      <x:c r="C67" s="31" t="str">
        <x:v>Black &amp; White</x:v>
      </x:c>
      <x:c r="D67" s="31" t="str">
        <x:v>BLW</x:v>
      </x:c>
      <x:c r="E67" s="31" t="str">
        <x:v>reconciled_components</x:v>
      </x:c>
      <x:c r="F67" s="31" t="n">
        <x:v>115</x:v>
      </x:c>
      <x:c r="G67" s="31" t="str">
        <x:v>Numbered total equals the reconciled printed denominator + beyond-denominator identities + separately listed subset identities.</x:v>
      </x:c>
      <x:c r="H67" s="31" t="str"/>
      <x:c r="I67" s="31" t="n">
        <x:v>115</x:v>
      </x:c>
      <x:c r="J67" s="31" t="str"/>
    </x:row>
    <x:row r="68">
      <x:c r="A68" s="31" t="n">
        <x:v>71</x:v>
      </x:c>
      <x:c r="B68" s="31" t="str">
        <x:v>en</x:v>
      </x:c>
      <x:c r="C68" s="31" t="str">
        <x:v>McDonald's Collection 2011</x:v>
      </x:c>
      <x:c r="D68" s="31" t="str">
        <x:v>M11</x:v>
      </x:c>
      <x:c r="E68" s="31" t="str">
        <x:v>reconciled_components</x:v>
      </x:c>
      <x:c r="F68" s="31" t="n">
        <x:v>12</x:v>
      </x:c>
      <x:c r="G68" s="31" t="str">
        <x:v>Numbered total equals the reconciled printed denominator + beyond-denominator identities + separately listed subset identities.</x:v>
      </x:c>
      <x:c r="H68" s="31" t="str"/>
      <x:c r="I68" s="31" t="n">
        <x:v>12</x:v>
      </x:c>
      <x:c r="J68" s="31" t="str"/>
    </x:row>
    <x:row r="69">
      <x:c r="A69" s="31" t="n">
        <x:v>72</x:v>
      </x:c>
      <x:c r="B69" s="31" t="str">
        <x:v>en</x:v>
      </x:c>
      <x:c r="C69" s="31" t="str">
        <x:v>Emerging Powers</x:v>
      </x:c>
      <x:c r="D69" s="31" t="str">
        <x:v>EPO</x:v>
      </x:c>
      <x:c r="E69" s="31" t="str">
        <x:v>reconciled_components</x:v>
      </x:c>
      <x:c r="F69" s="31" t="n">
        <x:v>98</x:v>
      </x:c>
      <x:c r="G69" s="31" t="str">
        <x:v>Numbered total equals the reconciled printed denominator + beyond-denominator identities + separately listed subset identities.</x:v>
      </x:c>
      <x:c r="H69" s="31" t="str"/>
      <x:c r="I69" s="31" t="n">
        <x:v>98</x:v>
      </x:c>
      <x:c r="J69" s="31" t="str"/>
    </x:row>
    <x:row r="70">
      <x:c r="A70" s="31" t="n">
        <x:v>73</x:v>
      </x:c>
      <x:c r="B70" s="31" t="str">
        <x:v>en</x:v>
      </x:c>
      <x:c r="C70" s="31" t="str">
        <x:v>Noble Victories</x:v>
      </x:c>
      <x:c r="D70" s="31" t="str">
        <x:v>NVI</x:v>
      </x:c>
      <x:c r="E70" s="31" t="str">
        <x:v>reconciled_components</x:v>
      </x:c>
      <x:c r="F70" s="31" t="n">
        <x:v>102</x:v>
      </x:c>
      <x:c r="G70" s="31" t="str">
        <x:v>Numbered total equals the reconciled printed denominator + beyond-denominator identities + separately listed subset identities.</x:v>
      </x:c>
      <x:c r="H70" s="31" t="str"/>
      <x:c r="I70" s="31" t="n">
        <x:v>102</x:v>
      </x:c>
      <x:c r="J70" s="31" t="str"/>
    </x:row>
    <x:row r="71">
      <x:c r="A71" s="31" t="n">
        <x:v>74</x:v>
      </x:c>
      <x:c r="B71" s="31" t="str">
        <x:v>en</x:v>
      </x:c>
      <x:c r="C71" s="31" t="str">
        <x:v>Next Destinies</x:v>
      </x:c>
      <x:c r="D71" s="31" t="str">
        <x:v>NXD</x:v>
      </x:c>
      <x:c r="E71" s="31" t="str">
        <x:v>reconciled_components</x:v>
      </x:c>
      <x:c r="F71" s="31" t="n">
        <x:v>103</x:v>
      </x:c>
      <x:c r="G71" s="31" t="str">
        <x:v>Numbered total equals the reconciled printed denominator + beyond-denominator identities + separately listed subset identities.</x:v>
      </x:c>
      <x:c r="H71" s="31" t="str"/>
      <x:c r="I71" s="31" t="n">
        <x:v>103</x:v>
      </x:c>
      <x:c r="J71" s="31" t="str"/>
    </x:row>
    <x:row r="72">
      <x:c r="A72" s="31" t="n">
        <x:v>75</x:v>
      </x:c>
      <x:c r="B72" s="31" t="str">
        <x:v>en</x:v>
      </x:c>
      <x:c r="C72" s="31" t="str">
        <x:v>Dark Explorers</x:v>
      </x:c>
      <x:c r="D72" s="31" t="str">
        <x:v>DEX</x:v>
      </x:c>
      <x:c r="E72" s="31" t="str">
        <x:v>reconciled_components</x:v>
      </x:c>
      <x:c r="F72" s="31" t="n">
        <x:v>111</x:v>
      </x:c>
      <x:c r="G72" s="31" t="str">
        <x:v>Numbered total equals the reconciled printed denominator + beyond-denominator identities + separately listed subset identities.</x:v>
      </x:c>
      <x:c r="H72" s="31" t="str"/>
      <x:c r="I72" s="31" t="n">
        <x:v>111</x:v>
      </x:c>
      <x:c r="J72" s="31" t="str"/>
    </x:row>
    <x:row r="73">
      <x:c r="A73" s="31" t="n">
        <x:v>76</x:v>
      </x:c>
      <x:c r="B73" s="31" t="str">
        <x:v>en</x:v>
      </x:c>
      <x:c r="C73" s="31" t="str">
        <x:v>McDonald's Collection 2012</x:v>
      </x:c>
      <x:c r="D73" s="31" t="str">
        <x:v>M12</x:v>
      </x:c>
      <x:c r="E73" s="31" t="str">
        <x:v>reconciled_components</x:v>
      </x:c>
      <x:c r="F73" s="31" t="n">
        <x:v>12</x:v>
      </x:c>
      <x:c r="G73" s="31" t="str">
        <x:v>Numbered total equals the reconciled printed denominator + beyond-denominator identities + separately listed subset identities.</x:v>
      </x:c>
      <x:c r="H73" s="31" t="str"/>
      <x:c r="I73" s="31" t="n">
        <x:v>12</x:v>
      </x:c>
      <x:c r="J73" s="31" t="str"/>
    </x:row>
    <x:row r="74">
      <x:c r="A74" s="31" t="n">
        <x:v>77</x:v>
      </x:c>
      <x:c r="B74" s="31" t="str">
        <x:v>en</x:v>
      </x:c>
      <x:c r="C74" s="31" t="str">
        <x:v>Dragons Exalted</x:v>
      </x:c>
      <x:c r="D74" s="31" t="str">
        <x:v>DRX</x:v>
      </x:c>
      <x:c r="E74" s="31" t="str">
        <x:v>reconciled_components</x:v>
      </x:c>
      <x:c r="F74" s="31" t="n">
        <x:v>128</x:v>
      </x:c>
      <x:c r="G74" s="31" t="str">
        <x:v>Numbered total equals the reconciled printed denominator + beyond-denominator identities + separately listed subset identities.</x:v>
      </x:c>
      <x:c r="H74" s="31" t="str"/>
      <x:c r="I74" s="31" t="n">
        <x:v>128</x:v>
      </x:c>
      <x:c r="J74" s="31" t="str"/>
    </x:row>
    <x:row r="75">
      <x:c r="A75" s="31" t="n">
        <x:v>78</x:v>
      </x:c>
      <x:c r="B75" s="31" t="str">
        <x:v>en</x:v>
      </x:c>
      <x:c r="C75" s="31" t="str">
        <x:v>Dragon Vault</x:v>
      </x:c>
      <x:c r="D75" s="31" t="str">
        <x:v>DRV</x:v>
      </x:c>
      <x:c r="E75" s="31" t="str">
        <x:v>reconciled_components</x:v>
      </x:c>
      <x:c r="F75" s="31" t="n">
        <x:v>21</x:v>
      </x:c>
      <x:c r="G75" s="31" t="str">
        <x:v>Numbered total equals the reconciled printed denominator + beyond-denominator identities + separately listed subset identities.</x:v>
      </x:c>
      <x:c r="H75" s="31" t="str"/>
      <x:c r="I75" s="31" t="n">
        <x:v>21</x:v>
      </x:c>
      <x:c r="J75" s="31" t="str"/>
    </x:row>
    <x:row r="76">
      <x:c r="A76" s="31" t="n">
        <x:v>79</x:v>
      </x:c>
      <x:c r="B76" s="31" t="str">
        <x:v>en</x:v>
      </x:c>
      <x:c r="C76" s="31" t="str">
        <x:v>Boundaries Crossed</x:v>
      </x:c>
      <x:c r="D76" s="31" t="str">
        <x:v>BCR</x:v>
      </x:c>
      <x:c r="E76" s="31" t="str">
        <x:v>reconciled_components</x:v>
      </x:c>
      <x:c r="F76" s="31" t="n">
        <x:v>153</x:v>
      </x:c>
      <x:c r="G76" s="31" t="str">
        <x:v>Numbered total equals the reconciled printed denominator + beyond-denominator identities + separately listed subset identities.</x:v>
      </x:c>
      <x:c r="H76" s="31" t="str"/>
      <x:c r="I76" s="31" t="n">
        <x:v>153</x:v>
      </x:c>
      <x:c r="J76" s="31" t="str"/>
    </x:row>
    <x:row r="77">
      <x:c r="A77" s="31" t="n">
        <x:v>80</x:v>
      </x:c>
      <x:c r="B77" s="31" t="str">
        <x:v>en</x:v>
      </x:c>
      <x:c r="C77" s="31" t="str">
        <x:v>Plasma Storm</x:v>
      </x:c>
      <x:c r="D77" s="31" t="str">
        <x:v>PLS</x:v>
      </x:c>
      <x:c r="E77" s="31" t="str">
        <x:v>reconciled_components</x:v>
      </x:c>
      <x:c r="F77" s="31" t="n">
        <x:v>138</x:v>
      </x:c>
      <x:c r="G77" s="31" t="str">
        <x:v>Numbered total equals the reconciled printed denominator + beyond-denominator identities + separately listed subset identities.</x:v>
      </x:c>
      <x:c r="H77" s="31" t="str"/>
      <x:c r="I77" s="31" t="n">
        <x:v>138</x:v>
      </x:c>
      <x:c r="J77" s="31" t="str"/>
    </x:row>
    <x:row r="78">
      <x:c r="A78" s="31" t="n">
        <x:v>81</x:v>
      </x:c>
      <x:c r="B78" s="31" t="str">
        <x:v>en</x:v>
      </x:c>
      <x:c r="C78" s="31" t="str">
        <x:v>Plasma Freeze</x:v>
      </x:c>
      <x:c r="D78" s="31" t="str">
        <x:v>PLF</x:v>
      </x:c>
      <x:c r="E78" s="31" t="str">
        <x:v>reconciled_components</x:v>
      </x:c>
      <x:c r="F78" s="31" t="n">
        <x:v>122</x:v>
      </x:c>
      <x:c r="G78" s="31" t="str">
        <x:v>Numbered total equals the reconciled printed denominator + beyond-denominator identities + separately listed subset identities.</x:v>
      </x:c>
      <x:c r="H78" s="31" t="str"/>
      <x:c r="I78" s="31" t="n">
        <x:v>122</x:v>
      </x:c>
      <x:c r="J78" s="31" t="str"/>
    </x:row>
    <x:row r="79">
      <x:c r="A79" s="31" t="n">
        <x:v>82</x:v>
      </x:c>
      <x:c r="B79" s="31" t="str">
        <x:v>en</x:v>
      </x:c>
      <x:c r="C79" s="31" t="str">
        <x:v>Plasma Blast</x:v>
      </x:c>
      <x:c r="D79" s="31" t="str">
        <x:v>PLB</x:v>
      </x:c>
      <x:c r="E79" s="31" t="str">
        <x:v>reconciled_components</x:v>
      </x:c>
      <x:c r="F79" s="31" t="n">
        <x:v>105</x:v>
      </x:c>
      <x:c r="G79" s="31" t="str">
        <x:v>Numbered total equals the reconciled printed denominator + beyond-denominator identities + separately listed subset identities.</x:v>
      </x:c>
      <x:c r="H79" s="31" t="str"/>
      <x:c r="I79" s="31" t="n">
        <x:v>105</x:v>
      </x:c>
      <x:c r="J79" s="31" t="str"/>
    </x:row>
    <x:row r="80">
      <x:c r="A80" s="31" t="n">
        <x:v>83</x:v>
      </x:c>
      <x:c r="B80" s="31" t="str">
        <x:v>en</x:v>
      </x:c>
      <x:c r="C80" s="31" t="str">
        <x:v>XY Black Star Promos</x:v>
      </x:c>
      <x:c r="D80" s="31" t="str">
        <x:v>XYP</x:v>
      </x:c>
      <x:c r="E80" s="31" t="str">
        <x:v>reconciled_components</x:v>
      </x:c>
      <x:c r="F80" s="31" t="n">
        <x:v>211</x:v>
      </x:c>
      <x:c r="G80" s="31" t="str">
        <x:v>Numbered total equals the reconciled printed denominator + beyond-denominator identities + separately listed subset identities.</x:v>
      </x:c>
      <x:c r="H80" s="31" t="str"/>
      <x:c r="I80" s="31" t="n">
        <x:v>211</x:v>
      </x:c>
      <x:c r="J80" s="31" t="str"/>
    </x:row>
    <x:row r="81">
      <x:c r="A81" s="31" t="n">
        <x:v>84</x:v>
      </x:c>
      <x:c r="B81" s="31" t="str">
        <x:v>en</x:v>
      </x:c>
      <x:c r="C81" s="31" t="str">
        <x:v>McDonald's Collection 2013</x:v>
      </x:c>
      <x:c r="D81" s="31" t="str">
        <x:v>M13</x:v>
      </x:c>
      <x:c r="E81" s="31" t="str">
        <x:v>reconciled_components</x:v>
      </x:c>
      <x:c r="F81" s="31" t="n">
        <x:v>12</x:v>
      </x:c>
      <x:c r="G81" s="31" t="str">
        <x:v>Numbered total equals the reconciled printed denominator + beyond-denominator identities + separately listed subset identities.</x:v>
      </x:c>
      <x:c r="H81" s="31" t="str"/>
      <x:c r="I81" s="31" t="n">
        <x:v>12</x:v>
      </x:c>
      <x:c r="J81" s="31" t="str"/>
    </x:row>
    <x:row r="82">
      <x:c r="A82" s="31" t="n">
        <x:v>85</x:v>
      </x:c>
      <x:c r="B82" s="31" t="str">
        <x:v>en</x:v>
      </x:c>
      <x:c r="C82" s="31" t="str">
        <x:v>Legendary Treasures</x:v>
      </x:c>
      <x:c r="D82" s="31" t="str">
        <x:v>LTR</x:v>
      </x:c>
      <x:c r="E82" s="31" t="str">
        <x:v>reconciled_components</x:v>
      </x:c>
      <x:c r="F82" s="31" t="n">
        <x:v>140</x:v>
      </x:c>
      <x:c r="G82" s="31" t="str">
        <x:v>Numbered total equals the reconciled printed denominator + beyond-denominator identities + separately listed subset identities.</x:v>
      </x:c>
      <x:c r="H82" s="31" t="str"/>
      <x:c r="I82" s="31" t="n">
        <x:v>140</x:v>
      </x:c>
      <x:c r="J82" s="31" t="str"/>
    </x:row>
    <x:row r="83">
      <x:c r="A83" s="31" t="n">
        <x:v>86</x:v>
      </x:c>
      <x:c r="B83" s="31" t="str">
        <x:v>en</x:v>
      </x:c>
      <x:c r="C83" s="31" t="str">
        <x:v>Kalos Starter Set</x:v>
      </x:c>
      <x:c r="D83" s="31" t="str">
        <x:v>KSS</x:v>
      </x:c>
      <x:c r="E83" s="31" t="str">
        <x:v>reconciled_components</x:v>
      </x:c>
      <x:c r="F83" s="31" t="n">
        <x:v>39</x:v>
      </x:c>
      <x:c r="G83" s="31" t="str">
        <x:v>Numbered total equals the reconciled printed denominator + beyond-denominator identities + separately listed subset identities.</x:v>
      </x:c>
      <x:c r="H83" s="31" t="str"/>
      <x:c r="I83" s="31" t="n">
        <x:v>39</x:v>
      </x:c>
      <x:c r="J83" s="31" t="str"/>
    </x:row>
    <x:row r="84">
      <x:c r="A84" s="31" t="n">
        <x:v>87</x:v>
      </x:c>
      <x:c r="B84" s="31" t="str">
        <x:v>en</x:v>
      </x:c>
      <x:c r="C84" s="31" t="str">
        <x:v>XY</x:v>
      </x:c>
      <x:c r="D84" s="31" t="str">
        <x:v>XY</x:v>
      </x:c>
      <x:c r="E84" s="31" t="str">
        <x:v>reconciled_components</x:v>
      </x:c>
      <x:c r="F84" s="31" t="n">
        <x:v>146</x:v>
      </x:c>
      <x:c r="G84" s="31" t="str">
        <x:v>Numbered total equals the reconciled printed denominator + beyond-denominator identities + separately listed subset identities.</x:v>
      </x:c>
      <x:c r="H84" s="31" t="str"/>
      <x:c r="I84" s="31" t="n">
        <x:v>146</x:v>
      </x:c>
      <x:c r="J84" s="31" t="str"/>
    </x:row>
    <x:row r="85">
      <x:c r="A85" s="31" t="n">
        <x:v>88</x:v>
      </x:c>
      <x:c r="B85" s="31" t="str">
        <x:v>en</x:v>
      </x:c>
      <x:c r="C85" s="31" t="str">
        <x:v>Flashfire</x:v>
      </x:c>
      <x:c r="D85" s="31" t="str">
        <x:v>FLF</x:v>
      </x:c>
      <x:c r="E85" s="31" t="str">
        <x:v>reconciled_components</x:v>
      </x:c>
      <x:c r="F85" s="31" t="n">
        <x:v>109</x:v>
      </x:c>
      <x:c r="G85" s="31" t="str">
        <x:v>Numbered total equals the reconciled printed denominator + beyond-denominator identities + separately listed subset identities.</x:v>
      </x:c>
      <x:c r="H85" s="31" t="str"/>
      <x:c r="I85" s="31" t="n">
        <x:v>109</x:v>
      </x:c>
      <x:c r="J85" s="31" t="str"/>
    </x:row>
    <x:row r="86">
      <x:c r="A86" s="31" t="n">
        <x:v>89</x:v>
      </x:c>
      <x:c r="B86" s="31" t="str">
        <x:v>en</x:v>
      </x:c>
      <x:c r="C86" s="31" t="str">
        <x:v>McDonald's Collection 2014</x:v>
      </x:c>
      <x:c r="D86" s="31" t="str">
        <x:v>M14</x:v>
      </x:c>
      <x:c r="E86" s="31" t="str">
        <x:v>reconciled_components</x:v>
      </x:c>
      <x:c r="F86" s="31" t="n">
        <x:v>12</x:v>
      </x:c>
      <x:c r="G86" s="31" t="str">
        <x:v>Numbered total equals the reconciled printed denominator + beyond-denominator identities + separately listed subset identities.</x:v>
      </x:c>
      <x:c r="H86" s="31" t="str"/>
      <x:c r="I86" s="31" t="n">
        <x:v>12</x:v>
      </x:c>
      <x:c r="J86" s="31" t="str"/>
    </x:row>
    <x:row r="87">
      <x:c r="A87" s="31" t="n">
        <x:v>90</x:v>
      </x:c>
      <x:c r="B87" s="31" t="str">
        <x:v>en</x:v>
      </x:c>
      <x:c r="C87" s="31" t="str">
        <x:v>Furious Fists</x:v>
      </x:c>
      <x:c r="D87" s="31" t="str">
        <x:v>FFI</x:v>
      </x:c>
      <x:c r="E87" s="31" t="str">
        <x:v>reconciled_components</x:v>
      </x:c>
      <x:c r="F87" s="31" t="n">
        <x:v>113</x:v>
      </x:c>
      <x:c r="G87" s="31" t="str">
        <x:v>Numbered total equals the reconciled printed denominator + beyond-denominator identities + separately listed subset identities.</x:v>
      </x:c>
      <x:c r="H87" s="31" t="str"/>
      <x:c r="I87" s="31" t="n">
        <x:v>113</x:v>
      </x:c>
      <x:c r="J87" s="31" t="str"/>
    </x:row>
    <x:row r="88">
      <x:c r="A88" s="31" t="n">
        <x:v>91</x:v>
      </x:c>
      <x:c r="B88" s="31" t="str">
        <x:v>en</x:v>
      </x:c>
      <x:c r="C88" s="31" t="str">
        <x:v>Phantom Forces</x:v>
      </x:c>
      <x:c r="D88" s="31" t="str">
        <x:v>PHF</x:v>
      </x:c>
      <x:c r="E88" s="31" t="str">
        <x:v>reconciled_components</x:v>
      </x:c>
      <x:c r="F88" s="31" t="n">
        <x:v>122</x:v>
      </x:c>
      <x:c r="G88" s="31" t="str">
        <x:v>Numbered total equals the reconciled printed denominator + beyond-denominator identities + separately listed subset identities.</x:v>
      </x:c>
      <x:c r="H88" s="31" t="str"/>
      <x:c r="I88" s="31" t="n">
        <x:v>122</x:v>
      </x:c>
      <x:c r="J88" s="31" t="str"/>
    </x:row>
    <x:row r="89">
      <x:c r="A89" s="31" t="n">
        <x:v>92</x:v>
      </x:c>
      <x:c r="B89" s="31" t="str">
        <x:v>en</x:v>
      </x:c>
      <x:c r="C89" s="31" t="str">
        <x:v>Primal Clash</x:v>
      </x:c>
      <x:c r="D89" s="31" t="str">
        <x:v>PRC</x:v>
      </x:c>
      <x:c r="E89" s="31" t="str">
        <x:v>reconciled_components</x:v>
      </x:c>
      <x:c r="F89" s="31" t="n">
        <x:v>164</x:v>
      </x:c>
      <x:c r="G89" s="31" t="str">
        <x:v>Numbered total equals the reconciled printed denominator + beyond-denominator identities + separately listed subset identities.</x:v>
      </x:c>
      <x:c r="H89" s="31" t="str"/>
      <x:c r="I89" s="31" t="n">
        <x:v>164</x:v>
      </x:c>
      <x:c r="J89" s="31" t="str"/>
    </x:row>
    <x:row r="90">
      <x:c r="A90" s="31" t="n">
        <x:v>93</x:v>
      </x:c>
      <x:c r="B90" s="31" t="str">
        <x:v>en</x:v>
      </x:c>
      <x:c r="C90" s="31" t="str">
        <x:v>Double Crisis</x:v>
      </x:c>
      <x:c r="D90" s="31" t="str">
        <x:v>DCR</x:v>
      </x:c>
      <x:c r="E90" s="31" t="str">
        <x:v>reconciled_components</x:v>
      </x:c>
      <x:c r="F90" s="31" t="n">
        <x:v>34</x:v>
      </x:c>
      <x:c r="G90" s="31" t="str">
        <x:v>Numbered total equals the reconciled printed denominator + beyond-denominator identities + separately listed subset identities.</x:v>
      </x:c>
      <x:c r="H90" s="31" t="str"/>
      <x:c r="I90" s="31" t="n">
        <x:v>34</x:v>
      </x:c>
      <x:c r="J90" s="31" t="str"/>
    </x:row>
    <x:row r="91">
      <x:c r="A91" s="31" t="n">
        <x:v>94</x:v>
      </x:c>
      <x:c r="B91" s="31" t="str">
        <x:v>en</x:v>
      </x:c>
      <x:c r="C91" s="31" t="str">
        <x:v>Roaring Skies</x:v>
      </x:c>
      <x:c r="D91" s="31" t="str">
        <x:v>ROS</x:v>
      </x:c>
      <x:c r="E91" s="31" t="str">
        <x:v>reconciled_components</x:v>
      </x:c>
      <x:c r="F91" s="31" t="n">
        <x:v>110</x:v>
      </x:c>
      <x:c r="G91" s="31" t="str">
        <x:v>Numbered total equals the reconciled printed denominator + beyond-denominator identities + separately listed subset identities.</x:v>
      </x:c>
      <x:c r="H91" s="31" t="str"/>
      <x:c r="I91" s="31" t="n">
        <x:v>110</x:v>
      </x:c>
      <x:c r="J91" s="31" t="str"/>
    </x:row>
    <x:row r="92">
      <x:c r="A92" s="31" t="n">
        <x:v>95</x:v>
      </x:c>
      <x:c r="B92" s="31" t="str">
        <x:v>en</x:v>
      </x:c>
      <x:c r="C92" s="31" t="str">
        <x:v>Ancient Origins</x:v>
      </x:c>
      <x:c r="D92" s="31" t="str">
        <x:v>AOR</x:v>
      </x:c>
      <x:c r="E92" s="31" t="str">
        <x:v>reconciled_components</x:v>
      </x:c>
      <x:c r="F92" s="31" t="n">
        <x:v>100</x:v>
      </x:c>
      <x:c r="G92" s="31" t="str">
        <x:v>Numbered total equals the reconciled printed denominator + beyond-denominator identities + separately listed subset identities.</x:v>
      </x:c>
      <x:c r="H92" s="31" t="str"/>
      <x:c r="I92" s="31" t="n">
        <x:v>100</x:v>
      </x:c>
      <x:c r="J92" s="31" t="str"/>
    </x:row>
    <x:row r="93">
      <x:c r="A93" s="31" t="n">
        <x:v>96</x:v>
      </x:c>
      <x:c r="B93" s="31" t="str">
        <x:v>en</x:v>
      </x:c>
      <x:c r="C93" s="31" t="str">
        <x:v>McDonald's Collection 2015</x:v>
      </x:c>
      <x:c r="D93" s="31" t="str">
        <x:v>M15</x:v>
      </x:c>
      <x:c r="E93" s="31" t="str">
        <x:v>reconciled_components</x:v>
      </x:c>
      <x:c r="F93" s="31" t="n">
        <x:v>12</x:v>
      </x:c>
      <x:c r="G93" s="31" t="str">
        <x:v>Numbered total equals the reconciled printed denominator + beyond-denominator identities + separately listed subset identities.</x:v>
      </x:c>
      <x:c r="H93" s="31" t="str"/>
      <x:c r="I93" s="31" t="n">
        <x:v>12</x:v>
      </x:c>
      <x:c r="J93" s="31" t="str"/>
    </x:row>
    <x:row r="94">
      <x:c r="A94" s="31" t="n">
        <x:v>97</x:v>
      </x:c>
      <x:c r="B94" s="31" t="str">
        <x:v>en</x:v>
      </x:c>
      <x:c r="C94" s="31" t="str">
        <x:v>BREAKthrough</x:v>
      </x:c>
      <x:c r="D94" s="31" t="str">
        <x:v>BKT</x:v>
      </x:c>
      <x:c r="E94" s="31" t="str">
        <x:v>reconciled_components</x:v>
      </x:c>
      <x:c r="F94" s="31" t="n">
        <x:v>164</x:v>
      </x:c>
      <x:c r="G94" s="31" t="str">
        <x:v>Numbered total equals the reconciled printed denominator + beyond-denominator identities + separately listed subset identities.</x:v>
      </x:c>
      <x:c r="H94" s="31" t="str"/>
      <x:c r="I94" s="31" t="n">
        <x:v>164</x:v>
      </x:c>
      <x:c r="J94" s="31" t="str"/>
    </x:row>
    <x:row r="95">
      <x:c r="A95" s="31" t="n">
        <x:v>98</x:v>
      </x:c>
      <x:c r="B95" s="31" t="str">
        <x:v>en</x:v>
      </x:c>
      <x:c r="C95" s="31" t="str">
        <x:v>BREAKpoint</x:v>
      </x:c>
      <x:c r="D95" s="31" t="str">
        <x:v>BKP</x:v>
      </x:c>
      <x:c r="E95" s="31" t="str">
        <x:v>reconciled_components</x:v>
      </x:c>
      <x:c r="F95" s="31" t="n">
        <x:v>123</x:v>
      </x:c>
      <x:c r="G95" s="31" t="str">
        <x:v>Numbered total equals the reconciled printed denominator + beyond-denominator identities + separately listed subset identities.</x:v>
      </x:c>
      <x:c r="H95" s="31" t="str"/>
      <x:c r="I95" s="31" t="n">
        <x:v>123</x:v>
      </x:c>
      <x:c r="J95" s="31" t="str"/>
    </x:row>
    <x:row r="96">
      <x:c r="A96" s="31" t="n">
        <x:v>99</x:v>
      </x:c>
      <x:c r="B96" s="31" t="str">
        <x:v>en</x:v>
      </x:c>
      <x:c r="C96" s="31" t="str">
        <x:v>Generations</x:v>
      </x:c>
      <x:c r="D96" s="31" t="str">
        <x:v>GEN</x:v>
      </x:c>
      <x:c r="E96" s="31" t="str">
        <x:v>reconciled_components</x:v>
      </x:c>
      <x:c r="F96" s="31" t="n">
        <x:v>115</x:v>
      </x:c>
      <x:c r="G96" s="31" t="str">
        <x:v>Numbered total equals the reconciled printed denominator + beyond-denominator identities + separately listed subset identities.</x:v>
      </x:c>
      <x:c r="H96" s="31" t="str"/>
      <x:c r="I96" s="31" t="n">
        <x:v>115</x:v>
      </x:c>
      <x:c r="J96" s="31" t="str"/>
    </x:row>
    <x:row r="97">
      <x:c r="A97" s="31" t="n">
        <x:v>100</x:v>
      </x:c>
      <x:c r="B97" s="31" t="str">
        <x:v>en</x:v>
      </x:c>
      <x:c r="C97" s="31" t="str">
        <x:v>Fates Collide</x:v>
      </x:c>
      <x:c r="D97" s="31" t="str">
        <x:v>FCO</x:v>
      </x:c>
      <x:c r="E97" s="31" t="str">
        <x:v>reconciled_components</x:v>
      </x:c>
      <x:c r="F97" s="31" t="n">
        <x:v>125</x:v>
      </x:c>
      <x:c r="G97" s="31" t="str">
        <x:v>Numbered total equals the reconciled printed denominator + beyond-denominator identities + separately listed subset identities.</x:v>
      </x:c>
      <x:c r="H97" s="31" t="str"/>
      <x:c r="I97" s="31" t="n">
        <x:v>125</x:v>
      </x:c>
      <x:c r="J97" s="31" t="str"/>
    </x:row>
    <x:row r="98">
      <x:c r="A98" s="31" t="n">
        <x:v>101</x:v>
      </x:c>
      <x:c r="B98" s="31" t="str">
        <x:v>en</x:v>
      </x:c>
      <x:c r="C98" s="31" t="str">
        <x:v>Steam Siege</x:v>
      </x:c>
      <x:c r="D98" s="31" t="str">
        <x:v>STS</x:v>
      </x:c>
      <x:c r="E98" s="31" t="str">
        <x:v>reconciled_components</x:v>
      </x:c>
      <x:c r="F98" s="31" t="n">
        <x:v>116</x:v>
      </x:c>
      <x:c r="G98" s="31" t="str">
        <x:v>Numbered total equals the reconciled printed denominator + beyond-denominator identities + separately listed subset identities.</x:v>
      </x:c>
      <x:c r="H98" s="31" t="str"/>
      <x:c r="I98" s="31" t="n">
        <x:v>116</x:v>
      </x:c>
      <x:c r="J98" s="31" t="str"/>
    </x:row>
    <x:row r="99">
      <x:c r="A99" s="31" t="n">
        <x:v>102</x:v>
      </x:c>
      <x:c r="B99" s="31" t="str">
        <x:v>en</x:v>
      </x:c>
      <x:c r="C99" s="31" t="str">
        <x:v>McDonald's Collection 2016</x:v>
      </x:c>
      <x:c r="D99" s="31" t="str">
        <x:v>M16</x:v>
      </x:c>
      <x:c r="E99" s="31" t="str">
        <x:v>reconciled_components</x:v>
      </x:c>
      <x:c r="F99" s="31" t="n">
        <x:v>12</x:v>
      </x:c>
      <x:c r="G99" s="31" t="str">
        <x:v>Numbered total equals the reconciled printed denominator + beyond-denominator identities + separately listed subset identities.</x:v>
      </x:c>
      <x:c r="H99" s="31" t="str"/>
      <x:c r="I99" s="31" t="n">
        <x:v>12</x:v>
      </x:c>
      <x:c r="J99" s="31" t="str"/>
    </x:row>
    <x:row r="100">
      <x:c r="A100" s="31" t="n">
        <x:v>103</x:v>
      </x:c>
      <x:c r="B100" s="31" t="str">
        <x:v>en</x:v>
      </x:c>
      <x:c r="C100" s="31" t="str">
        <x:v>SM Black Star Promos</x:v>
      </x:c>
      <x:c r="D100" s="31" t="str">
        <x:v>SMP</x:v>
      </x:c>
      <x:c r="E100" s="31" t="str">
        <x:v>reconciled_components</x:v>
      </x:c>
      <x:c r="F100" s="31" t="n">
        <x:v>248</x:v>
      </x:c>
      <x:c r="G100" s="31" t="str">
        <x:v>Numbered total equals the reconciled printed denominator + beyond-denominator identities + separately listed subset identities.</x:v>
      </x:c>
      <x:c r="H100" s="31" t="str"/>
      <x:c r="I100" s="31" t="n">
        <x:v>248</x:v>
      </x:c>
      <x:c r="J100" s="31" t="str"/>
    </x:row>
    <x:row r="101">
      <x:c r="A101" s="31" t="n">
        <x:v>104</x:v>
      </x:c>
      <x:c r="B101" s="31" t="str">
        <x:v>en</x:v>
      </x:c>
      <x:c r="C101" s="31" t="str">
        <x:v>Evolutions</x:v>
      </x:c>
      <x:c r="D101" s="31" t="str">
        <x:v>EVO</x:v>
      </x:c>
      <x:c r="E101" s="31" t="str">
        <x:v>reconciled_components</x:v>
      </x:c>
      <x:c r="F101" s="31" t="n">
        <x:v>113</x:v>
      </x:c>
      <x:c r="G101" s="31" t="str">
        <x:v>Numbered total equals the reconciled printed denominator + beyond-denominator identities + separately listed subset identities.</x:v>
      </x:c>
      <x:c r="H101" s="31" t="str"/>
      <x:c r="I101" s="31" t="n">
        <x:v>113</x:v>
      </x:c>
      <x:c r="J101" s="31" t="str"/>
    </x:row>
    <x:row r="102">
      <x:c r="A102" s="31" t="n">
        <x:v>105</x:v>
      </x:c>
      <x:c r="B102" s="31" t="str">
        <x:v>en</x:v>
      </x:c>
      <x:c r="C102" s="31" t="str">
        <x:v>Sun &amp; Moon</x:v>
      </x:c>
      <x:c r="D102" s="31" t="str">
        <x:v>SUM</x:v>
      </x:c>
      <x:c r="E102" s="31" t="str">
        <x:v>reconciled_components</x:v>
      </x:c>
      <x:c r="F102" s="31" t="n">
        <x:v>163</x:v>
      </x:c>
      <x:c r="G102" s="31" t="str">
        <x:v>Numbered total equals the reconciled printed denominator + beyond-denominator identities + separately listed subset identities.</x:v>
      </x:c>
      <x:c r="H102" s="31" t="str"/>
      <x:c r="I102" s="31" t="n">
        <x:v>163</x:v>
      </x:c>
      <x:c r="J102" s="31" t="str"/>
    </x:row>
    <x:row r="103">
      <x:c r="A103" s="31" t="n">
        <x:v>106</x:v>
      </x:c>
      <x:c r="B103" s="31" t="str">
        <x:v>en</x:v>
      </x:c>
      <x:c r="C103" s="31" t="str">
        <x:v>Guardians Rising</x:v>
      </x:c>
      <x:c r="D103" s="31" t="str">
        <x:v>GRI</x:v>
      </x:c>
      <x:c r="E103" s="31" t="str">
        <x:v>reconciled_components</x:v>
      </x:c>
      <x:c r="F103" s="31" t="n">
        <x:v>169</x:v>
      </x:c>
      <x:c r="G103" s="31" t="str">
        <x:v>Numbered total equals the reconciled printed denominator + beyond-denominator identities + separately listed subset identities.</x:v>
      </x:c>
      <x:c r="H103" s="31" t="str"/>
      <x:c r="I103" s="31" t="n">
        <x:v>169</x:v>
      </x:c>
      <x:c r="J103" s="31" t="str"/>
    </x:row>
    <x:row r="104">
      <x:c r="A104" s="31" t="n">
        <x:v>107</x:v>
      </x:c>
      <x:c r="B104" s="31" t="str">
        <x:v>en</x:v>
      </x:c>
      <x:c r="C104" s="31" t="str">
        <x:v>McDonald's Collection 2017</x:v>
      </x:c>
      <x:c r="D104" s="31" t="str">
        <x:v>M17</x:v>
      </x:c>
      <x:c r="E104" s="31" t="str">
        <x:v>reconciled_components</x:v>
      </x:c>
      <x:c r="F104" s="31" t="n">
        <x:v>12</x:v>
      </x:c>
      <x:c r="G104" s="31" t="str">
        <x:v>Numbered total equals the reconciled printed denominator + beyond-denominator identities + separately listed subset identities.</x:v>
      </x:c>
      <x:c r="H104" s="31" t="str"/>
      <x:c r="I104" s="31" t="n">
        <x:v>12</x:v>
      </x:c>
      <x:c r="J104" s="31" t="str"/>
    </x:row>
    <x:row r="105">
      <x:c r="A105" s="31" t="n">
        <x:v>108</x:v>
      </x:c>
      <x:c r="B105" s="31" t="str">
        <x:v>en</x:v>
      </x:c>
      <x:c r="C105" s="31" t="str">
        <x:v>Burning Shadows</x:v>
      </x:c>
      <x:c r="D105" s="31" t="str">
        <x:v>BUS</x:v>
      </x:c>
      <x:c r="E105" s="31" t="str">
        <x:v>reconciled_components</x:v>
      </x:c>
      <x:c r="F105" s="31" t="n">
        <x:v>169</x:v>
      </x:c>
      <x:c r="G105" s="31" t="str">
        <x:v>Numbered total equals the reconciled printed denominator + beyond-denominator identities + separately listed subset identities.</x:v>
      </x:c>
      <x:c r="H105" s="31" t="str"/>
      <x:c r="I105" s="31" t="n">
        <x:v>169</x:v>
      </x:c>
      <x:c r="J105" s="31" t="str"/>
    </x:row>
    <x:row r="106">
      <x:c r="A106" s="31" t="n">
        <x:v>109</x:v>
      </x:c>
      <x:c r="B106" s="31" t="str">
        <x:v>en</x:v>
      </x:c>
      <x:c r="C106" s="31" t="str">
        <x:v>Shining Legends</x:v>
      </x:c>
      <x:c r="D106" s="31" t="str">
        <x:v>SLG</x:v>
      </x:c>
      <x:c r="E106" s="31" t="str">
        <x:v>reconciled_components</x:v>
      </x:c>
      <x:c r="F106" s="31" t="n">
        <x:v>78</x:v>
      </x:c>
      <x:c r="G106" s="31" t="str">
        <x:v>Numbered total equals the reconciled printed denominator + beyond-denominator identities + separately listed subset identities.</x:v>
      </x:c>
      <x:c r="H106" s="31" t="str"/>
      <x:c r="I106" s="31" t="n">
        <x:v>78</x:v>
      </x:c>
      <x:c r="J106" s="31" t="str"/>
    </x:row>
    <x:row r="107">
      <x:c r="A107" s="31" t="n">
        <x:v>110</x:v>
      </x:c>
      <x:c r="B107" s="31" t="str">
        <x:v>en</x:v>
      </x:c>
      <x:c r="C107" s="31" t="str">
        <x:v>Crimson Invasion</x:v>
      </x:c>
      <x:c r="D107" s="31" t="str">
        <x:v>CIN</x:v>
      </x:c>
      <x:c r="E107" s="31" t="str">
        <x:v>reconciled_components</x:v>
      </x:c>
      <x:c r="F107" s="31" t="n">
        <x:v>124</x:v>
      </x:c>
      <x:c r="G107" s="31" t="str">
        <x:v>Numbered total equals the reconciled printed denominator + beyond-denominator identities + separately listed subset identities.</x:v>
      </x:c>
      <x:c r="H107" s="31" t="str"/>
      <x:c r="I107" s="31" t="n">
        <x:v>124</x:v>
      </x:c>
      <x:c r="J107" s="31" t="str"/>
    </x:row>
    <x:row r="108">
      <x:c r="A108" s="31" t="n">
        <x:v>111</x:v>
      </x:c>
      <x:c r="B108" s="31" t="str">
        <x:v>en</x:v>
      </x:c>
      <x:c r="C108" s="31" t="str">
        <x:v>Ultra Prism</x:v>
      </x:c>
      <x:c r="D108" s="31" t="str">
        <x:v>UPR</x:v>
      </x:c>
      <x:c r="E108" s="31" t="str">
        <x:v>reconciled_components</x:v>
      </x:c>
      <x:c r="F108" s="31" t="n">
        <x:v>173</x:v>
      </x:c>
      <x:c r="G108" s="31" t="str">
        <x:v>Numbered total equals the reconciled printed denominator + beyond-denominator identities + separately listed subset identities.</x:v>
      </x:c>
      <x:c r="H108" s="31" t="str"/>
      <x:c r="I108" s="31" t="n">
        <x:v>173</x:v>
      </x:c>
      <x:c r="J108" s="31" t="str"/>
    </x:row>
    <x:row r="109">
      <x:c r="A109" s="31" t="n">
        <x:v>112</x:v>
      </x:c>
      <x:c r="B109" s="31" t="str">
        <x:v>en</x:v>
      </x:c>
      <x:c r="C109" s="31" t="str">
        <x:v>Forbidden Light</x:v>
      </x:c>
      <x:c r="D109" s="31" t="str">
        <x:v>FLI</x:v>
      </x:c>
      <x:c r="E109" s="31" t="str">
        <x:v>reconciled_components</x:v>
      </x:c>
      <x:c r="F109" s="31" t="n">
        <x:v>146</x:v>
      </x:c>
      <x:c r="G109" s="31" t="str">
        <x:v>Numbered total equals the reconciled printed denominator + beyond-denominator identities + separately listed subset identities.</x:v>
      </x:c>
      <x:c r="H109" s="31" t="str"/>
      <x:c r="I109" s="31" t="n">
        <x:v>146</x:v>
      </x:c>
      <x:c r="J109" s="31" t="str"/>
    </x:row>
    <x:row r="110">
      <x:c r="A110" s="31" t="n">
        <x:v>113</x:v>
      </x:c>
      <x:c r="B110" s="31" t="str">
        <x:v>en</x:v>
      </x:c>
      <x:c r="C110" s="31" t="str">
        <x:v>Celestial Storm</x:v>
      </x:c>
      <x:c r="D110" s="31" t="str">
        <x:v>CES</x:v>
      </x:c>
      <x:c r="E110" s="31" t="str">
        <x:v>reconciled_components</x:v>
      </x:c>
      <x:c r="F110" s="31" t="n">
        <x:v>183</x:v>
      </x:c>
      <x:c r="G110" s="31" t="str">
        <x:v>Numbered total equals the reconciled printed denominator + beyond-denominator identities + separately listed subset identities.</x:v>
      </x:c>
      <x:c r="H110" s="31" t="str"/>
      <x:c r="I110" s="31" t="n">
        <x:v>183</x:v>
      </x:c>
      <x:c r="J110" s="31" t="str"/>
    </x:row>
    <x:row r="111">
      <x:c r="A111" s="31" t="n">
        <x:v>114</x:v>
      </x:c>
      <x:c r="B111" s="31" t="str">
        <x:v>en</x:v>
      </x:c>
      <x:c r="C111" s="31" t="str">
        <x:v>Dragon Majesty</x:v>
      </x:c>
      <x:c r="D111" s="31" t="str">
        <x:v>DRM</x:v>
      </x:c>
      <x:c r="E111" s="31" t="str">
        <x:v>reconciled_components</x:v>
      </x:c>
      <x:c r="F111" s="31" t="n">
        <x:v>78</x:v>
      </x:c>
      <x:c r="G111" s="31" t="str">
        <x:v>Numbered total equals the reconciled printed denominator + beyond-denominator identities + separately listed subset identities.</x:v>
      </x:c>
      <x:c r="H111" s="31" t="str"/>
      <x:c r="I111" s="31" t="n">
        <x:v>78</x:v>
      </x:c>
      <x:c r="J111" s="31" t="str"/>
    </x:row>
    <x:row r="112">
      <x:c r="A112" s="31" t="n">
        <x:v>115</x:v>
      </x:c>
      <x:c r="B112" s="31" t="str">
        <x:v>en</x:v>
      </x:c>
      <x:c r="C112" s="31" t="str">
        <x:v>McDonald's Collection 2018</x:v>
      </x:c>
      <x:c r="D112" s="31" t="str">
        <x:v>M18</x:v>
      </x:c>
      <x:c r="E112" s="31" t="str">
        <x:v>reconciled_components</x:v>
      </x:c>
      <x:c r="F112" s="31" t="n">
        <x:v>12</x:v>
      </x:c>
      <x:c r="G112" s="31" t="str">
        <x:v>Numbered total equals the reconciled printed denominator + beyond-denominator identities + separately listed subset identities.</x:v>
      </x:c>
      <x:c r="H112" s="31" t="str"/>
      <x:c r="I112" s="31" t="n">
        <x:v>12</x:v>
      </x:c>
      <x:c r="J112" s="31" t="str"/>
    </x:row>
    <x:row r="113">
      <x:c r="A113" s="31" t="n">
        <x:v>116</x:v>
      </x:c>
      <x:c r="B113" s="31" t="str">
        <x:v>en</x:v>
      </x:c>
      <x:c r="C113" s="31" t="str">
        <x:v>Lost Thunder</x:v>
      </x:c>
      <x:c r="D113" s="31" t="str">
        <x:v>LOT</x:v>
      </x:c>
      <x:c r="E113" s="31" t="str">
        <x:v>reconciled_components</x:v>
      </x:c>
      <x:c r="F113" s="31" t="n">
        <x:v>236</x:v>
      </x:c>
      <x:c r="G113" s="31" t="str">
        <x:v>Numbered total equals the reconciled printed denominator + beyond-denominator identities + separately listed subset identities.</x:v>
      </x:c>
      <x:c r="H113" s="31" t="str"/>
      <x:c r="I113" s="31" t="n">
        <x:v>236</x:v>
      </x:c>
      <x:c r="J113" s="31" t="str"/>
    </x:row>
    <x:row r="114">
      <x:c r="A114" s="31" t="n">
        <x:v>117</x:v>
      </x:c>
      <x:c r="B114" s="31" t="str">
        <x:v>en</x:v>
      </x:c>
      <x:c r="C114" s="31" t="str">
        <x:v>Team Up</x:v>
      </x:c>
      <x:c r="D114" s="31" t="str">
        <x:v>TEU</x:v>
      </x:c>
      <x:c r="E114" s="31" t="str">
        <x:v>reconciled_components</x:v>
      </x:c>
      <x:c r="F114" s="31" t="n">
        <x:v>196</x:v>
      </x:c>
      <x:c r="G114" s="31" t="str">
        <x:v>Numbered total equals the reconciled printed denominator + beyond-denominator identities + separately listed subset identities.</x:v>
      </x:c>
      <x:c r="H114" s="31" t="str"/>
      <x:c r="I114" s="31" t="n">
        <x:v>196</x:v>
      </x:c>
      <x:c r="J114" s="31" t="str"/>
    </x:row>
    <x:row r="115">
      <x:c r="A115" s="31" t="n">
        <x:v>118</x:v>
      </x:c>
      <x:c r="B115" s="31" t="str">
        <x:v>en</x:v>
      </x:c>
      <x:c r="C115" s="31" t="str">
        <x:v>Detective Pikachu</x:v>
      </x:c>
      <x:c r="D115" s="31" t="str">
        <x:v>DET</x:v>
      </x:c>
      <x:c r="E115" s="31" t="str">
        <x:v>reconciled_components</x:v>
      </x:c>
      <x:c r="F115" s="31" t="n">
        <x:v>18</x:v>
      </x:c>
      <x:c r="G115" s="31" t="str">
        <x:v>Numbered total equals the reconciled printed denominator + beyond-denominator identities + separately listed subset identities.</x:v>
      </x:c>
      <x:c r="H115" s="31" t="str"/>
      <x:c r="I115" s="31" t="n">
        <x:v>18</x:v>
      </x:c>
      <x:c r="J115" s="31" t="str"/>
    </x:row>
    <x:row r="116">
      <x:c r="A116" s="31" t="n">
        <x:v>119</x:v>
      </x:c>
      <x:c r="B116" s="31" t="str">
        <x:v>en</x:v>
      </x:c>
      <x:c r="C116" s="31" t="str">
        <x:v>Unbroken Bonds</x:v>
      </x:c>
      <x:c r="D116" s="31" t="str">
        <x:v>UNB</x:v>
      </x:c>
      <x:c r="E116" s="31" t="str">
        <x:v>reconciled_components</x:v>
      </x:c>
      <x:c r="F116" s="31" t="n">
        <x:v>234</x:v>
      </x:c>
      <x:c r="G116" s="31" t="str">
        <x:v>Numbered total equals the reconciled printed denominator + beyond-denominator identities + separately listed subset identities.</x:v>
      </x:c>
      <x:c r="H116" s="31" t="str"/>
      <x:c r="I116" s="31" t="n">
        <x:v>234</x:v>
      </x:c>
      <x:c r="J116" s="31" t="str"/>
    </x:row>
    <x:row r="117">
      <x:c r="A117" s="31" t="n">
        <x:v>120</x:v>
      </x:c>
      <x:c r="B117" s="31" t="str">
        <x:v>en</x:v>
      </x:c>
      <x:c r="C117" s="31" t="str">
        <x:v>Unified Minds</x:v>
      </x:c>
      <x:c r="D117" s="31" t="str">
        <x:v>UNM</x:v>
      </x:c>
      <x:c r="E117" s="31" t="str">
        <x:v>reconciled_components</x:v>
      </x:c>
      <x:c r="F117" s="31" t="n">
        <x:v>258</x:v>
      </x:c>
      <x:c r="G117" s="31" t="str">
        <x:v>Numbered total equals the reconciled printed denominator + beyond-denominator identities + separately listed subset identities.</x:v>
      </x:c>
      <x:c r="H117" s="31" t="str"/>
      <x:c r="I117" s="31" t="n">
        <x:v>258</x:v>
      </x:c>
      <x:c r="J117" s="31" t="str"/>
    </x:row>
    <x:row r="118">
      <x:c r="A118" s="31" t="n">
        <x:v>121</x:v>
      </x:c>
      <x:c r="B118" s="31" t="str">
        <x:v>en</x:v>
      </x:c>
      <x:c r="C118" s="31" t="str">
        <x:v>Hidden Fates</x:v>
      </x:c>
      <x:c r="D118" s="31" t="str">
        <x:v>HIF</x:v>
      </x:c>
      <x:c r="E118" s="31" t="str">
        <x:v>reconciled_components</x:v>
      </x:c>
      <x:c r="F118" s="31" t="n">
        <x:v>163</x:v>
      </x:c>
      <x:c r="G118" s="31" t="str">
        <x:v>Numbered total equals the reconciled printed denominator + beyond-denominator identities + separately listed subset identities.</x:v>
      </x:c>
      <x:c r="H118" s="31" t="str"/>
      <x:c r="I118" s="31" t="n">
        <x:v>163</x:v>
      </x:c>
      <x:c r="J118" s="31" t="str"/>
    </x:row>
    <x:row r="119">
      <x:c r="A119" s="31" t="n">
        <x:v>122</x:v>
      </x:c>
      <x:c r="B119" s="31" t="str">
        <x:v>en</x:v>
      </x:c>
      <x:c r="C119" s="31" t="str">
        <x:v>McDonald's Collection 2019</x:v>
      </x:c>
      <x:c r="D119" s="31" t="str">
        <x:v>M19</x:v>
      </x:c>
      <x:c r="E119" s="31" t="str">
        <x:v>reconciled_components</x:v>
      </x:c>
      <x:c r="F119" s="31" t="n">
        <x:v>12</x:v>
      </x:c>
      <x:c r="G119" s="31" t="str">
        <x:v>Numbered total equals the reconciled printed denominator + beyond-denominator identities + separately listed subset identities.</x:v>
      </x:c>
      <x:c r="H119" s="31" t="str"/>
      <x:c r="I119" s="31" t="n">
        <x:v>12</x:v>
      </x:c>
      <x:c r="J119" s="31" t="str"/>
    </x:row>
    <x:row r="120">
      <x:c r="A120" s="31" t="n">
        <x:v>123</x:v>
      </x:c>
      <x:c r="B120" s="31" t="str">
        <x:v>en</x:v>
      </x:c>
      <x:c r="C120" s="31" t="str">
        <x:v>SWSH Black Star Promos</x:v>
      </x:c>
      <x:c r="D120" s="31" t="str">
        <x:v>SWSD</x:v>
      </x:c>
      <x:c r="E120" s="31" t="str">
        <x:v>reconciled_components</x:v>
      </x:c>
      <x:c r="F120" s="31" t="n">
        <x:v>307</x:v>
      </x:c>
      <x:c r="G120" s="31" t="str">
        <x:v>Numbered total equals the reconciled printed denominator + beyond-denominator identities + separately listed subset identities.</x:v>
      </x:c>
      <x:c r="H120" s="31" t="str"/>
      <x:c r="I120" s="31" t="n">
        <x:v>307</x:v>
      </x:c>
      <x:c r="J120" s="31" t="str"/>
    </x:row>
    <x:row r="121">
      <x:c r="A121" s="31" t="n">
        <x:v>124</x:v>
      </x:c>
      <x:c r="B121" s="31" t="str">
        <x:v>en</x:v>
      </x:c>
      <x:c r="C121" s="31" t="str">
        <x:v>Cosmic Eclipse</x:v>
      </x:c>
      <x:c r="D121" s="31" t="str">
        <x:v>CEC</x:v>
      </x:c>
      <x:c r="E121" s="31" t="str">
        <x:v>reconciled_components</x:v>
      </x:c>
      <x:c r="F121" s="31" t="n">
        <x:v>271</x:v>
      </x:c>
      <x:c r="G121" s="31" t="str">
        <x:v>Numbered total equals the reconciled printed denominator + beyond-denominator identities + separately listed subset identities.</x:v>
      </x:c>
      <x:c r="H121" s="31" t="str"/>
      <x:c r="I121" s="31" t="n">
        <x:v>271</x:v>
      </x:c>
      <x:c r="J121" s="31" t="str"/>
    </x:row>
    <x:row r="122">
      <x:c r="A122" s="31" t="n">
        <x:v>125</x:v>
      </x:c>
      <x:c r="B122" s="31" t="str">
        <x:v>en</x:v>
      </x:c>
      <x:c r="C122" s="31" t="str">
        <x:v>Sword &amp; Shield</x:v>
      </x:c>
      <x:c r="D122" s="31" t="str">
        <x:v>SSH</x:v>
      </x:c>
      <x:c r="E122" s="31" t="str">
        <x:v>reconciled_components</x:v>
      </x:c>
      <x:c r="F122" s="31" t="n">
        <x:v>216</x:v>
      </x:c>
      <x:c r="G122" s="31" t="str">
        <x:v>Numbered total equals the reconciled printed denominator + beyond-denominator identities + separately listed subset identities.</x:v>
      </x:c>
      <x:c r="H122" s="31" t="str"/>
      <x:c r="I122" s="31" t="n">
        <x:v>216</x:v>
      </x:c>
      <x:c r="J122" s="31" t="str"/>
    </x:row>
    <x:row r="123">
      <x:c r="A123" s="31" t="n">
        <x:v>126</x:v>
      </x:c>
      <x:c r="B123" s="31" t="str">
        <x:v>en</x:v>
      </x:c>
      <x:c r="C123" s="31" t="str">
        <x:v>Rebel Clash</x:v>
      </x:c>
      <x:c r="D123" s="31" t="str">
        <x:v>RCL</x:v>
      </x:c>
      <x:c r="E123" s="31" t="str">
        <x:v>reconciled_components</x:v>
      </x:c>
      <x:c r="F123" s="31" t="n">
        <x:v>209</x:v>
      </x:c>
      <x:c r="G123" s="31" t="str">
        <x:v>Numbered total equals the reconciled printed denominator + beyond-denominator identities + separately listed subset identities.</x:v>
      </x:c>
      <x:c r="H123" s="31" t="str"/>
      <x:c r="I123" s="31" t="n">
        <x:v>209</x:v>
      </x:c>
      <x:c r="J123" s="31" t="str"/>
    </x:row>
    <x:row r="124">
      <x:c r="A124" s="31" t="n">
        <x:v>127</x:v>
      </x:c>
      <x:c r="B124" s="31" t="str">
        <x:v>en</x:v>
      </x:c>
      <x:c r="C124" s="31" t="str">
        <x:v>Darkness Ablaze</x:v>
      </x:c>
      <x:c r="D124" s="31" t="str">
        <x:v>DAA</x:v>
      </x:c>
      <x:c r="E124" s="31" t="str">
        <x:v>reconciled_components</x:v>
      </x:c>
      <x:c r="F124" s="31" t="n">
        <x:v>201</x:v>
      </x:c>
      <x:c r="G124" s="31" t="str">
        <x:v>Numbered total equals the reconciled printed denominator + beyond-denominator identities + separately listed subset identities.</x:v>
      </x:c>
      <x:c r="H124" s="31" t="str"/>
      <x:c r="I124" s="31" t="n">
        <x:v>201</x:v>
      </x:c>
      <x:c r="J124" s="31" t="str"/>
    </x:row>
    <x:row r="125">
      <x:c r="A125" s="31" t="n">
        <x:v>128</x:v>
      </x:c>
      <x:c r="B125" s="31" t="str">
        <x:v>en</x:v>
      </x:c>
      <x:c r="C125" s="31" t="str">
        <x:v>Pokémon Futsal</x:v>
      </x:c>
      <x:c r="D125" s="31" t="str">
        <x:v>FUT20</x:v>
      </x:c>
      <x:c r="E125" s="31" t="str">
        <x:v>reconciled_components</x:v>
      </x:c>
      <x:c r="F125" s="31" t="n">
        <x:v>5</x:v>
      </x:c>
      <x:c r="G125" s="31" t="str">
        <x:v>Numbered total equals the reconciled printed denominator + beyond-denominator identities + separately listed subset identities.</x:v>
      </x:c>
      <x:c r="H125" s="31" t="str"/>
      <x:c r="I125" s="31" t="n">
        <x:v>5</x:v>
      </x:c>
      <x:c r="J125" s="31" t="str"/>
    </x:row>
    <x:row r="126">
      <x:c r="A126" s="31" t="n">
        <x:v>129</x:v>
      </x:c>
      <x:c r="B126" s="31" t="str">
        <x:v>en</x:v>
      </x:c>
      <x:c r="C126" s="31" t="str">
        <x:v>Champion's Path</x:v>
      </x:c>
      <x:c r="D126" s="31" t="str">
        <x:v>CPA</x:v>
      </x:c>
      <x:c r="E126" s="31" t="str">
        <x:v>reconciled_components</x:v>
      </x:c>
      <x:c r="F126" s="31" t="n">
        <x:v>80</x:v>
      </x:c>
      <x:c r="G126" s="31" t="str">
        <x:v>Numbered total equals the reconciled printed denominator + beyond-denominator identities + separately listed subset identities.</x:v>
      </x:c>
      <x:c r="H126" s="31" t="str"/>
      <x:c r="I126" s="31" t="n">
        <x:v>80</x:v>
      </x:c>
      <x:c r="J126" s="31" t="str"/>
    </x:row>
    <x:row r="127">
      <x:c r="A127" s="31" t="n">
        <x:v>130</x:v>
      </x:c>
      <x:c r="B127" s="31" t="str">
        <x:v>en</x:v>
      </x:c>
      <x:c r="C127" s="31" t="str">
        <x:v>Vivid Voltage</x:v>
      </x:c>
      <x:c r="D127" s="31" t="str">
        <x:v>VIV</x:v>
      </x:c>
      <x:c r="E127" s="31" t="str">
        <x:v>reconciled_components</x:v>
      </x:c>
      <x:c r="F127" s="31" t="n">
        <x:v>203</x:v>
      </x:c>
      <x:c r="G127" s="31" t="str">
        <x:v>Numbered total equals the reconciled printed denominator + beyond-denominator identities + separately listed subset identities.</x:v>
      </x:c>
      <x:c r="H127" s="31" t="str"/>
      <x:c r="I127" s="31" t="n">
        <x:v>203</x:v>
      </x:c>
      <x:c r="J127" s="31" t="str"/>
    </x:row>
    <x:row r="128">
      <x:c r="A128" s="31" t="n">
        <x:v>131</x:v>
      </x:c>
      <x:c r="B128" s="31" t="str">
        <x:v>en</x:v>
      </x:c>
      <x:c r="C128" s="31" t="str">
        <x:v>McDonald's Collection 2021</x:v>
      </x:c>
      <x:c r="D128" s="31" t="str">
        <x:v>M21</x:v>
      </x:c>
      <x:c r="E128" s="31" t="str">
        <x:v>reconciled_components</x:v>
      </x:c>
      <x:c r="F128" s="31" t="n">
        <x:v>25</x:v>
      </x:c>
      <x:c r="G128" s="31" t="str">
        <x:v>Numbered total equals the reconciled printed denominator + beyond-denominator identities + separately listed subset identities.</x:v>
      </x:c>
      <x:c r="H128" s="31" t="str"/>
      <x:c r="I128" s="31" t="n">
        <x:v>25</x:v>
      </x:c>
      <x:c r="J128" s="31" t="str"/>
    </x:row>
    <x:row r="129">
      <x:c r="A129" s="31" t="n">
        <x:v>132</x:v>
      </x:c>
      <x:c r="B129" s="31" t="str">
        <x:v>en</x:v>
      </x:c>
      <x:c r="C129" s="31" t="str">
        <x:v>Shining Fates</x:v>
      </x:c>
      <x:c r="D129" s="31" t="str">
        <x:v>SHF</x:v>
      </x:c>
      <x:c r="E129" s="31" t="str">
        <x:v>reconciled_components</x:v>
      </x:c>
      <x:c r="F129" s="31" t="n">
        <x:v>195</x:v>
      </x:c>
      <x:c r="G129" s="31" t="str">
        <x:v>Numbered total equals the reconciled printed denominator + beyond-denominator identities + separately listed subset identities.</x:v>
      </x:c>
      <x:c r="H129" s="31" t="str"/>
      <x:c r="I129" s="31" t="n">
        <x:v>195</x:v>
      </x:c>
      <x:c r="J129" s="31" t="str"/>
    </x:row>
    <x:row r="130">
      <x:c r="A130" s="31" t="n">
        <x:v>133</x:v>
      </x:c>
      <x:c r="B130" s="31" t="str">
        <x:v>en</x:v>
      </x:c>
      <x:c r="C130" s="31" t="str">
        <x:v>Battle Styles</x:v>
      </x:c>
      <x:c r="D130" s="31" t="str">
        <x:v>BST</x:v>
      </x:c>
      <x:c r="E130" s="31" t="str">
        <x:v>reconciled_components</x:v>
      </x:c>
      <x:c r="F130" s="31" t="n">
        <x:v>183</x:v>
      </x:c>
      <x:c r="G130" s="31" t="str">
        <x:v>Numbered total equals the reconciled printed denominator + beyond-denominator identities + separately listed subset identities.</x:v>
      </x:c>
      <x:c r="H130" s="31" t="str"/>
      <x:c r="I130" s="31" t="n">
        <x:v>183</x:v>
      </x:c>
      <x:c r="J130" s="31" t="str"/>
    </x:row>
    <x:row r="131">
      <x:c r="A131" s="31" t="n">
        <x:v>134</x:v>
      </x:c>
      <x:c r="B131" s="31" t="str">
        <x:v>en</x:v>
      </x:c>
      <x:c r="C131" s="31" t="str">
        <x:v>Chilling Reign</x:v>
      </x:c>
      <x:c r="D131" s="31" t="str">
        <x:v>CRE</x:v>
      </x:c>
      <x:c r="E131" s="31" t="str">
        <x:v>reconciled_components</x:v>
      </x:c>
      <x:c r="F131" s="31" t="n">
        <x:v>233</x:v>
      </x:c>
      <x:c r="G131" s="31" t="str">
        <x:v>Numbered total equals the reconciled printed denominator + beyond-denominator identities + separately listed subset identities.</x:v>
      </x:c>
      <x:c r="H131" s="31" t="str"/>
      <x:c r="I131" s="31" t="n">
        <x:v>233</x:v>
      </x:c>
      <x:c r="J131" s="31" t="str"/>
    </x:row>
    <x:row r="132">
      <x:c r="A132" s="31" t="n">
        <x:v>135</x:v>
      </x:c>
      <x:c r="B132" s="31" t="str">
        <x:v>en</x:v>
      </x:c>
      <x:c r="C132" s="31" t="str">
        <x:v>Evolving Skies</x:v>
      </x:c>
      <x:c r="D132" s="31" t="str">
        <x:v>EVS</x:v>
      </x:c>
      <x:c r="E132" s="31" t="str">
        <x:v>reconciled_components</x:v>
      </x:c>
      <x:c r="F132" s="31" t="n">
        <x:v>237</x:v>
      </x:c>
      <x:c r="G132" s="31" t="str">
        <x:v>Numbered total equals the reconciled printed denominator + beyond-denominator identities + separately listed subset identities.</x:v>
      </x:c>
      <x:c r="H132" s="31" t="str"/>
      <x:c r="I132" s="31" t="n">
        <x:v>237</x:v>
      </x:c>
      <x:c r="J132" s="31" t="str"/>
    </x:row>
    <x:row r="133">
      <x:c r="A133" s="31" t="n">
        <x:v>136</x:v>
      </x:c>
      <x:c r="B133" s="31" t="str">
        <x:v>en</x:v>
      </x:c>
      <x:c r="C133" s="31" t="str">
        <x:v>Celebrations</x:v>
      </x:c>
      <x:c r="D133" s="31" t="str">
        <x:v>CEL</x:v>
      </x:c>
      <x:c r="E133" s="31" t="str">
        <x:v>reconciled_components</x:v>
      </x:c>
      <x:c r="F133" s="31" t="n">
        <x:v>50</x:v>
      </x:c>
      <x:c r="G133" s="31" t="str">
        <x:v>Numbered total equals the reconciled printed denominator + beyond-denominator identities + separately listed subset identities.</x:v>
      </x:c>
      <x:c r="H133" s="31" t="str"/>
      <x:c r="I133" s="31" t="n">
        <x:v>50</x:v>
      </x:c>
      <x:c r="J133" s="31" t="str"/>
    </x:row>
    <x:row r="134">
      <x:c r="A134" s="31" t="n">
        <x:v>137</x:v>
      </x:c>
      <x:c r="B134" s="31" t="str">
        <x:v>en</x:v>
      </x:c>
      <x:c r="C134" s="31" t="str">
        <x:v>Fusion Strike</x:v>
      </x:c>
      <x:c r="D134" s="31" t="str">
        <x:v>FST</x:v>
      </x:c>
      <x:c r="E134" s="31" t="str">
        <x:v>reconciled_components</x:v>
      </x:c>
      <x:c r="F134" s="31" t="n">
        <x:v>284</x:v>
      </x:c>
      <x:c r="G134" s="31" t="str">
        <x:v>Numbered total equals the reconciled printed denominator + beyond-denominator identities + separately listed subset identities.</x:v>
      </x:c>
      <x:c r="H134" s="31" t="str"/>
      <x:c r="I134" s="31" t="n">
        <x:v>284</x:v>
      </x:c>
      <x:c r="J134" s="31" t="str"/>
    </x:row>
    <x:row r="135">
      <x:c r="A135" s="31" t="n">
        <x:v>138</x:v>
      </x:c>
      <x:c r="B135" s="31" t="str">
        <x:v>en</x:v>
      </x:c>
      <x:c r="C135" s="31" t="str">
        <x:v>Brilliant Stars</x:v>
      </x:c>
      <x:c r="D135" s="31" t="str">
        <x:v>BRS</x:v>
      </x:c>
      <x:c r="E135" s="31" t="str">
        <x:v>reconciled_components</x:v>
      </x:c>
      <x:c r="F135" s="31" t="n">
        <x:v>216</x:v>
      </x:c>
      <x:c r="G135" s="31" t="str">
        <x:v>Numbered total equals the reconciled printed denominator + beyond-denominator identities + separately listed subset identities.</x:v>
      </x:c>
      <x:c r="H135" s="31" t="str"/>
      <x:c r="I135" s="31" t="n">
        <x:v>216</x:v>
      </x:c>
      <x:c r="J135" s="31" t="str"/>
    </x:row>
    <x:row r="136">
      <x:c r="A136" s="31" t="n">
        <x:v>139</x:v>
      </x:c>
      <x:c r="B136" s="31" t="str">
        <x:v>en</x:v>
      </x:c>
      <x:c r="C136" s="31" t="str">
        <x:v>Astral Radiance</x:v>
      </x:c>
      <x:c r="D136" s="31" t="str">
        <x:v>ASR</x:v>
      </x:c>
      <x:c r="E136" s="31" t="str">
        <x:v>reconciled_components</x:v>
      </x:c>
      <x:c r="F136" s="31" t="n">
        <x:v>246</x:v>
      </x:c>
      <x:c r="G136" s="31" t="str">
        <x:v>Numbered total equals the reconciled printed denominator + beyond-denominator identities + separately listed subset identities.</x:v>
      </x:c>
      <x:c r="H136" s="31" t="str"/>
      <x:c r="I136" s="31" t="n">
        <x:v>246</x:v>
      </x:c>
      <x:c r="J136" s="31" t="str"/>
    </x:row>
    <x:row r="137">
      <x:c r="A137" s="31" t="n">
        <x:v>140</x:v>
      </x:c>
      <x:c r="B137" s="31" t="str">
        <x:v>en</x:v>
      </x:c>
      <x:c r="C137" s="31" t="str">
        <x:v>Pokémon GO</x:v>
      </x:c>
      <x:c r="D137" s="31" t="str">
        <x:v>PGO</x:v>
      </x:c>
      <x:c r="E137" s="31" t="str">
        <x:v>reconciled_components</x:v>
      </x:c>
      <x:c r="F137" s="31" t="n">
        <x:v>88</x:v>
      </x:c>
      <x:c r="G137" s="31" t="str">
        <x:v>Numbered total equals the reconciled printed denominator + beyond-denominator identities + separately listed subset identities.</x:v>
      </x:c>
      <x:c r="H137" s="31" t="str"/>
      <x:c r="I137" s="31" t="n">
        <x:v>88</x:v>
      </x:c>
      <x:c r="J137" s="31" t="str"/>
    </x:row>
    <x:row r="138">
      <x:c r="A138" s="31" t="n">
        <x:v>141</x:v>
      </x:c>
      <x:c r="B138" s="31" t="str">
        <x:v>en</x:v>
      </x:c>
      <x:c r="C138" s="31" t="str">
        <x:v>McDonald's Collection 2022</x:v>
      </x:c>
      <x:c r="D138" s="31" t="str">
        <x:v>M22</x:v>
      </x:c>
      <x:c r="E138" s="31" t="str">
        <x:v>reconciled_components</x:v>
      </x:c>
      <x:c r="F138" s="31" t="n">
        <x:v>15</x:v>
      </x:c>
      <x:c r="G138" s="31" t="str">
        <x:v>Numbered total equals the reconciled printed denominator + beyond-denominator identities + separately listed subset identities.</x:v>
      </x:c>
      <x:c r="H138" s="31" t="str"/>
      <x:c r="I138" s="31" t="n">
        <x:v>15</x:v>
      </x:c>
      <x:c r="J138" s="31" t="str"/>
    </x:row>
    <x:row r="139">
      <x:c r="A139" s="31" t="n">
        <x:v>142</x:v>
      </x:c>
      <x:c r="B139" s="31" t="str">
        <x:v>en</x:v>
      </x:c>
      <x:c r="C139" s="31" t="str">
        <x:v>Trick or Trade 2022</x:v>
      </x:c>
      <x:c r="D139" s="31" t="str">
        <x:v>TT22</x:v>
      </x:c>
      <x:c r="E139" s="31" t="str">
        <x:v>reconciled_components</x:v>
      </x:c>
      <x:c r="F139" s="31" t="n">
        <x:v>30</x:v>
      </x:c>
      <x:c r="G139" s="31" t="str">
        <x:v>Numbered total equals the reconciled printed denominator + beyond-denominator identities + separately listed subset identities.</x:v>
      </x:c>
      <x:c r="H139" s="31" t="str"/>
      <x:c r="I139" s="31" t="n">
        <x:v>30</x:v>
      </x:c>
      <x:c r="J139" s="31" t="str"/>
    </x:row>
    <x:row r="140">
      <x:c r="A140" s="31" t="n">
        <x:v>143</x:v>
      </x:c>
      <x:c r="B140" s="31" t="str">
        <x:v>en</x:v>
      </x:c>
      <x:c r="C140" s="31" t="str">
        <x:v>Lost Origin</x:v>
      </x:c>
      <x:c r="D140" s="31" t="str">
        <x:v>LOR</x:v>
      </x:c>
      <x:c r="E140" s="31" t="str">
        <x:v>reconciled_components</x:v>
      </x:c>
      <x:c r="F140" s="31" t="n">
        <x:v>247</x:v>
      </x:c>
      <x:c r="G140" s="31" t="str">
        <x:v>Numbered total equals the reconciled printed denominator + beyond-denominator identities + separately listed subset identities.</x:v>
      </x:c>
      <x:c r="H140" s="31" t="str"/>
      <x:c r="I140" s="31" t="n">
        <x:v>247</x:v>
      </x:c>
      <x:c r="J140" s="31" t="str"/>
    </x:row>
    <x:row r="141">
      <x:c r="A141" s="31" t="n">
        <x:v>144</x:v>
      </x:c>
      <x:c r="B141" s="31" t="str">
        <x:v>en</x:v>
      </x:c>
      <x:c r="C141" s="31" t="str">
        <x:v>Play! Pokémon Prize Pack Series One</x:v>
      </x:c>
      <x:c r="D141" s="31" t="str">
        <x:v>PPS1</x:v>
      </x:c>
      <x:c r="E141" s="31" t="str">
        <x:v>reconciled_components</x:v>
      </x:c>
      <x:c r="F141" s="31" t="n">
        <x:v>170</x:v>
      </x:c>
      <x:c r="G141" s="31" t="str">
        <x:v>Numbered total equals the reconciled printed denominator + beyond-denominator identities + separately listed subset identities.</x:v>
      </x:c>
      <x:c r="H141" s="31" t="str"/>
      <x:c r="I141" s="31" t="n">
        <x:v>170</x:v>
      </x:c>
      <x:c r="J141" s="31" t="str"/>
    </x:row>
    <x:row r="142">
      <x:c r="A142" s="31" t="n">
        <x:v>145</x:v>
      </x:c>
      <x:c r="B142" s="31" t="str">
        <x:v>en</x:v>
      </x:c>
      <x:c r="C142" s="31" t="str">
        <x:v>Silver Tempest</x:v>
      </x:c>
      <x:c r="D142" s="31" t="str">
        <x:v>SIT</x:v>
      </x:c>
      <x:c r="E142" s="31" t="str">
        <x:v>reconciled_components</x:v>
      </x:c>
      <x:c r="F142" s="31" t="n">
        <x:v>245</x:v>
      </x:c>
      <x:c r="G142" s="31" t="str">
        <x:v>Numbered total equals the reconciled printed denominator + beyond-denominator identities + separately listed subset identities.</x:v>
      </x:c>
      <x:c r="H142" s="31" t="str"/>
      <x:c r="I142" s="31" t="n">
        <x:v>245</x:v>
      </x:c>
      <x:c r="J142" s="31" t="str"/>
    </x:row>
    <x:row r="143">
      <x:c r="A143" s="31" t="n">
        <x:v>146</x:v>
      </x:c>
      <x:c r="B143" s="31" t="str">
        <x:v>en</x:v>
      </x:c>
      <x:c r="C143" s="31" t="str">
        <x:v>SVP Black Star Promos</x:v>
      </x:c>
      <x:c r="D143" s="31" t="str">
        <x:v>SVP</x:v>
      </x:c>
      <x:c r="E143" s="31" t="str">
        <x:v>reference_bridge_promo_catalogue_snapshot</x:v>
      </x:c>
      <x:c r="F143" s="31" t="n">
        <x:v>226</x:v>
      </x:c>
      <x:c r="G143" s="31" t="str">
        <x:v>Numbered total bridged from the sourced reference-count checklist for this exact row scope. Current Scarlet &amp; Violet Black Star Promo catalogue identities in source scope; promo series cutoff is source-date dependent.</x:v>
      </x:c>
      <x:c r="H143" s="31" t="str">
        <x:v>https://bulbapedia.bulbagarden.net/wiki/SVP_Black_Star_Promos</x:v>
      </x:c>
      <x:c r="I143" s="31" t="n">
        <x:v>226</x:v>
      </x:c>
      <x:c r="J143" s="31" t="str">
        <x:v>numbered_total_provisional_snapshot</x:v>
      </x:c>
    </x:row>
    <x:row r="144">
      <x:c r="A144" s="31" t="n">
        <x:v>147</x:v>
      </x:c>
      <x:c r="B144" s="31" t="str">
        <x:v>en</x:v>
      </x:c>
      <x:c r="C144" s="31" t="str">
        <x:v>Play! Pokémon Prize Pack Series Two</x:v>
      </x:c>
      <x:c r="D144" s="31" t="str">
        <x:v>PPS2</x:v>
      </x:c>
      <x:c r="E144" s="31" t="str">
        <x:v>reconciled_components</x:v>
      </x:c>
      <x:c r="F144" s="31" t="n">
        <x:v>154</x:v>
      </x:c>
      <x:c r="G144" s="31" t="str">
        <x:v>Numbered total equals the reconciled printed denominator + beyond-denominator identities + separately listed subset identities.</x:v>
      </x:c>
      <x:c r="H144" s="31" t="str"/>
      <x:c r="I144" s="31" t="n">
        <x:v>154</x:v>
      </x:c>
      <x:c r="J144" s="31" t="str"/>
    </x:row>
    <x:row r="145">
      <x:c r="A145" s="31" t="n">
        <x:v>148</x:v>
      </x:c>
      <x:c r="B145" s="31" t="str">
        <x:v>en</x:v>
      </x:c>
      <x:c r="C145" s="31" t="str">
        <x:v>Crown Zenith</x:v>
      </x:c>
      <x:c r="D145" s="31" t="str">
        <x:v>CRZ</x:v>
      </x:c>
      <x:c r="E145" s="31" t="str">
        <x:v>reconciled_components</x:v>
      </x:c>
      <x:c r="F145" s="31" t="n">
        <x:v>230</x:v>
      </x:c>
      <x:c r="G145" s="31" t="str">
        <x:v>Numbered total equals the reconciled printed denominator + beyond-denominator identities + separately listed subset identities.</x:v>
      </x:c>
      <x:c r="H145" s="31" t="str"/>
      <x:c r="I145" s="31" t="n">
        <x:v>230</x:v>
      </x:c>
      <x:c r="J145" s="31" t="str"/>
    </x:row>
    <x:row r="146">
      <x:c r="A146" s="31" t="n">
        <x:v>149</x:v>
      </x:c>
      <x:c r="B146" s="31" t="str">
        <x:v>en</x:v>
      </x:c>
      <x:c r="C146" s="31" t="str">
        <x:v>SVE Basic Energies</x:v>
      </x:c>
      <x:c r="D146" s="31" t="str">
        <x:v>SVE</x:v>
      </x:c>
      <x:c r="E146" s="31" t="str">
        <x:v>reconciled_components</x:v>
      </x:c>
      <x:c r="F146" s="31" t="n">
        <x:v>24</x:v>
      </x:c>
      <x:c r="G146" s="31" t="str">
        <x:v>Numbered total equals the reconciled printed denominator + beyond-denominator identities + separately listed subset identities.</x:v>
      </x:c>
      <x:c r="H146" s="31" t="str"/>
      <x:c r="I146" s="31" t="n">
        <x:v>24</x:v>
      </x:c>
      <x:c r="J146" s="31" t="str"/>
    </x:row>
    <x:row r="147">
      <x:c r="A147" s="31" t="n">
        <x:v>150</x:v>
      </x:c>
      <x:c r="B147" s="31" t="str">
        <x:v>en</x:v>
      </x:c>
      <x:c r="C147" s="31" t="str">
        <x:v>Scarlet &amp; Violet</x:v>
      </x:c>
      <x:c r="D147" s="31" t="str">
        <x:v>SVI</x:v>
      </x:c>
      <x:c r="E147" s="31" t="str">
        <x:v>reconciled_components</x:v>
      </x:c>
      <x:c r="F147" s="31" t="n">
        <x:v>258</x:v>
      </x:c>
      <x:c r="G147" s="31" t="str">
        <x:v>Numbered total equals the reconciled printed denominator + beyond-denominator identities + separately listed subset identities.</x:v>
      </x:c>
      <x:c r="H147" s="31" t="str"/>
      <x:c r="I147" s="31" t="n">
        <x:v>258</x:v>
      </x:c>
      <x:c r="J147" s="31" t="str"/>
    </x:row>
    <x:row r="148">
      <x:c r="A148" s="31" t="n">
        <x:v>151</x:v>
      </x:c>
      <x:c r="B148" s="31" t="str">
        <x:v>en</x:v>
      </x:c>
      <x:c r="C148" s="31" t="str">
        <x:v>Paldea Evolved</x:v>
      </x:c>
      <x:c r="D148" s="31" t="str">
        <x:v>PAL</x:v>
      </x:c>
      <x:c r="E148" s="31" t="str">
        <x:v>reconciled_components</x:v>
      </x:c>
      <x:c r="F148" s="31" t="n">
        <x:v>279</x:v>
      </x:c>
      <x:c r="G148" s="31" t="str">
        <x:v>Numbered total equals the reconciled printed denominator + beyond-denominator identities + separately listed subset identities.</x:v>
      </x:c>
      <x:c r="H148" s="31" t="str"/>
      <x:c r="I148" s="31" t="n">
        <x:v>279</x:v>
      </x:c>
      <x:c r="J148" s="31" t="str"/>
    </x:row>
    <x:row r="149">
      <x:c r="A149" s="31" t="n">
        <x:v>152</x:v>
      </x:c>
      <x:c r="B149" s="31" t="str">
        <x:v>en</x:v>
      </x:c>
      <x:c r="C149" s="31" t="str">
        <x:v>McDonald's Collection 2023</x:v>
      </x:c>
      <x:c r="D149" s="31" t="str">
        <x:v>M23</x:v>
      </x:c>
      <x:c r="E149" s="31" t="str">
        <x:v>reconciled_components</x:v>
      </x:c>
      <x:c r="F149" s="31" t="n">
        <x:v>15</x:v>
      </x:c>
      <x:c r="G149" s="31" t="str">
        <x:v>Numbered total equals the reconciled printed denominator + beyond-denominator identities + separately listed subset identities.</x:v>
      </x:c>
      <x:c r="H149" s="31" t="str"/>
      <x:c r="I149" s="31" t="n">
        <x:v>15</x:v>
      </x:c>
      <x:c r="J149" s="31" t="str"/>
    </x:row>
    <x:row r="150">
      <x:c r="A150" s="31" t="n">
        <x:v>153</x:v>
      </x:c>
      <x:c r="B150" s="31" t="str">
        <x:v>en</x:v>
      </x:c>
      <x:c r="C150" s="31" t="str">
        <x:v>Obsidian Flames</x:v>
      </x:c>
      <x:c r="D150" s="31" t="str">
        <x:v>OBF</x:v>
      </x:c>
      <x:c r="E150" s="31" t="str">
        <x:v>reconciled_components</x:v>
      </x:c>
      <x:c r="F150" s="31" t="n">
        <x:v>230</x:v>
      </x:c>
      <x:c r="G150" s="31" t="str">
        <x:v>Numbered total equals the reconciled printed denominator + beyond-denominator identities + separately listed subset identities.</x:v>
      </x:c>
      <x:c r="H150" s="31" t="str"/>
      <x:c r="I150" s="31" t="n">
        <x:v>230</x:v>
      </x:c>
      <x:c r="J150" s="31" t="str"/>
    </x:row>
    <x:row r="151">
      <x:c r="A151" s="31" t="n">
        <x:v>154</x:v>
      </x:c>
      <x:c r="B151" s="31" t="str">
        <x:v>en</x:v>
      </x:c>
      <x:c r="C151" s="31" t="str">
        <x:v>Play! Pokémon Prize Pack Series Three</x:v>
      </x:c>
      <x:c r="D151" s="31" t="str">
        <x:v>PPS3</x:v>
      </x:c>
      <x:c r="E151" s="31" t="str">
        <x:v>reconciled_components</x:v>
      </x:c>
      <x:c r="F151" s="31" t="n">
        <x:v>163</x:v>
      </x:c>
      <x:c r="G151" s="31" t="str">
        <x:v>Numbered total equals the reconciled printed denominator + beyond-denominator identities + separately listed subset identities.</x:v>
      </x:c>
      <x:c r="H151" s="31" t="str"/>
      <x:c r="I151" s="31" t="n">
        <x:v>163</x:v>
      </x:c>
      <x:c r="J151" s="31" t="str"/>
    </x:row>
    <x:row r="152">
      <x:c r="A152" s="31" t="n">
        <x:v>155</x:v>
      </x:c>
      <x:c r="B152" s="31" t="str">
        <x:v>en</x:v>
      </x:c>
      <x:c r="C152" s="31" t="str">
        <x:v>Trick or Trade 2023</x:v>
      </x:c>
      <x:c r="D152" s="31" t="str">
        <x:v>TT23</x:v>
      </x:c>
      <x:c r="E152" s="31" t="str">
        <x:v>reconciled_components</x:v>
      </x:c>
      <x:c r="F152" s="31" t="n">
        <x:v>30</x:v>
      </x:c>
      <x:c r="G152" s="31" t="str">
        <x:v>Numbered total equals the reconciled printed denominator + beyond-denominator identities + separately listed subset identities.</x:v>
      </x:c>
      <x:c r="H152" s="31" t="str"/>
      <x:c r="I152" s="31" t="n">
        <x:v>30</x:v>
      </x:c>
      <x:c r="J152" s="31" t="str"/>
    </x:row>
    <x:row r="153">
      <x:c r="A153" s="31" t="n">
        <x:v>156</x:v>
      </x:c>
      <x:c r="B153" s="31" t="str">
        <x:v>en</x:v>
      </x:c>
      <x:c r="C153" s="31" t="str">
        <x:v>151</x:v>
      </x:c>
      <x:c r="D153" s="31" t="str">
        <x:v>MEW</x:v>
      </x:c>
      <x:c r="E153" s="31" t="str">
        <x:v>reconciled_components</x:v>
      </x:c>
      <x:c r="F153" s="31" t="n">
        <x:v>207</x:v>
      </x:c>
      <x:c r="G153" s="31" t="str">
        <x:v>Numbered total equals the reconciled printed denominator + beyond-denominator identities + separately listed subset identities.</x:v>
      </x:c>
      <x:c r="H153" s="31" t="str"/>
      <x:c r="I153" s="31" t="n">
        <x:v>207</x:v>
      </x:c>
      <x:c r="J153" s="31" t="str"/>
    </x:row>
    <x:row r="154">
      <x:c r="A154" s="31" t="n">
        <x:v>157</x:v>
      </x:c>
      <x:c r="B154" s="31" t="str">
        <x:v>en</x:v>
      </x:c>
      <x:c r="C154" s="31" t="str">
        <x:v>Paradox Rift</x:v>
      </x:c>
      <x:c r="D154" s="31" t="str">
        <x:v>PAR</x:v>
      </x:c>
      <x:c r="E154" s="31" t="str">
        <x:v>reconciled_components</x:v>
      </x:c>
      <x:c r="F154" s="31" t="n">
        <x:v>266</x:v>
      </x:c>
      <x:c r="G154" s="31" t="str">
        <x:v>Numbered total equals the reconciled printed denominator + beyond-denominator identities + separately listed subset identities.</x:v>
      </x:c>
      <x:c r="H154" s="31" t="str"/>
      <x:c r="I154" s="31" t="n">
        <x:v>266</x:v>
      </x:c>
      <x:c r="J154" s="31" t="str"/>
    </x:row>
    <x:row r="155">
      <x:c r="A155" s="31" t="n">
        <x:v>158</x:v>
      </x:c>
      <x:c r="B155" s="31" t="str">
        <x:v>en</x:v>
      </x:c>
      <x:c r="C155" s="31" t="str">
        <x:v>Pokémon Trading Card Game Classic</x:v>
      </x:c>
      <x:c r="D155" s="31" t="str">
        <x:v>CL</x:v>
      </x:c>
      <x:c r="E155" s="31" t="str">
        <x:v>reconciled_components</x:v>
      </x:c>
      <x:c r="F155" s="31" t="n">
        <x:v>102</x:v>
      </x:c>
      <x:c r="G155" s="31" t="str">
        <x:v>Numbered total equals the reconciled printed denominator + beyond-denominator identities + separately listed subset identities.</x:v>
      </x:c>
      <x:c r="H155" s="31" t="str"/>
      <x:c r="I155" s="31" t="n">
        <x:v>102</x:v>
      </x:c>
      <x:c r="J155" s="31" t="str"/>
    </x:row>
    <x:row r="156">
      <x:c r="A156" s="31" t="n">
        <x:v>159</x:v>
      </x:c>
      <x:c r="B156" s="31" t="str">
        <x:v>en</x:v>
      </x:c>
      <x:c r="C156" s="31" t="str">
        <x:v>Paldean Fates</x:v>
      </x:c>
      <x:c r="D156" s="31" t="str">
        <x:v>PAF</x:v>
      </x:c>
      <x:c r="E156" s="31" t="str">
        <x:v>reconciled_components</x:v>
      </x:c>
      <x:c r="F156" s="31" t="n">
        <x:v>245</x:v>
      </x:c>
      <x:c r="G156" s="31" t="str">
        <x:v>Numbered total equals the reconciled printed denominator + beyond-denominator identities + separately listed subset identities.</x:v>
      </x:c>
      <x:c r="H156" s="31" t="str"/>
      <x:c r="I156" s="31" t="n">
        <x:v>245</x:v>
      </x:c>
      <x:c r="J156" s="31" t="str"/>
    </x:row>
    <x:row r="157">
      <x:c r="A157" s="31" t="n">
        <x:v>160</x:v>
      </x:c>
      <x:c r="B157" s="31" t="str">
        <x:v>en</x:v>
      </x:c>
      <x:c r="C157" s="31" t="str">
        <x:v>Play! Pokémon Prize Pack Series Four</x:v>
      </x:c>
      <x:c r="D157" s="31" t="str">
        <x:v>PPS4</x:v>
      </x:c>
      <x:c r="E157" s="31" t="str">
        <x:v>reconciled_components</x:v>
      </x:c>
      <x:c r="F157" s="31" t="n">
        <x:v>86</x:v>
      </x:c>
      <x:c r="G157" s="31" t="str">
        <x:v>Numbered total equals the reconciled printed denominator + beyond-denominator identities + separately listed subset identities.</x:v>
      </x:c>
      <x:c r="H157" s="31" t="str"/>
      <x:c r="I157" s="31" t="n">
        <x:v>86</x:v>
      </x:c>
      <x:c r="J157" s="31" t="str"/>
    </x:row>
    <x:row r="158">
      <x:c r="A158" s="31" t="n">
        <x:v>161</x:v>
      </x:c>
      <x:c r="B158" s="31" t="str">
        <x:v>en</x:v>
      </x:c>
      <x:c r="C158" s="31" t="str">
        <x:v>Temporal Forces</x:v>
      </x:c>
      <x:c r="D158" s="31" t="str">
        <x:v>TEF</x:v>
      </x:c>
      <x:c r="E158" s="31" t="str">
        <x:v>reconciled_components</x:v>
      </x:c>
      <x:c r="F158" s="31" t="n">
        <x:v>218</x:v>
      </x:c>
      <x:c r="G158" s="31" t="str">
        <x:v>Numbered total equals the reconciled printed denominator + beyond-denominator identities + separately listed subset identities.</x:v>
      </x:c>
      <x:c r="H158" s="31" t="str"/>
      <x:c r="I158" s="31" t="n">
        <x:v>218</x:v>
      </x:c>
      <x:c r="J158" s="31" t="str"/>
    </x:row>
    <x:row r="159">
      <x:c r="A159" s="31" t="n">
        <x:v>162</x:v>
      </x:c>
      <x:c r="B159" s="31" t="str">
        <x:v>en</x:v>
      </x:c>
      <x:c r="C159" s="31" t="str">
        <x:v>Twilight Masquerade</x:v>
      </x:c>
      <x:c r="D159" s="31" t="str">
        <x:v>TWM</x:v>
      </x:c>
      <x:c r="E159" s="31" t="str">
        <x:v>reconciled_components</x:v>
      </x:c>
      <x:c r="F159" s="31" t="n">
        <x:v>226</x:v>
      </x:c>
      <x:c r="G159" s="31" t="str">
        <x:v>Numbered total equals the reconciled printed denominator + beyond-denominator identities + separately listed subset identities.</x:v>
      </x:c>
      <x:c r="H159" s="31" t="str"/>
      <x:c r="I159" s="31" t="n">
        <x:v>226</x:v>
      </x:c>
      <x:c r="J159" s="31" t="str"/>
    </x:row>
    <x:row r="160">
      <x:c r="A160" s="31" t="n">
        <x:v>163</x:v>
      </x:c>
      <x:c r="B160" s="31" t="str">
        <x:v>en</x:v>
      </x:c>
      <x:c r="C160" s="31" t="str">
        <x:v>Shrouded Fable</x:v>
      </x:c>
      <x:c r="D160" s="31" t="str">
        <x:v>SFA</x:v>
      </x:c>
      <x:c r="E160" s="31" t="str">
        <x:v>reconciled_components</x:v>
      </x:c>
      <x:c r="F160" s="31" t="n">
        <x:v>99</x:v>
      </x:c>
      <x:c r="G160" s="31" t="str">
        <x:v>Numbered total equals the reconciled printed denominator + beyond-denominator identities + separately listed subset identities.</x:v>
      </x:c>
      <x:c r="H160" s="31" t="str"/>
      <x:c r="I160" s="31" t="n">
        <x:v>99</x:v>
      </x:c>
      <x:c r="J160" s="31" t="str"/>
    </x:row>
    <x:row r="161">
      <x:c r="A161" s="31" t="n">
        <x:v>164</x:v>
      </x:c>
      <x:c r="B161" s="31" t="str">
        <x:v>en</x:v>
      </x:c>
      <x:c r="C161" s="31" t="str">
        <x:v>Play! Pokémon Prize Pack Series Five</x:v>
      </x:c>
      <x:c r="D161" s="31" t="str">
        <x:v>PPS5</x:v>
      </x:c>
      <x:c r="E161" s="31" t="str">
        <x:v>reconciled_components</x:v>
      </x:c>
      <x:c r="F161" s="31" t="n">
        <x:v>86</x:v>
      </x:c>
      <x:c r="G161" s="31" t="str">
        <x:v>Numbered total equals the reconciled printed denominator + beyond-denominator identities + separately listed subset identities.</x:v>
      </x:c>
      <x:c r="H161" s="31" t="str"/>
      <x:c r="I161" s="31" t="n">
        <x:v>86</x:v>
      </x:c>
      <x:c r="J161" s="31" t="str"/>
    </x:row>
    <x:row r="162">
      <x:c r="A162" s="31" t="n">
        <x:v>165</x:v>
      </x:c>
      <x:c r="B162" s="31" t="str">
        <x:v>en</x:v>
      </x:c>
      <x:c r="C162" s="31" t="str">
        <x:v>Trick or Trade 2024</x:v>
      </x:c>
      <x:c r="D162" s="31" t="str">
        <x:v>TT24</x:v>
      </x:c>
      <x:c r="E162" s="31" t="str">
        <x:v>reconciled_components</x:v>
      </x:c>
      <x:c r="F162" s="31" t="n">
        <x:v>30</x:v>
      </x:c>
      <x:c r="G162" s="31" t="str">
        <x:v>Numbered total equals the reconciled printed denominator + beyond-denominator identities + separately listed subset identities.</x:v>
      </x:c>
      <x:c r="H162" s="31" t="str"/>
      <x:c r="I162" s="31" t="n">
        <x:v>30</x:v>
      </x:c>
      <x:c r="J162" s="31" t="str"/>
    </x:row>
    <x:row r="163">
      <x:c r="A163" s="31" t="n">
        <x:v>166</x:v>
      </x:c>
      <x:c r="B163" s="31" t="str">
        <x:v>en</x:v>
      </x:c>
      <x:c r="C163" s="31" t="str">
        <x:v>Stellar Crown</x:v>
      </x:c>
      <x:c r="D163" s="31" t="str">
        <x:v>SCR</x:v>
      </x:c>
      <x:c r="E163" s="31" t="str">
        <x:v>reconciled_components</x:v>
      </x:c>
      <x:c r="F163" s="31" t="n">
        <x:v>175</x:v>
      </x:c>
      <x:c r="G163" s="31" t="str">
        <x:v>Numbered total equals the reconciled printed denominator + beyond-denominator identities + separately listed subset identities.</x:v>
      </x:c>
      <x:c r="H163" s="31" t="str"/>
      <x:c r="I163" s="31" t="n">
        <x:v>175</x:v>
      </x:c>
      <x:c r="J163" s="31" t="str"/>
    </x:row>
    <x:row r="164">
      <x:c r="A164" s="31" t="n">
        <x:v>167</x:v>
      </x:c>
      <x:c r="B164" s="31" t="str">
        <x:v>en</x:v>
      </x:c>
      <x:c r="C164" s="31" t="str">
        <x:v>Surging Sparks</x:v>
      </x:c>
      <x:c r="D164" s="31" t="str">
        <x:v>SSP</x:v>
      </x:c>
      <x:c r="E164" s="31" t="str">
        <x:v>reconciled_components</x:v>
      </x:c>
      <x:c r="F164" s="31" t="n">
        <x:v>252</x:v>
      </x:c>
      <x:c r="G164" s="31" t="str">
        <x:v>Numbered total equals the reconciled printed denominator + beyond-denominator identities + separately listed subset identities.</x:v>
      </x:c>
      <x:c r="H164" s="31" t="str"/>
      <x:c r="I164" s="31" t="n">
        <x:v>252</x:v>
      </x:c>
      <x:c r="J164" s="31" t="str"/>
    </x:row>
    <x:row r="165">
      <x:c r="A165" s="31" t="n">
        <x:v>168</x:v>
      </x:c>
      <x:c r="B165" s="31" t="str">
        <x:v>en</x:v>
      </x:c>
      <x:c r="C165" s="31" t="str">
        <x:v>McDonald's Collection 2024</x:v>
      </x:c>
      <x:c r="D165" s="31" t="str">
        <x:v>M24</x:v>
      </x:c>
      <x:c r="E165" s="31" t="str">
        <x:v>reconciled_components</x:v>
      </x:c>
      <x:c r="F165" s="31" t="n">
        <x:v>15</x:v>
      </x:c>
      <x:c r="G165" s="31" t="str">
        <x:v>Numbered total equals the reconciled printed denominator + beyond-denominator identities + separately listed subset identities.</x:v>
      </x:c>
      <x:c r="H165" s="31" t="str"/>
      <x:c r="I165" s="31" t="n">
        <x:v>15</x:v>
      </x:c>
      <x:c r="J165" s="31" t="str"/>
    </x:row>
    <x:row r="166">
      <x:c r="A166" s="31" t="n">
        <x:v>169</x:v>
      </x:c>
      <x:c r="B166" s="31" t="str">
        <x:v>en</x:v>
      </x:c>
      <x:c r="C166" s="31" t="str">
        <x:v>Prismatic Evolutions</x:v>
      </x:c>
      <x:c r="D166" s="31" t="str">
        <x:v>PRE</x:v>
      </x:c>
      <x:c r="E166" s="31" t="str">
        <x:v>reconciled_components</x:v>
      </x:c>
      <x:c r="F166" s="31" t="n">
        <x:v>180</x:v>
      </x:c>
      <x:c r="G166" s="31" t="str">
        <x:v>Numbered total equals the reconciled printed denominator + beyond-denominator identities + separately listed subset identities.</x:v>
      </x:c>
      <x:c r="H166" s="31" t="str"/>
      <x:c r="I166" s="31" t="n">
        <x:v>180</x:v>
      </x:c>
      <x:c r="J166" s="31" t="str"/>
    </x:row>
    <x:row r="167">
      <x:c r="A167" s="31" t="n">
        <x:v>170</x:v>
      </x:c>
      <x:c r="B167" s="31" t="str">
        <x:v>en</x:v>
      </x:c>
      <x:c r="C167" s="31" t="str">
        <x:v>Play! Pokémon Prize Pack Series Six</x:v>
      </x:c>
      <x:c r="D167" s="31" t="str">
        <x:v>PPS6</x:v>
      </x:c>
      <x:c r="E167" s="31" t="str">
        <x:v>reconciled_components</x:v>
      </x:c>
      <x:c r="F167" s="31" t="n">
        <x:v>94</x:v>
      </x:c>
      <x:c r="G167" s="31" t="str">
        <x:v>Numbered total equals the reconciled printed denominator + beyond-denominator identities + separately listed subset identities.</x:v>
      </x:c>
      <x:c r="H167" s="31" t="str"/>
      <x:c r="I167" s="31" t="n">
        <x:v>94</x:v>
      </x:c>
      <x:c r="J167" s="31" t="str"/>
    </x:row>
    <x:row r="168">
      <x:c r="A168" s="31" t="n">
        <x:v>171</x:v>
      </x:c>
      <x:c r="B168" s="31" t="str">
        <x:v>en</x:v>
      </x:c>
      <x:c r="C168" s="31" t="str">
        <x:v>Journey Together</x:v>
      </x:c>
      <x:c r="D168" s="31" t="str">
        <x:v>JTG</x:v>
      </x:c>
      <x:c r="E168" s="31" t="str">
        <x:v>reconciled_components</x:v>
      </x:c>
      <x:c r="F168" s="31" t="n">
        <x:v>190</x:v>
      </x:c>
      <x:c r="G168" s="31" t="str">
        <x:v>Numbered total equals the reconciled printed denominator + beyond-denominator identities + separately listed subset identities.</x:v>
      </x:c>
      <x:c r="H168" s="31" t="str"/>
      <x:c r="I168" s="31" t="n">
        <x:v>190</x:v>
      </x:c>
      <x:c r="J168" s="31" t="str"/>
    </x:row>
    <x:row r="169">
      <x:c r="A169" s="31" t="n">
        <x:v>172</x:v>
      </x:c>
      <x:c r="B169" s="31" t="str">
        <x:v>en</x:v>
      </x:c>
      <x:c r="C169" s="31" t="str">
        <x:v>Destined Rivals</x:v>
      </x:c>
      <x:c r="D169" s="31" t="str">
        <x:v>DRI</x:v>
      </x:c>
      <x:c r="E169" s="31" t="str">
        <x:v>reconciled_components</x:v>
      </x:c>
      <x:c r="F169" s="31" t="n">
        <x:v>244</x:v>
      </x:c>
      <x:c r="G169" s="31" t="str">
        <x:v>Numbered total equals the reconciled printed denominator + beyond-denominator identities + separately listed subset identities.</x:v>
      </x:c>
      <x:c r="H169" s="31" t="str"/>
      <x:c r="I169" s="31" t="n">
        <x:v>244</x:v>
      </x:c>
      <x:c r="J169" s="31" t="str"/>
    </x:row>
    <x:row r="170">
      <x:c r="A170" s="31" t="n">
        <x:v>173</x:v>
      </x:c>
      <x:c r="B170" s="31" t="str">
        <x:v>en</x:v>
      </x:c>
      <x:c r="C170" s="31" t="str">
        <x:v>Black Bolt</x:v>
      </x:c>
      <x:c r="D170" s="31" t="str">
        <x:v>BLK</x:v>
      </x:c>
      <x:c r="E170" s="31" t="str">
        <x:v>reconciled_components</x:v>
      </x:c>
      <x:c r="F170" s="31" t="n">
        <x:v>172</x:v>
      </x:c>
      <x:c r="G170" s="31" t="str">
        <x:v>Numbered total equals the reconciled printed denominator + beyond-denominator identities + separately listed subset identities.</x:v>
      </x:c>
      <x:c r="H170" s="31" t="str"/>
      <x:c r="I170" s="31" t="n">
        <x:v>172</x:v>
      </x:c>
      <x:c r="J170" s="31" t="str"/>
    </x:row>
    <x:row r="171">
      <x:c r="A171" s="31" t="n">
        <x:v>174</x:v>
      </x:c>
      <x:c r="B171" s="31" t="str">
        <x:v>en</x:v>
      </x:c>
      <x:c r="C171" s="31" t="str">
        <x:v>White Flare</x:v>
      </x:c>
      <x:c r="D171" s="31" t="str">
        <x:v>WHT</x:v>
      </x:c>
      <x:c r="E171" s="31" t="str">
        <x:v>reconciled_components</x:v>
      </x:c>
      <x:c r="F171" s="31" t="n">
        <x:v>173</x:v>
      </x:c>
      <x:c r="G171" s="31" t="str">
        <x:v>Numbered total equals the reconciled printed denominator + beyond-denominator identities + separately listed subset identities.</x:v>
      </x:c>
      <x:c r="H171" s="31" t="str"/>
      <x:c r="I171" s="31" t="n">
        <x:v>173</x:v>
      </x:c>
      <x:c r="J171" s="31" t="str"/>
    </x:row>
    <x:row r="172">
      <x:c r="A172" s="31" t="n">
        <x:v>175</x:v>
      </x:c>
      <x:c r="B172" s="31" t="str">
        <x:v>en</x:v>
      </x:c>
      <x:c r="C172" s="31" t="str">
        <x:v>Play! Pokémon Prize Pack Series Seven</x:v>
      </x:c>
      <x:c r="D172" s="31" t="str">
        <x:v>PPS7</x:v>
      </x:c>
      <x:c r="E172" s="31" t="str">
        <x:v>reconciled_components</x:v>
      </x:c>
      <x:c r="F172" s="31" t="n">
        <x:v>96</x:v>
      </x:c>
      <x:c r="G172" s="31" t="str">
        <x:v>Numbered total equals the reconciled printed denominator + beyond-denominator identities + separately listed subset identities.</x:v>
      </x:c>
      <x:c r="H172" s="31" t="str"/>
      <x:c r="I172" s="31" t="n">
        <x:v>96</x:v>
      </x:c>
      <x:c r="J172" s="31" t="str"/>
    </x:row>
    <x:row r="173">
      <x:c r="A173" s="31" t="n">
        <x:v>176</x:v>
      </x:c>
      <x:c r="B173" s="31" t="str">
        <x:v>en</x:v>
      </x:c>
      <x:c r="C173" s="31" t="str">
        <x:v>MEP Black Star Promos</x:v>
      </x:c>
      <x:c r="D173" s="31" t="str">
        <x:v>MEP</x:v>
      </x:c>
      <x:c r="E173" s="31" t="str">
        <x:v>reference_bridge_secondary_catalogue_snapshot</x:v>
      </x:c>
      <x:c r="F173" s="31" t="n">
        <x:v>127</x:v>
      </x:c>
      <x:c r="G173" s="31" t="str">
        <x:v>Numbered total bridged from the sourced reference-count checklist for this exact row scope. Current Mega Evolution Black Star Promo catalogue index snapshot; ongoing series, so this is a dated catalogue count rather than a closed-set total.</x:v>
      </x:c>
      <x:c r="H173" s="31" t="str">
        <x:v>https://www.cardtrader.com/en/pokemon/expansions</x:v>
      </x:c>
      <x:c r="I173" s="31" t="n">
        <x:v>127</x:v>
      </x:c>
      <x:c r="J173" s="31" t="str">
        <x:v>numbered_total_provisional_snapshot</x:v>
      </x:c>
    </x:row>
    <x:row r="174">
      <x:c r="A174" s="31" t="n">
        <x:v>177</x:v>
      </x:c>
      <x:c r="B174" s="31" t="str">
        <x:v>en</x:v>
      </x:c>
      <x:c r="C174" s="31" t="str">
        <x:v>MEE Basic Energies</x:v>
      </x:c>
      <x:c r="D174" s="31" t="str">
        <x:v>MEE</x:v>
      </x:c>
      <x:c r="E174" s="31" t="str">
        <x:v>reconciled_components</x:v>
      </x:c>
      <x:c r="F174" s="31" t="n">
        <x:v>16</x:v>
      </x:c>
      <x:c r="G174" s="31" t="str">
        <x:v>Numbered total equals the reconciled printed denominator + beyond-denominator identities + separately listed subset identities.</x:v>
      </x:c>
      <x:c r="H174" s="31" t="str"/>
      <x:c r="I174" s="31" t="n">
        <x:v>16</x:v>
      </x:c>
      <x:c r="J174" s="31" t="str"/>
    </x:row>
    <x:row r="175">
      <x:c r="A175" s="31" t="n">
        <x:v>178</x:v>
      </x:c>
      <x:c r="B175" s="31" t="str">
        <x:v>en</x:v>
      </x:c>
      <x:c r="C175" s="31" t="str">
        <x:v>Mega Evolution</x:v>
      </x:c>
      <x:c r="D175" s="31" t="str">
        <x:v>MEG</x:v>
      </x:c>
      <x:c r="E175" s="31" t="str">
        <x:v>reconciled_components</x:v>
      </x:c>
      <x:c r="F175" s="31" t="n">
        <x:v>188</x:v>
      </x:c>
      <x:c r="G175" s="31" t="str">
        <x:v>Numbered total equals the reconciled printed denominator + beyond-denominator identities + separately listed subset identities.</x:v>
      </x:c>
      <x:c r="H175" s="31" t="str"/>
      <x:c r="I175" s="31" t="n">
        <x:v>188</x:v>
      </x:c>
      <x:c r="J175" s="31" t="str"/>
    </x:row>
    <x:row r="176">
      <x:c r="A176" s="31" t="n">
        <x:v>179</x:v>
      </x:c>
      <x:c r="B176" s="31" t="str">
        <x:v>en</x:v>
      </x:c>
      <x:c r="C176" s="31" t="str">
        <x:v>Phantasmal Flames</x:v>
      </x:c>
      <x:c r="D176" s="31" t="str">
        <x:v>PFL</x:v>
      </x:c>
      <x:c r="E176" s="31" t="str">
        <x:v>reconciled_components</x:v>
      </x:c>
      <x:c r="F176" s="31" t="n">
        <x:v>130</x:v>
      </x:c>
      <x:c r="G176" s="31" t="str">
        <x:v>Numbered total equals the reconciled printed denominator + beyond-denominator identities + separately listed subset identities.</x:v>
      </x:c>
      <x:c r="H176" s="31" t="str"/>
      <x:c r="I176" s="31" t="n">
        <x:v>130</x:v>
      </x:c>
      <x:c r="J176" s="31" t="str"/>
    </x:row>
    <x:row r="177">
      <x:c r="A177" s="31" t="n">
        <x:v>180</x:v>
      </x:c>
      <x:c r="B177" s="31" t="str">
        <x:v>en</x:v>
      </x:c>
      <x:c r="C177" s="31" t="str">
        <x:v>Play! Pokémon Prize Pack Series Eight</x:v>
      </x:c>
      <x:c r="D177" s="31" t="str">
        <x:v>PPS8</x:v>
      </x:c>
      <x:c r="E177" s="31" t="str">
        <x:v>reconciled_components</x:v>
      </x:c>
      <x:c r="F177" s="31" t="n">
        <x:v>91</x:v>
      </x:c>
      <x:c r="G177" s="31" t="str">
        <x:v>Numbered total equals the reconciled printed denominator + beyond-denominator identities + separately listed subset identities.</x:v>
      </x:c>
      <x:c r="H177" s="31" t="str"/>
      <x:c r="I177" s="31" t="n">
        <x:v>91</x:v>
      </x:c>
      <x:c r="J177" s="31" t="str"/>
    </x:row>
    <x:row r="178">
      <x:c r="A178" s="31" t="n">
        <x:v>181</x:v>
      </x:c>
      <x:c r="B178" s="31" t="str">
        <x:v>en</x:v>
      </x:c>
      <x:c r="C178" s="31" t="str">
        <x:v>Ascended Heroes</x:v>
      </x:c>
      <x:c r="D178" s="31" t="str">
        <x:v>ASC</x:v>
      </x:c>
      <x:c r="E178" s="31" t="str">
        <x:v>reconciled_components</x:v>
      </x:c>
      <x:c r="F178" s="31" t="n">
        <x:v>295</x:v>
      </x:c>
      <x:c r="G178" s="31" t="str">
        <x:v>Numbered total equals the reconciled printed denominator + beyond-denominator identities + separately listed subset identities.</x:v>
      </x:c>
      <x:c r="H178" s="31" t="str"/>
      <x:c r="I178" s="31" t="n">
        <x:v>295</x:v>
      </x:c>
      <x:c r="J178" s="31" t="str"/>
    </x:row>
    <x:row r="179">
      <x:c r="A179" s="31" t="n">
        <x:v>182</x:v>
      </x:c>
      <x:c r="B179" s="31" t="str">
        <x:v>en</x:v>
      </x:c>
      <x:c r="C179" s="31" t="str">
        <x:v>Perfect Order</x:v>
      </x:c>
      <x:c r="D179" s="31" t="str">
        <x:v>POR</x:v>
      </x:c>
      <x:c r="E179" s="31" t="str">
        <x:v>reconciled_components</x:v>
      </x:c>
      <x:c r="F179" s="31" t="n">
        <x:v>124</x:v>
      </x:c>
      <x:c r="G179" s="31" t="str">
        <x:v>Numbered total equals the reconciled printed denominator + beyond-denominator identities + separately listed subset identities.</x:v>
      </x:c>
      <x:c r="H179" s="31" t="str"/>
      <x:c r="I179" s="31" t="n">
        <x:v>124</x:v>
      </x:c>
      <x:c r="J179" s="31" t="str"/>
    </x:row>
    <x:row r="180">
      <x:c r="A180" s="31" t="n">
        <x:v>183</x:v>
      </x:c>
      <x:c r="B180" s="31" t="str">
        <x:v>en</x:v>
      </x:c>
      <x:c r="C180" s="31" t="str">
        <x:v>Chaos Rising</x:v>
      </x:c>
      <x:c r="D180" s="31" t="str">
        <x:v>CRI</x:v>
      </x:c>
      <x:c r="E180" s="31" t="str">
        <x:v>reconciled_components</x:v>
      </x:c>
      <x:c r="F180" s="31" t="n">
        <x:v>122</x:v>
      </x:c>
      <x:c r="G180" s="31" t="str">
        <x:v>Numbered total equals the reconciled printed denominator + beyond-denominator identities + separately listed subset identities.</x:v>
      </x:c>
      <x:c r="H180" s="31" t="str"/>
      <x:c r="I180" s="31" t="n">
        <x:v>122</x:v>
      </x:c>
      <x:c r="J180" s="31" t="str"/>
    </x:row>
    <x:row r="181">
      <x:c r="A181" s="31" t="n">
        <x:v>184</x:v>
      </x:c>
      <x:c r="B181" s="31" t="str">
        <x:v>en</x:v>
      </x:c>
      <x:c r="C181" s="31" t="str">
        <x:v>Play! Pokémon Prize Pack Series Nine</x:v>
      </x:c>
      <x:c r="D181" s="31" t="str">
        <x:v>PPS9</x:v>
      </x:c>
      <x:c r="E181" s="31" t="str">
        <x:v>reconciled_components</x:v>
      </x:c>
      <x:c r="F181" s="31" t="n">
        <x:v>80</x:v>
      </x:c>
      <x:c r="G181" s="31" t="str">
        <x:v>Numbered total equals the reconciled printed denominator + beyond-denominator identities + separately listed subset identities.</x:v>
      </x:c>
      <x:c r="H181" s="31" t="str"/>
      <x:c r="I181" s="31" t="n">
        <x:v>80</x:v>
      </x:c>
      <x:c r="J181" s="31" t="str"/>
    </x:row>
    <x:row r="182">
      <x:c r="A182" s="31" t="n">
        <x:v>185</x:v>
      </x:c>
      <x:c r="B182" s="31" t="str">
        <x:v>en</x:v>
      </x:c>
      <x:c r="C182" s="31" t="str">
        <x:v>Pitch Black</x:v>
      </x:c>
      <x:c r="D182" s="31" t="str">
        <x:v>PBL</x:v>
      </x:c>
      <x:c r="E182" s="31" t="str">
        <x:v>reconciled_components</x:v>
      </x:c>
      <x:c r="F182" s="31" t="n">
        <x:v>120</x:v>
      </x:c>
      <x:c r="G182" s="31" t="str">
        <x:v>Numbered total equals the reconciled printed denominator + beyond-denominator identities + separately listed subset identities.</x:v>
      </x:c>
      <x:c r="H182" s="31" t="str"/>
      <x:c r="I182" s="31" t="n">
        <x:v>120</x:v>
      </x:c>
      <x:c r="J182" s="31" t="str"/>
    </x:row>
    <x:row r="183">
      <x:c r="A183" s="31" t="n">
        <x:v>186</x:v>
      </x:c>
      <x:c r="B183" s="31" t="str">
        <x:v>en</x:v>
      </x:c>
      <x:c r="C183" s="31" t="str">
        <x:v>30th Celebration</x:v>
      </x:c>
      <x:c r="D183" s="31" t="str">
        <x:v>30C</x:v>
      </x:c>
      <x:c r="E183" s="31" t="str">
        <x:v>current_complete_checklist</x:v>
      </x:c>
      <x:c r="F183" s="31" t="n">
        <x:v>199</x:v>
      </x:c>
      <x:c r="G183" s="31" t="str">
        <x:v>Current complete English checklist: 128 main-set cards + 33 secret rares + 30 Classic Collection cards + 8 Basic Energy cards.</x:v>
      </x:c>
      <x:c r="H183" s="31" t="str">
        <x:v>https://www.pokebeach.com/2026/09/30th-celebration-english-set-guide-full-card-list-products-store-promotions-and-more</x:v>
      </x:c>
      <x:c r="I183" s="31" t="n">
        <x:v>199</x:v>
      </x:c>
      <x:c r="J183" s="31" t="str"/>
    </x:row>
    <x:row r="184">
      <x:c r="A184" s="31" t="n">
        <x:v>187</x:v>
      </x:c>
      <x:c r="B184" s="31" t="str">
        <x:v>en</x:v>
      </x:c>
      <x:c r="C184" s="31" t="str">
        <x:v>Delta Reign</x:v>
      </x:c>
      <x:c r="D184" s="31" t="str">
        <x:v>DLR</x:v>
      </x:c>
      <x:c r="E184" s="31" t="str">
        <x:v>minimum_pending_final_checklist</x:v>
      </x:c>
      <x:c r="F184" s="31" t="n">
        <x:v>135</x:v>
      </x:c>
      <x:c r="G184" s="31" t="str">
        <x:v>Officially announced as over 135 cards. 135 is stored as a minimum/provisional numbered total until the final checklist is published.</x:v>
      </x:c>
      <x:c r="H184" s="31" t="str">
        <x:v>https://www.pokemon.com/uk/features/heat-rotom-ex-delibird-and-more-from-pokemon-tcg-mega-evolution-delta-reign</x:v>
      </x:c>
      <x:c r="I184" s="31" t="n">
        <x:v>135</x:v>
      </x:c>
      <x:c r="J184" s="31" t="str">
        <x:v>numbered_total_minimum_pending_final_checklist</x:v>
      </x:c>
    </x:row>
    <x:row r="185">
      <x:c r="A185" s="31" t="n">
        <x:v>188</x:v>
      </x:c>
      <x:c r="B185" s="31" t="str">
        <x:v>en</x:v>
      </x:c>
      <x:c r="C185" s="31" t="str">
        <x:v>Black &amp; White Trainer Kit</x:v>
      </x:c>
      <x:c r="D185" s="31" t="str">
        <x:v>TK5</x:v>
      </x:c>
      <x:c r="E185" s="31" t="str">
        <x:v>reference_bridge_product_numbered_checklist</x:v>
      </x:c>
      <x:c r="F185" s="31" t="n">
        <x:v>60</x:v>
      </x:c>
      <x:c r="G185" s="31" t="str">
        <x:v>Numbered total bridged from the sourced reference-count checklist for this exact row scope. Two separately numbered 30-card Trainer Kit half-decks; reference count is numbered tutorial slots, not physical duplicates.</x:v>
      </x:c>
      <x:c r="H185" s="31" t="str">
        <x:v>https://bulbapedia.bulbagarden.net/wiki/Black_%26_White_Trainer_Kit_(TCG)</x:v>
      </x:c>
      <x:c r="I185" s="31" t="n">
        <x:v>60</x:v>
      </x:c>
      <x:c r="J185" s="31" t="str"/>
    </x:row>
    <x:row r="186">
      <x:c r="A186" s="31" t="n">
        <x:v>189</x:v>
      </x:c>
      <x:c r="B186" s="31" t="str">
        <x:v>en</x:v>
      </x:c>
      <x:c r="C186" s="31" t="str">
        <x:v>Diamond &amp; Pearl Trainer Kit</x:v>
      </x:c>
      <x:c r="D186" s="31" t="str">
        <x:v>DP-TK</x:v>
      </x:c>
      <x:c r="E186" s="31" t="str">
        <x:v>reference_bridge_product_numbered_checklist</x:v>
      </x:c>
      <x:c r="F186" s="31" t="n">
        <x:v>23</x:v>
      </x:c>
      <x:c r="G186" s="31" t="str">
        <x:v>Numbered total bridged from the sourced reference-count checklist for this exact row scope. Distinct numbered Trainer Kit component identities: 12 Manaphy + 11 Lucario.</x:v>
      </x:c>
      <x:c r="H186" s="31" t="str">
        <x:v>https://bulbapedia.bulbagarden.net/wiki/Diamond_%26_Pearl_Trainer_Kit_(TCG)</x:v>
      </x:c>
      <x:c r="I186" s="31" t="n">
        <x:v>23</x:v>
      </x:c>
      <x:c r="J186" s="31" t="str"/>
    </x:row>
    <x:row r="187">
      <x:c r="A187" s="31" t="n">
        <x:v>190</x:v>
      </x:c>
      <x:c r="B187" s="31" t="str">
        <x:v>en</x:v>
      </x:c>
      <x:c r="C187" s="31" t="str">
        <x:v>EX Trainer Kit</x:v>
      </x:c>
      <x:c r="D187" s="31" t="str">
        <x:v>EX-TK</x:v>
      </x:c>
      <x:c r="E187" s="31" t="str">
        <x:v>reference_bridge_product_numbered_checklist</x:v>
      </x:c>
      <x:c r="F187" s="31" t="n">
        <x:v>20</x:v>
      </x:c>
      <x:c r="G187" s="31" t="str">
        <x:v>Numbered total bridged from the sourced reference-count checklist for this exact row scope. Two 10-card numbered Trainer Kit half-deck checklists; counts identities, not repeated physical cards.</x:v>
      </x:c>
      <x:c r="H187" s="31" t="str">
        <x:v>https://bulbapedia.bulbagarden.net/wiki/EX_Trainer_Kit_(TCG)</x:v>
      </x:c>
      <x:c r="I187" s="31" t="n">
        <x:v>20</x:v>
      </x:c>
      <x:c r="J187" s="31" t="str"/>
    </x:row>
    <x:row r="188">
      <x:c r="A188" s="31" t="n">
        <x:v>191</x:v>
      </x:c>
      <x:c r="B188" s="31" t="str">
        <x:v>en</x:v>
      </x:c>
      <x:c r="C188" s="31" t="str">
        <x:v>EX Trainer Kit 2</x:v>
      </x:c>
      <x:c r="D188" s="31" t="str">
        <x:v>EX-TK2</x:v>
      </x:c>
      <x:c r="E188" s="31" t="str">
        <x:v>reference_bridge_product_numbered_checklist</x:v>
      </x:c>
      <x:c r="F188" s="31" t="n">
        <x:v>24</x:v>
      </x:c>
      <x:c r="G188" s="31" t="str">
        <x:v>Numbered total bridged from the sourced reference-count checklist for this exact row scope. Two 12-card numbered Trainer Kit 2 half-deck checklists; counts identities, not repeated physical cards.</x:v>
      </x:c>
      <x:c r="H188" s="31" t="str">
        <x:v>https://bulbapedia.bulbagarden.net/wiki/EX_Trainer_Kit_2_(TCG)</x:v>
      </x:c>
      <x:c r="I188" s="31" t="n">
        <x:v>24</x:v>
      </x:c>
      <x:c r="J188" s="31" t="str"/>
    </x:row>
    <x:row r="189">
      <x:c r="A189" s="31" t="n">
        <x:v>192</x:v>
      </x:c>
      <x:c r="B189" s="31" t="str">
        <x:v>en</x:v>
      </x:c>
      <x:c r="C189" s="31" t="str">
        <x:v>HS Trainer Kit</x:v>
      </x:c>
      <x:c r="D189" s="31" t="str">
        <x:v>HS-TK</x:v>
      </x:c>
      <x:c r="E189" s="31" t="str">
        <x:v>reference_bridge_product_numbered_checklist</x:v>
      </x:c>
      <x:c r="F189" s="31" t="n">
        <x:v>60</x:v>
      </x:c>
      <x:c r="G189" s="31" t="str">
        <x:v>Numbered total bridged from the sourced reference-count checklist for this exact row scope. Two separately numbered 30-card HS Trainer Kit half-decks.</x:v>
      </x:c>
      <x:c r="H189" s="31" t="str">
        <x:v>https://bulbapedia.bulbagarden.net/wiki/HS_Trainer_Kit_(TCG)</x:v>
      </x:c>
      <x:c r="I189" s="31" t="n">
        <x:v>60</x:v>
      </x:c>
      <x:c r="J189" s="31" t="str"/>
    </x:row>
    <x:row r="190">
      <x:c r="A190" s="31" t="n">
        <x:v>193</x:v>
      </x:c>
      <x:c r="B190" s="31" t="str">
        <x:v>en</x:v>
      </x:c>
      <x:c r="C190" s="31" t="str">
        <x:v>Sun &amp; Moon Trainer Kit: Lycanroc &amp; Alolan Raichu</x:v>
      </x:c>
      <x:c r="D190" s="31" t="str">
        <x:v>SM-TK</x:v>
      </x:c>
      <x:c r="E190" s="31" t="str">
        <x:v>reference_bridge_product_numbered_checklist</x:v>
      </x:c>
      <x:c r="F190" s="31" t="n">
        <x:v>60</x:v>
      </x:c>
      <x:c r="G190" s="31" t="str">
        <x:v>Numbered total bridged from the sourced reference-count checklist for this exact row scope. Two separately numbered 30-card Sun &amp; Moon Trainer Kit half-decks.</x:v>
      </x:c>
      <x:c r="H190" s="31" t="str">
        <x:v>https://bulbapedia.bulbagarden.net/wiki/Sun_%26_Moon_Trainer_Kit_(TCG)</x:v>
      </x:c>
      <x:c r="I190" s="31" t="n">
        <x:v>60</x:v>
      </x:c>
      <x:c r="J190" s="31" t="str"/>
    </x:row>
    <x:row r="191">
      <x:c r="A191" s="31" t="n">
        <x:v>194</x:v>
      </x:c>
      <x:c r="B191" s="31" t="str">
        <x:v>en</x:v>
      </x:c>
      <x:c r="C191" s="31" t="str">
        <x:v>XY Trainer Kit: Bisharp &amp; Wigglytuff</x:v>
      </x:c>
      <x:c r="D191" s="31" t="str">
        <x:v>TK7</x:v>
      </x:c>
      <x:c r="E191" s="31" t="str">
        <x:v>reference_bridge_product_numbered_checklist</x:v>
      </x:c>
      <x:c r="F191" s="31" t="n">
        <x:v>60</x:v>
      </x:c>
      <x:c r="G191" s="31" t="str">
        <x:v>Numbered total bridged from the sourced reference-count checklist for this exact row scope. Two separately numbered 30-card XY Trainer Kit half-decks.</x:v>
      </x:c>
      <x:c r="H191" s="31" t="str">
        <x:v>https://bulbapedia.bulbagarden.net/wiki/XY_Trainer_Kit_(TCG)</x:v>
      </x:c>
      <x:c r="I191" s="31" t="n">
        <x:v>60</x:v>
      </x:c>
      <x:c r="J191" s="31" t="str"/>
    </x:row>
    <x:row r="192">
      <x:c r="A192" s="31" t="n">
        <x:v>195</x:v>
      </x:c>
      <x:c r="B192" s="31" t="str">
        <x:v>en</x:v>
      </x:c>
      <x:c r="C192" s="31" t="str">
        <x:v>XY Trainer Kit: Pikachu Libre &amp; Suicune</x:v>
      </x:c>
      <x:c r="D192" s="31" t="str">
        <x:v>TK8</x:v>
      </x:c>
      <x:c r="E192" s="31" t="str">
        <x:v>reference_bridge_product_numbered_checklist</x:v>
      </x:c>
      <x:c r="F192" s="31" t="n">
        <x:v>60</x:v>
      </x:c>
      <x:c r="G192" s="31" t="str">
        <x:v>Numbered total bridged from the sourced reference-count checklist for this exact row scope. Two separately numbered 30-card XY Trainer Kit half-decks.</x:v>
      </x:c>
      <x:c r="H192" s="31" t="str">
        <x:v>https://bulbapedia.bulbagarden.net/wiki/XY_Trainer_Kit_(TCG)</x:v>
      </x:c>
      <x:c r="I192" s="31" t="n">
        <x:v>60</x:v>
      </x:c>
      <x:c r="J192" s="31" t="str"/>
    </x:row>
    <x:row r="193">
      <x:c r="A193" s="31" t="n">
        <x:v>196</x:v>
      </x:c>
      <x:c r="B193" s="31" t="str">
        <x:v>en</x:v>
      </x:c>
      <x:c r="C193" s="31" t="str">
        <x:v>XY Trainer Kit: Sylveon &amp; Noivern</x:v>
      </x:c>
      <x:c r="D193" s="31" t="str">
        <x:v>TK6</x:v>
      </x:c>
      <x:c r="E193" s="31" t="str">
        <x:v>reference_bridge_product_numbered_checklist</x:v>
      </x:c>
      <x:c r="F193" s="31" t="n">
        <x:v>60</x:v>
      </x:c>
      <x:c r="G193" s="31" t="str">
        <x:v>Numbered total bridged from the sourced reference-count checklist for this exact row scope. Two separately numbered 30-card XY Trainer Kit half-decks.</x:v>
      </x:c>
      <x:c r="H193" s="31" t="str">
        <x:v>https://bulbapedia.bulbagarden.net/wiki/XY_Trainer_Kit_(TCG)</x:v>
      </x:c>
      <x:c r="I193" s="31" t="n">
        <x:v>60</x:v>
      </x:c>
      <x:c r="J193" s="31" t="str"/>
    </x:row>
    <x:row r="194">
      <x:c r="A194" s="31" t="n">
        <x:v>197</x:v>
      </x:c>
      <x:c r="B194" s="31" t="str">
        <x:v>ja</x:v>
      </x:c>
      <x:c r="C194" s="31" t="str">
        <x:v>Expansion Pack</x:v>
      </x:c>
      <x:c r="D194" s="31" t="str">
        <x:v>PMCG1</x:v>
      </x:c>
      <x:c r="E194" s="31" t="str">
        <x:v>reconciled_components</x:v>
      </x:c>
      <x:c r="F194" s="31" t="n">
        <x:v>102</x:v>
      </x:c>
      <x:c r="G194" s="31" t="str">
        <x:v>Numbered total equals the reconciled printed denominator + beyond-denominator identities + separately listed subset identities.</x:v>
      </x:c>
      <x:c r="H194" s="31" t="str">
        <x:v>https://bulbapedia.bulbagarden.net/wiki/List_of_Japanese_TCG_Expansions</x:v>
      </x:c>
      <x:c r="I194" s="31" t="n">
        <x:v>102</x:v>
      </x:c>
      <x:c r="J194" s="31" t="str"/>
    </x:row>
    <x:row r="195">
      <x:c r="A195" s="31" t="n">
        <x:v>198</x:v>
      </x:c>
      <x:c r="B195" s="31" t="str">
        <x:v>ja</x:v>
      </x:c>
      <x:c r="C195" s="31" t="str">
        <x:v>Pokémon Jungle</x:v>
      </x:c>
      <x:c r="D195" s="31" t="str">
        <x:v>PMCG2</x:v>
      </x:c>
      <x:c r="E195" s="31" t="str">
        <x:v>reconciled_components</x:v>
      </x:c>
      <x:c r="F195" s="31" t="n">
        <x:v>48</x:v>
      </x:c>
      <x:c r="G195" s="31" t="str">
        <x:v>Numbered total equals the reconciled printed denominator + beyond-denominator identities + separately listed subset identities.</x:v>
      </x:c>
      <x:c r="H195" s="31" t="str">
        <x:v>https://bulbapedia.bulbagarden.net/wiki/List_of_Japanese_TCG_Expansions</x:v>
      </x:c>
      <x:c r="I195" s="31" t="n">
        <x:v>48</x:v>
      </x:c>
      <x:c r="J195" s="31" t="str"/>
    </x:row>
    <x:row r="196">
      <x:c r="A196" s="31" t="n">
        <x:v>199</x:v>
      </x:c>
      <x:c r="B196" s="31" t="str">
        <x:v>ja</x:v>
      </x:c>
      <x:c r="C196" s="31" t="str">
        <x:v>Mystery of the Fossils</x:v>
      </x:c>
      <x:c r="D196" s="31" t="str">
        <x:v>PMCG3</x:v>
      </x:c>
      <x:c r="E196" s="31" t="str">
        <x:v>reconciled_components</x:v>
      </x:c>
      <x:c r="F196" s="31" t="n">
        <x:v>48</x:v>
      </x:c>
      <x:c r="G196" s="31" t="str">
        <x:v>Numbered total equals the reconciled printed denominator + beyond-denominator identities + separately listed subset identities.</x:v>
      </x:c>
      <x:c r="H196" s="31" t="str">
        <x:v>https://bulbapedia.bulbagarden.net/wiki/List_of_Japanese_TCG_Expansions</x:v>
      </x:c>
      <x:c r="I196" s="31" t="n">
        <x:v>48</x:v>
      </x:c>
      <x:c r="J196" s="31" t="str"/>
    </x:row>
    <x:row r="197">
      <x:c r="A197" s="31" t="n">
        <x:v>200</x:v>
      </x:c>
      <x:c r="B197" s="31" t="str">
        <x:v>ja</x:v>
      </x:c>
      <x:c r="C197" s="31" t="str">
        <x:v>Rocket Gang</x:v>
      </x:c>
      <x:c r="D197" s="31" t="str">
        <x:v>PMCG4</x:v>
      </x:c>
      <x:c r="E197" s="31" t="str">
        <x:v>reconciled_components</x:v>
      </x:c>
      <x:c r="F197" s="31" t="n">
        <x:v>65</x:v>
      </x:c>
      <x:c r="G197" s="31" t="str">
        <x:v>Numbered total equals the reconciled printed denominator + beyond-denominator identities + separately listed subset identities.</x:v>
      </x:c>
      <x:c r="H197" s="31" t="str">
        <x:v>https://bulbapedia.bulbagarden.net/wiki/List_of_Japanese_TCG_Expansions</x:v>
      </x:c>
      <x:c r="I197" s="31" t="n">
        <x:v>65</x:v>
      </x:c>
      <x:c r="J197" s="31" t="str"/>
    </x:row>
    <x:row r="198">
      <x:c r="A198" s="31" t="n">
        <x:v>201</x:v>
      </x:c>
      <x:c r="B198" s="31" t="str">
        <x:v>ja</x:v>
      </x:c>
      <x:c r="C198" s="31" t="str">
        <x:v>Expansion Sheet: Vending Series 1 (Blue)</x:v>
      </x:c>
      <x:c r="D198" s="31" t="str">
        <x:v>Vending1</x:v>
      </x:c>
      <x:c r="E198" s="31" t="str">
        <x:v>reconciled_components</x:v>
      </x:c>
      <x:c r="F198" s="31" t="n">
        <x:v>36</x:v>
      </x:c>
      <x:c r="G198" s="31" t="str">
        <x:v>Numbered total equals the reconciled printed denominator + beyond-denominator identities + separately listed subset identities.</x:v>
      </x:c>
      <x:c r="H198" s="31" t="str">
        <x:v>https://bulbapedia.bulbagarden.net/wiki/List_of_Japanese_TCG_Expansions</x:v>
      </x:c>
      <x:c r="I198" s="31" t="n">
        <x:v>36</x:v>
      </x:c>
      <x:c r="J198" s="31" t="str"/>
    </x:row>
    <x:row r="199">
      <x:c r="A199" s="31" t="n">
        <x:v>202</x:v>
      </x:c>
      <x:c r="B199" s="31" t="str">
        <x:v>ja</x:v>
      </x:c>
      <x:c r="C199" s="31" t="str">
        <x:v>Expansion Sheet: Vending Series 2 (Red)</x:v>
      </x:c>
      <x:c r="D199" s="31" t="str">
        <x:v>Vending2</x:v>
      </x:c>
      <x:c r="E199" s="31" t="str">
        <x:v>reconciled_components</x:v>
      </x:c>
      <x:c r="F199" s="31" t="n">
        <x:v>36</x:v>
      </x:c>
      <x:c r="G199" s="31" t="str">
        <x:v>Numbered total equals the reconciled printed denominator + beyond-denominator identities + separately listed subset identities.</x:v>
      </x:c>
      <x:c r="H199" s="31" t="str">
        <x:v>https://bulbapedia.bulbagarden.net/wiki/List_of_Japanese_TCG_Expansions</x:v>
      </x:c>
      <x:c r="I199" s="31" t="n">
        <x:v>36</x:v>
      </x:c>
      <x:c r="J199" s="31" t="str"/>
    </x:row>
    <x:row r="200">
      <x:c r="A200" s="31" t="n">
        <x:v>203</x:v>
      </x:c>
      <x:c r="B200" s="31" t="str">
        <x:v>ja</x:v>
      </x:c>
      <x:c r="C200" s="31" t="str">
        <x:v>Leaders' Stadium</x:v>
      </x:c>
      <x:c r="D200" s="31" t="str">
        <x:v>PMCG5</x:v>
      </x:c>
      <x:c r="E200" s="31" t="str">
        <x:v>reconciled_components</x:v>
      </x:c>
      <x:c r="F200" s="31" t="n">
        <x:v>96</x:v>
      </x:c>
      <x:c r="G200" s="31" t="str">
        <x:v>Numbered total equals the reconciled printed denominator + beyond-denominator identities + separately listed subset identities.</x:v>
      </x:c>
      <x:c r="H200" s="31" t="str">
        <x:v>https://bulbapedia.bulbagarden.net/wiki/List_of_Japanese_TCG_Expansions</x:v>
      </x:c>
      <x:c r="I200" s="31" t="n">
        <x:v>96</x:v>
      </x:c>
      <x:c r="J200" s="31" t="str"/>
    </x:row>
    <x:row r="201">
      <x:c r="A201" s="31" t="n">
        <x:v>204</x:v>
      </x:c>
      <x:c r="B201" s="31" t="str">
        <x:v>ja</x:v>
      </x:c>
      <x:c r="C201" s="31" t="str">
        <x:v>Expansion Sheet: Vending Series 3 (Green)</x:v>
      </x:c>
      <x:c r="D201" s="31" t="str">
        <x:v>Vending3</x:v>
      </x:c>
      <x:c r="E201" s="31" t="str">
        <x:v>reconciled_components</x:v>
      </x:c>
      <x:c r="F201" s="31" t="n">
        <x:v>36</x:v>
      </x:c>
      <x:c r="G201" s="31" t="str">
        <x:v>Numbered total equals the reconciled printed denominator + beyond-denominator identities + separately listed subset identities.</x:v>
      </x:c>
      <x:c r="H201" s="31" t="str">
        <x:v>https://bulbapedia.bulbagarden.net/wiki/List_of_Japanese_TCG_Expansions</x:v>
      </x:c>
      <x:c r="I201" s="31" t="n">
        <x:v>36</x:v>
      </x:c>
      <x:c r="J201" s="31" t="str"/>
    </x:row>
    <x:row r="202">
      <x:c r="A202" s="31" t="n">
        <x:v>205</x:v>
      </x:c>
      <x:c r="B202" s="31" t="str">
        <x:v>ja</x:v>
      </x:c>
      <x:c r="C202" s="31" t="str">
        <x:v>Challenge from the Darkness</x:v>
      </x:c>
      <x:c r="D202" s="31" t="str">
        <x:v>PMCG6</x:v>
      </x:c>
      <x:c r="E202" s="31" t="str">
        <x:v>reconciled_components</x:v>
      </x:c>
      <x:c r="F202" s="31" t="n">
        <x:v>98</x:v>
      </x:c>
      <x:c r="G202" s="31" t="str">
        <x:v>Numbered total equals the reconciled printed denominator + beyond-denominator identities + separately listed subset identities.</x:v>
      </x:c>
      <x:c r="H202" s="31" t="str">
        <x:v>https://bulbapedia.bulbagarden.net/wiki/List_of_Japanese_TCG_Expansions</x:v>
      </x:c>
      <x:c r="I202" s="31" t="n">
        <x:v>98</x:v>
      </x:c>
      <x:c r="J202" s="31" t="str"/>
    </x:row>
    <x:row r="203">
      <x:c r="A203" s="31" t="n">
        <x:v>206</x:v>
      </x:c>
      <x:c r="B203" s="31" t="str">
        <x:v>ja</x:v>
      </x:c>
      <x:c r="C203" s="31" t="str">
        <x:v>Southern Islands</x:v>
      </x:c>
      <x:c r="D203" s="31" t="str">
        <x:v>SI</x:v>
      </x:c>
      <x:c r="E203" s="31" t="str">
        <x:v>reconciled_components</x:v>
      </x:c>
      <x:c r="F203" s="31" t="n">
        <x:v>18</x:v>
      </x:c>
      <x:c r="G203" s="31" t="str">
        <x:v>Numbered total equals the reconciled printed denominator + beyond-denominator identities + separately listed subset identities.</x:v>
      </x:c>
      <x:c r="H203" s="31" t="str">
        <x:v>https://bulbapedia.bulbagarden.net/wiki/List_of_Japanese_TCG_Expansions</x:v>
      </x:c>
      <x:c r="I203" s="31" t="n">
        <x:v>18</x:v>
      </x:c>
      <x:c r="J203" s="31" t="str"/>
    </x:row>
    <x:row r="204">
      <x:c r="A204" s="31" t="n">
        <x:v>207</x:v>
      </x:c>
      <x:c r="B204" s="31" t="str">
        <x:v>ja</x:v>
      </x:c>
      <x:c r="C204" s="31" t="str">
        <x:v>Gold, Silver, to a New World...</x:v>
      </x:c>
      <x:c r="D204" s="31" t="str">
        <x:v>Neo1</x:v>
      </x:c>
      <x:c r="E204" s="31" t="str">
        <x:v>reconciled_components</x:v>
      </x:c>
      <x:c r="F204" s="31" t="n">
        <x:v>96</x:v>
      </x:c>
      <x:c r="G204" s="31" t="str">
        <x:v>Numbered total equals the reconciled printed denominator + beyond-denominator identities + separately listed subset identities.</x:v>
      </x:c>
      <x:c r="H204" s="31" t="str">
        <x:v>https://bulbapedia.bulbagarden.net/wiki/List_of_Japanese_TCG_Expansions</x:v>
      </x:c>
      <x:c r="I204" s="31" t="n">
        <x:v>96</x:v>
      </x:c>
      <x:c r="J204" s="31" t="str"/>
    </x:row>
    <x:row r="205">
      <x:c r="A205" s="31" t="n">
        <x:v>208</x:v>
      </x:c>
      <x:c r="B205" s="31" t="str">
        <x:v>ja</x:v>
      </x:c>
      <x:c r="C205" s="31" t="str">
        <x:v>Crossing the Ruins...</x:v>
      </x:c>
      <x:c r="D205" s="31" t="str">
        <x:v>Neo2</x:v>
      </x:c>
      <x:c r="E205" s="31" t="str">
        <x:v>reconciled_components</x:v>
      </x:c>
      <x:c r="F205" s="31" t="n">
        <x:v>56</x:v>
      </x:c>
      <x:c r="G205" s="31" t="str">
        <x:v>Numbered total equals the reconciled printed denominator + beyond-denominator identities + separately listed subset identities.</x:v>
      </x:c>
      <x:c r="H205" s="31" t="str">
        <x:v>https://bulbapedia.bulbagarden.net/wiki/List_of_Japanese_TCG_Expansions</x:v>
      </x:c>
      <x:c r="I205" s="31" t="n">
        <x:v>56</x:v>
      </x:c>
      <x:c r="J205" s="31" t="str"/>
    </x:row>
    <x:row r="206">
      <x:c r="A206" s="31" t="n">
        <x:v>209</x:v>
      </x:c>
      <x:c r="B206" s="31" t="str">
        <x:v>ja</x:v>
      </x:c>
      <x:c r="C206" s="31" t="str">
        <x:v>Awakening Legends</x:v>
      </x:c>
      <x:c r="D206" s="31" t="str">
        <x:v>Neo3</x:v>
      </x:c>
      <x:c r="E206" s="31" t="str">
        <x:v>reconciled_components</x:v>
      </x:c>
      <x:c r="F206" s="31" t="n">
        <x:v>57</x:v>
      </x:c>
      <x:c r="G206" s="31" t="str">
        <x:v>Numbered total equals the reconciled printed denominator + beyond-denominator identities + separately listed subset identities.</x:v>
      </x:c>
      <x:c r="H206" s="31" t="str">
        <x:v>https://bulbapedia.bulbagarden.net/wiki/List_of_Japanese_TCG_Expansions</x:v>
      </x:c>
      <x:c r="I206" s="31" t="n">
        <x:v>57</x:v>
      </x:c>
      <x:c r="J206" s="31" t="str"/>
    </x:row>
    <x:row r="207">
      <x:c r="A207" s="31" t="n">
        <x:v>210</x:v>
      </x:c>
      <x:c r="B207" s="31" t="str">
        <x:v>ja</x:v>
      </x:c>
      <x:c r="C207" s="31" t="str">
        <x:v>Darkness, and to Light...</x:v>
      </x:c>
      <x:c r="D207" s="31" t="str">
        <x:v>Neo4</x:v>
      </x:c>
      <x:c r="E207" s="31" t="str">
        <x:v>reconciled_components</x:v>
      </x:c>
      <x:c r="F207" s="31" t="n">
        <x:v>113</x:v>
      </x:c>
      <x:c r="G207" s="31" t="str">
        <x:v>Numbered total equals the reconciled printed denominator + beyond-denominator identities + separately listed subset identities.</x:v>
      </x:c>
      <x:c r="H207" s="31" t="str">
        <x:v>https://bulbapedia.bulbagarden.net/wiki/List_of_Japanese_TCG_Expansions</x:v>
      </x:c>
      <x:c r="I207" s="31" t="n">
        <x:v>113</x:v>
      </x:c>
      <x:c r="J207" s="31" t="str"/>
    </x:row>
    <x:row r="208">
      <x:c r="A208" s="31" t="n">
        <x:v>211</x:v>
      </x:c>
      <x:c r="B208" s="31" t="str">
        <x:v>ja</x:v>
      </x:c>
      <x:c r="C208" s="31" t="str">
        <x:v>P Promotional cards</x:v>
      </x:c>
      <x:c r="D208" s="31" t="str">
        <x:v>P</x:v>
      </x:c>
      <x:c r="E208" s="31" t="str">
        <x:v>reconciled_components</x:v>
      </x:c>
      <x:c r="F208" s="31" t="n">
        <x:v>47</x:v>
      </x:c>
      <x:c r="G208" s="31" t="str">
        <x:v>Numbered total equals the reconciled printed denominator + beyond-denominator identities + separately listed subset identities.</x:v>
      </x:c>
      <x:c r="H208" s="31" t="str">
        <x:v>https://bulbapedia.bulbagarden.net/wiki/P_Promotional_cards_%28TCG%29</x:v>
      </x:c>
      <x:c r="I208" s="31" t="n">
        <x:v>47</x:v>
      </x:c>
      <x:c r="J208" s="31" t="str"/>
    </x:row>
    <x:row r="209">
      <x:c r="A209" s="31" t="n">
        <x:v>212</x:v>
      </x:c>
      <x:c r="B209" s="31" t="str">
        <x:v>ja</x:v>
      </x:c>
      <x:c r="C209" s="31" t="str">
        <x:v>Pokémon Card★VS</x:v>
      </x:c>
      <x:c r="D209" s="31" t="str">
        <x:v>VS</x:v>
      </x:c>
      <x:c r="E209" s="31" t="str">
        <x:v>reconciled_components</x:v>
      </x:c>
      <x:c r="F209" s="31" t="n">
        <x:v>142</x:v>
      </x:c>
      <x:c r="G209" s="31" t="str">
        <x:v>Numbered total equals the reconciled printed denominator + beyond-denominator identities + separately listed subset identities.</x:v>
      </x:c>
      <x:c r="H209" s="31" t="str">
        <x:v>https://bulbapedia.bulbagarden.net/wiki/List_of_Japanese_TCG_Expansions</x:v>
      </x:c>
      <x:c r="I209" s="31" t="n">
        <x:v>142</x:v>
      </x:c>
      <x:c r="J209" s="31" t="str"/>
    </x:row>
    <x:row r="210">
      <x:c r="A210" s="31" t="n">
        <x:v>213</x:v>
      </x:c>
      <x:c r="B210" s="31" t="str">
        <x:v>ja</x:v>
      </x:c>
      <x:c r="C210" s="31" t="str">
        <x:v>J Promotional cards</x:v>
      </x:c>
      <x:c r="D210" s="31" t="str">
        <x:v>J</x:v>
      </x:c>
      <x:c r="E210" s="31" t="str">
        <x:v>reconciled_components</x:v>
      </x:c>
      <x:c r="F210" s="31" t="n">
        <x:v>2</x:v>
      </x:c>
      <x:c r="G210" s="31" t="str">
        <x:v>Numbered total equals the reconciled printed denominator + beyond-denominator identities + separately listed subset identities.</x:v>
      </x:c>
      <x:c r="H210" s="31" t="str">
        <x:v>https://bulbapedia.bulbagarden.net/wiki/Category%3AJapanese_promotional_cards</x:v>
      </x:c>
      <x:c r="I210" s="31" t="n">
        <x:v>2</x:v>
      </x:c>
      <x:c r="J210" s="31" t="str"/>
    </x:row>
    <x:row r="211">
      <x:c r="A211" s="31" t="n">
        <x:v>214</x:v>
      </x:c>
      <x:c r="B211" s="31" t="str">
        <x:v>ja</x:v>
      </x:c>
      <x:c r="C211" s="31" t="str">
        <x:v>Pokémon Card★web</x:v>
      </x:c>
      <x:c r="D211" s="31" t="str">
        <x:v>Web</x:v>
      </x:c>
      <x:c r="E211" s="31" t="str">
        <x:v>reconciled_components</x:v>
      </x:c>
      <x:c r="F211" s="31" t="n">
        <x:v>48</x:v>
      </x:c>
      <x:c r="G211" s="31" t="str">
        <x:v>Numbered total equals the reconciled printed denominator + beyond-denominator identities + separately listed subset identities.</x:v>
      </x:c>
      <x:c r="H211" s="31" t="str">
        <x:v>https://bulbapedia.bulbagarden.net/wiki/List_of_Japanese_TCG_Expansions</x:v>
      </x:c>
      <x:c r="I211" s="31" t="n">
        <x:v>48</x:v>
      </x:c>
      <x:c r="J211" s="31" t="str"/>
    </x:row>
    <x:row r="212">
      <x:c r="A212" s="31" t="n">
        <x:v>215</x:v>
      </x:c>
      <x:c r="B212" s="31" t="str">
        <x:v>ja</x:v>
      </x:c>
      <x:c r="C212" s="31" t="str">
        <x:v>Base Expansion Pack</x:v>
      </x:c>
      <x:c r="D212" s="31" t="str">
        <x:v>e1</x:v>
      </x:c>
      <x:c r="E212" s="31" t="str">
        <x:v>reconciled_components</x:v>
      </x:c>
      <x:c r="F212" s="31" t="n">
        <x:v>128</x:v>
      </x:c>
      <x:c r="G212" s="31" t="str">
        <x:v>Numbered total equals the reconciled printed denominator + beyond-denominator identities + separately listed subset identities.</x:v>
      </x:c>
      <x:c r="H212" s="31" t="str">
        <x:v>https://bulbapedia.bulbagarden.net/wiki/List_of_Japanese_TCG_Expansions</x:v>
      </x:c>
      <x:c r="I212" s="31" t="n">
        <x:v>128</x:v>
      </x:c>
      <x:c r="J212" s="31" t="str"/>
    </x:row>
    <x:row r="213">
      <x:c r="A213" s="31" t="n">
        <x:v>216</x:v>
      </x:c>
      <x:c r="B213" s="31" t="str">
        <x:v>ja</x:v>
      </x:c>
      <x:c r="C213" s="31" t="str">
        <x:v>T Promotional cards</x:v>
      </x:c>
      <x:c r="D213" s="31" t="str">
        <x:v>T</x:v>
      </x:c>
      <x:c r="E213" s="31" t="str">
        <x:v>reconciled_components</x:v>
      </x:c>
      <x:c r="F213" s="31" t="n">
        <x:v>24</x:v>
      </x:c>
      <x:c r="G213" s="31" t="str">
        <x:v>Numbered total equals the reconciled printed denominator + beyond-denominator identities + separately listed subset identities.</x:v>
      </x:c>
      <x:c r="H213" s="31" t="str">
        <x:v>https://bulbapedia.bulbagarden.net/wiki/Category%3AJapanese_promotional_cards</x:v>
      </x:c>
      <x:c r="I213" s="31" t="n">
        <x:v>24</x:v>
      </x:c>
      <x:c r="J213" s="31" t="str"/>
    </x:row>
    <x:row r="214">
      <x:c r="A214" s="31" t="n">
        <x:v>217</x:v>
      </x:c>
      <x:c r="B214" s="31" t="str">
        <x:v>ja</x:v>
      </x:c>
      <x:c r="C214" s="31" t="str">
        <x:v>McDonald's Original Minimum★Pack</x:v>
      </x:c>
      <x:c r="D214" s="31" t="str">
        <x:v>MCD02</x:v>
      </x:c>
      <x:c r="E214" s="31" t="str">
        <x:v>reconciled_components</x:v>
      </x:c>
      <x:c r="F214" s="31" t="n">
        <x:v>30</x:v>
      </x:c>
      <x:c r="G214" s="31" t="str">
        <x:v>Numbered total equals the reconciled printed denominator + beyond-denominator identities + separately listed subset identities.</x:v>
      </x:c>
      <x:c r="H214" s="31" t="str">
        <x:v>https://bulbapedia.bulbagarden.net/wiki/McDonald%27s_Pokemon-e_Minimum_Pack</x:v>
      </x:c>
      <x:c r="I214" s="31" t="n">
        <x:v>30</x:v>
      </x:c>
      <x:c r="J214" s="31" t="str"/>
    </x:row>
    <x:row r="215">
      <x:c r="A215" s="31" t="n">
        <x:v>218</x:v>
      </x:c>
      <x:c r="B215" s="31" t="str">
        <x:v>ja</x:v>
      </x:c>
      <x:c r="C215" s="31" t="str">
        <x:v>The Town on No Map</x:v>
      </x:c>
      <x:c r="D215" s="31" t="str">
        <x:v>e2</x:v>
      </x:c>
      <x:c r="E215" s="31" t="str">
        <x:v>reconciled_components</x:v>
      </x:c>
      <x:c r="F215" s="31" t="n">
        <x:v>92</x:v>
      </x:c>
      <x:c r="G215" s="31" t="str">
        <x:v>Numbered total equals the reconciled printed denominator + beyond-denominator identities + separately listed subset identities.</x:v>
      </x:c>
      <x:c r="H215" s="31" t="str">
        <x:v>https://bulbapedia.bulbagarden.net/wiki/List_of_Japanese_TCG_Expansions</x:v>
      </x:c>
      <x:c r="I215" s="31" t="n">
        <x:v>92</x:v>
      </x:c>
      <x:c r="J215" s="31" t="str"/>
    </x:row>
    <x:row r="216">
      <x:c r="A216" s="31" t="n">
        <x:v>219</x:v>
      </x:c>
      <x:c r="B216" s="31" t="str">
        <x:v>ja</x:v>
      </x:c>
      <x:c r="C216" s="31" t="str">
        <x:v>Wind from the Sea</x:v>
      </x:c>
      <x:c r="D216" s="31" t="str">
        <x:v>e3</x:v>
      </x:c>
      <x:c r="E216" s="31" t="str">
        <x:v>reconciled_components</x:v>
      </x:c>
      <x:c r="F216" s="31" t="n">
        <x:v>90</x:v>
      </x:c>
      <x:c r="G216" s="31" t="str">
        <x:v>Numbered total equals the reconciled printed denominator + beyond-denominator identities + separately listed subset identities.</x:v>
      </x:c>
      <x:c r="H216" s="31" t="str">
        <x:v>https://bulbapedia.bulbagarden.net/wiki/List_of_Japanese_TCG_Expansions</x:v>
      </x:c>
      <x:c r="I216" s="31" t="n">
        <x:v>90</x:v>
      </x:c>
      <x:c r="J216" s="31" t="str"/>
    </x:row>
    <x:row r="217">
      <x:c r="A217" s="31" t="n">
        <x:v>220</x:v>
      </x:c>
      <x:c r="B217" s="31" t="str">
        <x:v>ja</x:v>
      </x:c>
      <x:c r="C217" s="31" t="str">
        <x:v>Split Earth</x:v>
      </x:c>
      <x:c r="D217" s="31" t="str">
        <x:v>e4</x:v>
      </x:c>
      <x:c r="E217" s="31" t="str">
        <x:v>reconciled_components</x:v>
      </x:c>
      <x:c r="F217" s="31" t="n">
        <x:v>91</x:v>
      </x:c>
      <x:c r="G217" s="31" t="str">
        <x:v>Numbered total equals the reconciled printed denominator + beyond-denominator identities + separately listed subset identities.</x:v>
      </x:c>
      <x:c r="H217" s="31" t="str">
        <x:v>https://bulbapedia.bulbagarden.net/wiki/List_of_Japanese_TCG_Expansions</x:v>
      </x:c>
      <x:c r="I217" s="31" t="n">
        <x:v>91</x:v>
      </x:c>
      <x:c r="J217" s="31" t="str"/>
    </x:row>
    <x:row r="218">
      <x:c r="A218" s="31" t="n">
        <x:v>221</x:v>
      </x:c>
      <x:c r="B218" s="31" t="str">
        <x:v>ja</x:v>
      </x:c>
      <x:c r="C218" s="31" t="str">
        <x:v>Mysterious Mountains</x:v>
      </x:c>
      <x:c r="D218" s="31" t="str">
        <x:v>e5</x:v>
      </x:c>
      <x:c r="E218" s="31" t="str">
        <x:v>reconciled_components</x:v>
      </x:c>
      <x:c r="F218" s="31" t="n">
        <x:v>91</x:v>
      </x:c>
      <x:c r="G218" s="31" t="str">
        <x:v>Numbered total equals the reconciled printed denominator + beyond-denominator identities + separately listed subset identities.</x:v>
      </x:c>
      <x:c r="H218" s="31" t="str">
        <x:v>https://bulbapedia.bulbagarden.net/wiki/List_of_Japanese_TCG_Expansions</x:v>
      </x:c>
      <x:c r="I218" s="31" t="n">
        <x:v>91</x:v>
      </x:c>
      <x:c r="J218" s="31" t="str"/>
    </x:row>
    <x:row r="219">
      <x:c r="A219" s="31" t="n">
        <x:v>222</x:v>
      </x:c>
      <x:c r="B219" s="31" t="str">
        <x:v>ja</x:v>
      </x:c>
      <x:c r="C219" s="31" t="str">
        <x:v>ADV-P Promotional cards</x:v>
      </x:c>
      <x:c r="D219" s="31" t="str">
        <x:v>ADV-P</x:v>
      </x:c>
      <x:c r="E219" s="31" t="str">
        <x:v>reconciled_components</x:v>
      </x:c>
      <x:c r="F219" s="31" t="n">
        <x:v>63</x:v>
      </x:c>
      <x:c r="G219" s="31" t="str">
        <x:v>Numbered total equals the reconciled printed denominator + beyond-denominator identities + separately listed subset identities.</x:v>
      </x:c>
      <x:c r="H219" s="31" t="str">
        <x:v>https://bulbapedia.bulbagarden.net/wiki/ADV-P</x:v>
      </x:c>
      <x:c r="I219" s="31" t="n">
        <x:v>63</x:v>
      </x:c>
      <x:c r="J219" s="31" t="str"/>
    </x:row>
    <x:row r="220">
      <x:c r="A220" s="31" t="n">
        <x:v>223</x:v>
      </x:c>
      <x:c r="B220" s="31" t="str">
        <x:v>ja</x:v>
      </x:c>
      <x:c r="C220" s="31" t="str">
        <x:v>PLAY Promotional cards</x:v>
      </x:c>
      <x:c r="D220" s="31" t="str">
        <x:v>PLAY</x:v>
      </x:c>
      <x:c r="E220" s="31" t="str">
        <x:v>reconciled_components</x:v>
      </x:c>
      <x:c r="F220" s="31" t="n">
        <x:v>32</x:v>
      </x:c>
      <x:c r="G220" s="31" t="str">
        <x:v>Numbered total equals the reconciled printed denominator + beyond-denominator identities + separately listed subset identities.</x:v>
      </x:c>
      <x:c r="H220" s="31" t="str">
        <x:v>https://bulbapedia.bulbagarden.net/wiki/Category%3AJapanese_promotional_cards</x:v>
      </x:c>
      <x:c r="I220" s="31" t="n">
        <x:v>32</x:v>
      </x:c>
      <x:c r="J220" s="31" t="str"/>
    </x:row>
    <x:row r="221">
      <x:c r="A221" s="31" t="n">
        <x:v>224</x:v>
      </x:c>
      <x:c r="B221" s="31" t="str">
        <x:v>ja</x:v>
      </x:c>
      <x:c r="C221" s="31" t="str">
        <x:v>ADV Expansion Pack</x:v>
      </x:c>
      <x:c r="D221" s="31" t="str">
        <x:v>ADV1</x:v>
      </x:c>
      <x:c r="E221" s="31" t="str">
        <x:v>reconciled_components</x:v>
      </x:c>
      <x:c r="F221" s="31" t="n">
        <x:v>55</x:v>
      </x:c>
      <x:c r="G221" s="31" t="str">
        <x:v>Numbered total equals the reconciled printed denominator + beyond-denominator identities + separately listed subset identities.</x:v>
      </x:c>
      <x:c r="H221" s="31" t="str">
        <x:v>https://bulbapedia.bulbagarden.net/wiki/List_of_Japanese_TCG_Expansions</x:v>
      </x:c>
      <x:c r="I221" s="31" t="n">
        <x:v>55</x:v>
      </x:c>
      <x:c r="J221" s="31" t="str"/>
    </x:row>
    <x:row r="222">
      <x:c r="A222" s="31" t="n">
        <x:v>225</x:v>
      </x:c>
      <x:c r="B222" s="31" t="str">
        <x:v>ja</x:v>
      </x:c>
      <x:c r="C222" s="31" t="str">
        <x:v>Miracle of the Desert</x:v>
      </x:c>
      <x:c r="D222" s="31" t="str">
        <x:v>ADV2</x:v>
      </x:c>
      <x:c r="E222" s="31" t="str">
        <x:v>reconciled_components</x:v>
      </x:c>
      <x:c r="F222" s="31" t="n">
        <x:v>53</x:v>
      </x:c>
      <x:c r="G222" s="31" t="str">
        <x:v>Numbered total equals the reconciled printed denominator + beyond-denominator identities + separately listed subset identities.</x:v>
      </x:c>
      <x:c r="H222" s="31" t="str">
        <x:v>https://bulbapedia.bulbagarden.net/wiki/List_of_Japanese_TCG_Expansions</x:v>
      </x:c>
      <x:c r="I222" s="31" t="n">
        <x:v>53</x:v>
      </x:c>
      <x:c r="J222" s="31" t="str"/>
    </x:row>
    <x:row r="223">
      <x:c r="A223" s="31" t="n">
        <x:v>226</x:v>
      </x:c>
      <x:c r="B223" s="31" t="str">
        <x:v>ja</x:v>
      </x:c>
      <x:c r="C223" s="31" t="str">
        <x:v>Rulers of the Heavens</x:v>
      </x:c>
      <x:c r="D223" s="31" t="str">
        <x:v>ADV3</x:v>
      </x:c>
      <x:c r="E223" s="31" t="str">
        <x:v>reconciled_components</x:v>
      </x:c>
      <x:c r="F223" s="31" t="n">
        <x:v>54</x:v>
      </x:c>
      <x:c r="G223" s="31" t="str">
        <x:v>Numbered total equals the reconciled printed denominator + beyond-denominator identities + separately listed subset identities.</x:v>
      </x:c>
      <x:c r="H223" s="31" t="str">
        <x:v>https://bulbapedia.bulbagarden.net/wiki/List_of_Japanese_TCG_Expansions</x:v>
      </x:c>
      <x:c r="I223" s="31" t="n">
        <x:v>54</x:v>
      </x:c>
      <x:c r="J223" s="31" t="str"/>
    </x:row>
    <x:row r="224">
      <x:c r="A224" s="31" t="n">
        <x:v>227</x:v>
      </x:c>
      <x:c r="B224" s="31" t="str">
        <x:v>ja</x:v>
      </x:c>
      <x:c r="C224" s="31" t="str">
        <x:v>Magma VS Aqua: Two Ambitions</x:v>
      </x:c>
      <x:c r="D224" s="31" t="str">
        <x:v>ADV-MVA</x:v>
      </x:c>
      <x:c r="E224" s="31" t="str">
        <x:v>reconciled_components</x:v>
      </x:c>
      <x:c r="F224" s="31" t="n">
        <x:v>80</x:v>
      </x:c>
      <x:c r="G224" s="31" t="str">
        <x:v>Numbered total equals the reconciled printed denominator + beyond-denominator identities + separately listed subset identities.</x:v>
      </x:c>
      <x:c r="H224" s="31" t="str">
        <x:v>https://bulbapedia.bulbagarden.net/wiki/List_of_Japanese_TCG_Expansions</x:v>
      </x:c>
      <x:c r="I224" s="31" t="n">
        <x:v>80</x:v>
      </x:c>
      <x:c r="J224" s="31" t="str"/>
    </x:row>
    <x:row r="225">
      <x:c r="A225" s="31" t="n">
        <x:v>228</x:v>
      </x:c>
      <x:c r="B225" s="31" t="str">
        <x:v>ja</x:v>
      </x:c>
      <x:c r="C225" s="31" t="str">
        <x:v>Undone Seal</x:v>
      </x:c>
      <x:c r="D225" s="31" t="str">
        <x:v>ADV4</x:v>
      </x:c>
      <x:c r="E225" s="31" t="str">
        <x:v>reconciled_components</x:v>
      </x:c>
      <x:c r="F225" s="31" t="n">
        <x:v>83</x:v>
      </x:c>
      <x:c r="G225" s="31" t="str">
        <x:v>Numbered total equals the reconciled printed denominator + beyond-denominator identities + separately listed subset identities.</x:v>
      </x:c>
      <x:c r="H225" s="31" t="str">
        <x:v>https://bulbapedia.bulbagarden.net/wiki/List_of_Japanese_TCG_Expansions</x:v>
      </x:c>
      <x:c r="I225" s="31" t="n">
        <x:v>83</x:v>
      </x:c>
      <x:c r="J225" s="31" t="str"/>
    </x:row>
    <x:row r="226">
      <x:c r="A226" s="31" t="n">
        <x:v>229</x:v>
      </x:c>
      <x:c r="B226" s="31" t="str">
        <x:v>ja</x:v>
      </x:c>
      <x:c r="C226" s="31" t="str">
        <x:v>PCG-P Promotional cards</x:v>
      </x:c>
      <x:c r="D226" s="31" t="str">
        <x:v>PCG-P</x:v>
      </x:c>
      <x:c r="E226" s="31" t="str">
        <x:v>reconciled_components</x:v>
      </x:c>
      <x:c r="F226" s="31" t="n">
        <x:v>154</x:v>
      </x:c>
      <x:c r="G226" s="31" t="str">
        <x:v>Numbered total equals the reconciled printed denominator + beyond-denominator identities + separately listed subset identities.</x:v>
      </x:c>
      <x:c r="H226" s="31" t="str">
        <x:v>https://bulbapedia.bulbagarden.net/wiki/Category%3AJapanese_promotional_cards</x:v>
      </x:c>
      <x:c r="I226" s="31" t="n">
        <x:v>154</x:v>
      </x:c>
      <x:c r="J226" s="31" t="str"/>
    </x:row>
    <x:row r="227">
      <x:c r="A227" s="31" t="n">
        <x:v>230</x:v>
      </x:c>
      <x:c r="B227" s="31" t="str">
        <x:v>ja</x:v>
      </x:c>
      <x:c r="C227" s="31" t="str">
        <x:v>Flight of Legends</x:v>
      </x:c>
      <x:c r="D227" s="31" t="str">
        <x:v>PCG1</x:v>
      </x:c>
      <x:c r="E227" s="31" t="str">
        <x:v>reconciled_components</x:v>
      </x:c>
      <x:c r="F227" s="31" t="n">
        <x:v>82</x:v>
      </x:c>
      <x:c r="G227" s="31" t="str">
        <x:v>Numbered total equals the reconciled printed denominator + beyond-denominator identities + separately listed subset identities.</x:v>
      </x:c>
      <x:c r="H227" s="31" t="str">
        <x:v>https://bulbapedia.bulbagarden.net/wiki/List_of_Japanese_TCG_Expansions</x:v>
      </x:c>
      <x:c r="I227" s="31" t="n">
        <x:v>82</x:v>
      </x:c>
      <x:c r="J227" s="31" t="str"/>
    </x:row>
    <x:row r="228">
      <x:c r="A228" s="31" t="n">
        <x:v>231</x:v>
      </x:c>
      <x:c r="B228" s="31" t="str">
        <x:v>ja</x:v>
      </x:c>
      <x:c r="C228" s="31" t="str">
        <x:v>Clash of the Blue Sky</x:v>
      </x:c>
      <x:c r="D228" s="31" t="str">
        <x:v>PCG2</x:v>
      </x:c>
      <x:c r="E228" s="31" t="str">
        <x:v>reconciled_components</x:v>
      </x:c>
      <x:c r="F228" s="31" t="n">
        <x:v>82</x:v>
      </x:c>
      <x:c r="G228" s="31" t="str">
        <x:v>Numbered total equals the reconciled printed denominator + beyond-denominator identities + separately listed subset identities.</x:v>
      </x:c>
      <x:c r="H228" s="31" t="str">
        <x:v>https://bulbapedia.bulbagarden.net/wiki/List_of_Japanese_TCG_Expansions</x:v>
      </x:c>
      <x:c r="I228" s="31" t="n">
        <x:v>82</x:v>
      </x:c>
      <x:c r="J228" s="31" t="str"/>
    </x:row>
    <x:row r="229">
      <x:c r="A229" s="31" t="n">
        <x:v>232</x:v>
      </x:c>
      <x:c r="B229" s="31" t="str">
        <x:v>ja</x:v>
      </x:c>
      <x:c r="C229" s="31" t="str">
        <x:v>Rocket Gang Strikes Back</x:v>
      </x:c>
      <x:c r="D229" s="31" t="str">
        <x:v>PCG3</x:v>
      </x:c>
      <x:c r="E229" s="31" t="str">
        <x:v>reconciled_components</x:v>
      </x:c>
      <x:c r="F229" s="31" t="n">
        <x:v>85</x:v>
      </x:c>
      <x:c r="G229" s="31" t="str">
        <x:v>Numbered total equals the reconciled printed denominator + beyond-denominator identities + separately listed subset identities.</x:v>
      </x:c>
      <x:c r="H229" s="31" t="str">
        <x:v>https://bulbapedia.bulbagarden.net/wiki/List_of_Japanese_TCG_Expansions</x:v>
      </x:c>
      <x:c r="I229" s="31" t="n">
        <x:v>85</x:v>
      </x:c>
      <x:c r="J229" s="31" t="str"/>
    </x:row>
    <x:row r="230">
      <x:c r="A230" s="31" t="n">
        <x:v>233</x:v>
      </x:c>
      <x:c r="B230" s="31" t="str">
        <x:v>ja</x:v>
      </x:c>
      <x:c r="C230" s="31" t="str">
        <x:v>Golden Sky, Silvery Ocean</x:v>
      </x:c>
      <x:c r="D230" s="31" t="str">
        <x:v>PCG4</x:v>
      </x:c>
      <x:c r="E230" s="31" t="str">
        <x:v>reconciled_components</x:v>
      </x:c>
      <x:c r="F230" s="31" t="n">
        <x:v>106</x:v>
      </x:c>
      <x:c r="G230" s="31" t="str">
        <x:v>Numbered total equals the reconciled printed denominator + beyond-denominator identities + separately listed subset identities.</x:v>
      </x:c>
      <x:c r="H230" s="31" t="str">
        <x:v>https://bulbapedia.bulbagarden.net/wiki/List_of_Japanese_TCG_Expansions</x:v>
      </x:c>
      <x:c r="I230" s="31" t="n">
        <x:v>106</x:v>
      </x:c>
      <x:c r="J230" s="31" t="str"/>
    </x:row>
    <x:row r="231">
      <x:c r="A231" s="31" t="n">
        <x:v>234</x:v>
      </x:c>
      <x:c r="B231" s="31" t="str">
        <x:v>ja</x:v>
      </x:c>
      <x:c r="C231" s="31" t="str">
        <x:v>Mirage Forest</x:v>
      </x:c>
      <x:c r="D231" s="31" t="str">
        <x:v>PCG5</x:v>
      </x:c>
      <x:c r="E231" s="31" t="str">
        <x:v>reconciled_components</x:v>
      </x:c>
      <x:c r="F231" s="31" t="n">
        <x:v>86</x:v>
      </x:c>
      <x:c r="G231" s="31" t="str">
        <x:v>Numbered total equals the reconciled printed denominator + beyond-denominator identities + separately listed subset identities.</x:v>
      </x:c>
      <x:c r="H231" s="31" t="str">
        <x:v>https://bulbapedia.bulbagarden.net/wiki/List_of_Japanese_TCG_Expansions</x:v>
      </x:c>
      <x:c r="I231" s="31" t="n">
        <x:v>86</x:v>
      </x:c>
      <x:c r="J231" s="31" t="str"/>
    </x:row>
    <x:row r="232">
      <x:c r="A232" s="31" t="n">
        <x:v>235</x:v>
      </x:c>
      <x:c r="B232" s="31" t="str">
        <x:v>ja</x:v>
      </x:c>
      <x:c r="C232" s="31" t="str">
        <x:v>Holon Research Tower</x:v>
      </x:c>
      <x:c r="D232" s="31" t="str">
        <x:v>PCG6</x:v>
      </x:c>
      <x:c r="E232" s="31" t="str">
        <x:v>reconciled_components</x:v>
      </x:c>
      <x:c r="F232" s="31" t="n">
        <x:v>86</x:v>
      </x:c>
      <x:c r="G232" s="31" t="str">
        <x:v>Numbered total equals the reconciled printed denominator + beyond-denominator identities + separately listed subset identities.</x:v>
      </x:c>
      <x:c r="H232" s="31" t="str">
        <x:v>https://bulbapedia.bulbagarden.net/wiki/List_of_Japanese_TCG_Expansions</x:v>
      </x:c>
      <x:c r="I232" s="31" t="n">
        <x:v>86</x:v>
      </x:c>
      <x:c r="J232" s="31" t="str"/>
    </x:row>
    <x:row r="233">
      <x:c r="A233" s="31" t="n">
        <x:v>236</x:v>
      </x:c>
      <x:c r="B233" s="31" t="str">
        <x:v>ja</x:v>
      </x:c>
      <x:c r="C233" s="31" t="str">
        <x:v>Holon Phantom</x:v>
      </x:c>
      <x:c r="D233" s="31" t="str">
        <x:v>PCG7</x:v>
      </x:c>
      <x:c r="E233" s="31" t="str">
        <x:v>reconciled_components</x:v>
      </x:c>
      <x:c r="F233" s="31" t="n">
        <x:v>52</x:v>
      </x:c>
      <x:c r="G233" s="31" t="str">
        <x:v>Numbered total equals the reconciled printed denominator + beyond-denominator identities + separately listed subset identities.</x:v>
      </x:c>
      <x:c r="H233" s="31" t="str">
        <x:v>https://bulbapedia.bulbagarden.net/wiki/List_of_Japanese_TCG_Expansions</x:v>
      </x:c>
      <x:c r="I233" s="31" t="n">
        <x:v>52</x:v>
      </x:c>
      <x:c r="J233" s="31" t="str"/>
    </x:row>
    <x:row r="234">
      <x:c r="A234" s="31" t="n">
        <x:v>237</x:v>
      </x:c>
      <x:c r="B234" s="31" t="str">
        <x:v>ja</x:v>
      </x:c>
      <x:c r="C234" s="31" t="str">
        <x:v>Miracle Crystal</x:v>
      </x:c>
      <x:c r="D234" s="31" t="str">
        <x:v>PCG8</x:v>
      </x:c>
      <x:c r="E234" s="31" t="str">
        <x:v>reconciled_components</x:v>
      </x:c>
      <x:c r="F234" s="31" t="n">
        <x:v>75</x:v>
      </x:c>
      <x:c r="G234" s="31" t="str">
        <x:v>Numbered total equals the reconciled printed denominator + beyond-denominator identities + separately listed subset identities.</x:v>
      </x:c>
      <x:c r="H234" s="31" t="str">
        <x:v>https://bulbapedia.bulbagarden.net/wiki/List_of_Japanese_TCG_Expansions</x:v>
      </x:c>
      <x:c r="I234" s="31" t="n">
        <x:v>75</x:v>
      </x:c>
      <x:c r="J234" s="31" t="str"/>
    </x:row>
    <x:row r="235">
      <x:c r="A235" s="31" t="n">
        <x:v>238</x:v>
      </x:c>
      <x:c r="B235" s="31" t="str">
        <x:v>ja</x:v>
      </x:c>
      <x:c r="C235" s="31" t="str">
        <x:v>Offense and Defense of the Furthest Ends</x:v>
      </x:c>
      <x:c r="D235" s="31" t="str">
        <x:v>PCG9</x:v>
      </x:c>
      <x:c r="E235" s="31" t="str">
        <x:v>reconciled_components</x:v>
      </x:c>
      <x:c r="F235" s="31" t="n">
        <x:v>68</x:v>
      </x:c>
      <x:c r="G235" s="31" t="str">
        <x:v>Numbered total equals the reconciled printed denominator + beyond-denominator identities + separately listed subset identities.</x:v>
      </x:c>
      <x:c r="H235" s="31" t="str">
        <x:v>https://bulbapedia.bulbagarden.net/wiki/List_of_Japanese_TCG_Expansions</x:v>
      </x:c>
      <x:c r="I235" s="31" t="n">
        <x:v>68</x:v>
      </x:c>
      <x:c r="J235" s="31" t="str"/>
    </x:row>
    <x:row r="236">
      <x:c r="A236" s="31" t="n">
        <x:v>239</x:v>
      </x:c>
      <x:c r="B236" s="31" t="str">
        <x:v>ja</x:v>
      </x:c>
      <x:c r="C236" s="31" t="str">
        <x:v>Space-Time Creation: Diamond Collection</x:v>
      </x:c>
      <x:c r="D236" s="31" t="str">
        <x:v>DP1-D</x:v>
      </x:c>
      <x:c r="E236" s="31" t="str">
        <x:v>reconciled_components</x:v>
      </x:c>
      <x:c r="F236" s="31" t="n">
        <x:v>117</x:v>
      </x:c>
      <x:c r="G236" s="31" t="str">
        <x:v>Numbered total equals the reconciled printed denominator + beyond-denominator identities + separately listed subset identities.</x:v>
      </x:c>
      <x:c r="H236" s="31" t="str">
        <x:v>https://bulbapedia.bulbagarden.net/wiki/List_of_Japanese_TCG_Expansions</x:v>
      </x:c>
      <x:c r="I236" s="31" t="n">
        <x:v>117</x:v>
      </x:c>
      <x:c r="J236" s="31" t="str"/>
    </x:row>
    <x:row r="237">
      <x:c r="A237" s="31" t="n">
        <x:v>240</x:v>
      </x:c>
      <x:c r="B237" s="31" t="str">
        <x:v>ja</x:v>
      </x:c>
      <x:c r="C237" s="31" t="str">
        <x:v>Space-Time Creation: Pearl Collection</x:v>
      </x:c>
      <x:c r="D237" s="31" t="str">
        <x:v>DP1-P</x:v>
      </x:c>
      <x:c r="E237" s="31" t="str">
        <x:v>reconciled_components</x:v>
      </x:c>
      <x:c r="F237" s="31" t="n">
        <x:v>119</x:v>
      </x:c>
      <x:c r="G237" s="31" t="str">
        <x:v>Numbered total equals the reconciled printed denominator + beyond-denominator identities + separately listed subset identities.</x:v>
      </x:c>
      <x:c r="H237" s="31" t="str">
        <x:v>https://bulbapedia.bulbagarden.net/wiki/List_of_Japanese_TCG_Expansions</x:v>
      </x:c>
      <x:c r="I237" s="31" t="n">
        <x:v>119</x:v>
      </x:c>
      <x:c r="J237" s="31" t="str"/>
    </x:row>
    <x:row r="238">
      <x:c r="A238" s="31" t="n">
        <x:v>241</x:v>
      </x:c>
      <x:c r="B238" s="31" t="str">
        <x:v>ja</x:v>
      </x:c>
      <x:c r="C238" s="31" t="str">
        <x:v>DP-P Promotional cards</x:v>
      </x:c>
      <x:c r="D238" s="31" t="str">
        <x:v>DP-P</x:v>
      </x:c>
      <x:c r="E238" s="31" t="str">
        <x:v>reconciled_components</x:v>
      </x:c>
      <x:c r="F238" s="31" t="n">
        <x:v>127</x:v>
      </x:c>
      <x:c r="G238" s="31" t="str">
        <x:v>Numbered total equals the reconciled printed denominator + beyond-denominator identities + separately listed subset identities.</x:v>
      </x:c>
      <x:c r="H238" s="31" t="str">
        <x:v>https://bulbapedia.bulbagarden.net/wiki/DP-P_Promotional_cards_%28TCG%29</x:v>
      </x:c>
      <x:c r="I238" s="31" t="n">
        <x:v>127</x:v>
      </x:c>
      <x:c r="J238" s="31" t="str"/>
    </x:row>
    <x:row r="239">
      <x:c r="A239" s="31" t="n">
        <x:v>242</x:v>
      </x:c>
      <x:c r="B239" s="31" t="str">
        <x:v>ja</x:v>
      </x:c>
      <x:c r="C239" s="31" t="str">
        <x:v>Secret of the Lakes</x:v>
      </x:c>
      <x:c r="D239" s="31" t="str">
        <x:v>DP2</x:v>
      </x:c>
      <x:c r="E239" s="31" t="str">
        <x:v>reconciled_components</x:v>
      </x:c>
      <x:c r="F239" s="31" t="n">
        <x:v>123</x:v>
      </x:c>
      <x:c r="G239" s="31" t="str">
        <x:v>Numbered total equals the reconciled printed denominator + beyond-denominator identities + separately listed subset identities.</x:v>
      </x:c>
      <x:c r="H239" s="31" t="str">
        <x:v>https://bulbapedia.bulbagarden.net/wiki/List_of_Japanese_TCG_Expansions</x:v>
      </x:c>
      <x:c r="I239" s="31" t="n">
        <x:v>123</x:v>
      </x:c>
      <x:c r="J239" s="31" t="str"/>
    </x:row>
    <x:row r="240">
      <x:c r="A240" s="31" t="n">
        <x:v>243</x:v>
      </x:c>
      <x:c r="B240" s="31" t="str">
        <x:v>ja</x:v>
      </x:c>
      <x:c r="C240" s="31" t="str">
        <x:v>PPP Promotional cards</x:v>
      </x:c>
      <x:c r="D240" s="31" t="str">
        <x:v>PPP</x:v>
      </x:c>
      <x:c r="E240" s="31" t="str">
        <x:v>reconciled_components</x:v>
      </x:c>
      <x:c r="F240" s="31" t="n">
        <x:v>7</x:v>
      </x:c>
      <x:c r="G240" s="31" t="str">
        <x:v>Numbered total equals the reconciled printed denominator + beyond-denominator identities + separately listed subset identities.</x:v>
      </x:c>
      <x:c r="H240" s="31" t="str">
        <x:v>https://bulbapedia.bulbagarden.net/wiki/Category%3AJapanese_promotional_cards</x:v>
      </x:c>
      <x:c r="I240" s="31" t="n">
        <x:v>7</x:v>
      </x:c>
      <x:c r="J240" s="31" t="str"/>
    </x:row>
    <x:row r="241">
      <x:c r="A241" s="31" t="n">
        <x:v>244</x:v>
      </x:c>
      <x:c r="B241" s="31" t="str">
        <x:v>ja</x:v>
      </x:c>
      <x:c r="C241" s="31" t="str">
        <x:v>Shining Darkness</x:v>
      </x:c>
      <x:c r="D241" s="31" t="str">
        <x:v>DP3</x:v>
      </x:c>
      <x:c r="E241" s="31" t="str">
        <x:v>reconciled_components</x:v>
      </x:c>
      <x:c r="F241" s="31" t="n">
        <x:v>119</x:v>
      </x:c>
      <x:c r="G241" s="31" t="str">
        <x:v>Numbered total equals the reconciled printed denominator + beyond-denominator identities + separately listed subset identities.</x:v>
      </x:c>
      <x:c r="H241" s="31" t="str">
        <x:v>https://bulbapedia.bulbagarden.net/wiki/List_of_Japanese_TCG_Expansions</x:v>
      </x:c>
      <x:c r="I241" s="31" t="n">
        <x:v>119</x:v>
      </x:c>
      <x:c r="J241" s="31" t="str"/>
    </x:row>
    <x:row r="242">
      <x:c r="A242" s="31" t="n">
        <x:v>245</x:v>
      </x:c>
      <x:c r="B242" s="31" t="str">
        <x:v>ja</x:v>
      </x:c>
      <x:c r="C242" s="31" t="str">
        <x:v>World Champions Pack</x:v>
      </x:c>
      <x:c r="D242" s="31" t="str">
        <x:v>PCG10</x:v>
      </x:c>
      <x:c r="E242" s="31" t="str">
        <x:v>reconciled_components</x:v>
      </x:c>
      <x:c r="F242" s="31" t="n">
        <x:v>108</x:v>
      </x:c>
      <x:c r="G242" s="31" t="str">
        <x:v>Numbered total equals the reconciled printed denominator + beyond-denominator identities + separately listed subset identities.</x:v>
      </x:c>
      <x:c r="H242" s="31" t="str">
        <x:v>https://bulbapedia.bulbagarden.net/wiki/List_of_Japanese_TCG_Expansions</x:v>
      </x:c>
      <x:c r="I242" s="31" t="n">
        <x:v>108</x:v>
      </x:c>
      <x:c r="J242" s="31" t="str"/>
    </x:row>
    <x:row r="243">
      <x:c r="A243" s="31" t="n">
        <x:v>246</x:v>
      </x:c>
      <x:c r="B243" s="31" t="str">
        <x:v>ja</x:v>
      </x:c>
      <x:c r="C243" s="31" t="str">
        <x:v>Movie 10th Anniversary Premium Sheet</x:v>
      </x:c>
      <x:c r="D243" s="31" t="str">
        <x:v>MOV10</x:v>
      </x:c>
      <x:c r="E243" s="31" t="str">
        <x:v>reconciled_components</x:v>
      </x:c>
      <x:c r="F243" s="31" t="n">
        <x:v>11</x:v>
      </x:c>
      <x:c r="G243" s="31" t="str">
        <x:v>Numbered total equals the reconciled printed denominator + beyond-denominator identities + separately listed subset identities.</x:v>
      </x:c>
      <x:c r="H243" s="31" t="str">
        <x:v>https://bulbapedia.bulbagarden.net/wiki/10th_Movie_Commemoration_Set_%28TCG%29</x:v>
      </x:c>
      <x:c r="I243" s="31" t="n">
        <x:v>11</x:v>
      </x:c>
      <x:c r="J243" s="31" t="str"/>
    </x:row>
    <x:row r="244">
      <x:c r="A244" s="31" t="n">
        <x:v>247</x:v>
      </x:c>
      <x:c r="B244" s="31" t="str">
        <x:v>ja</x:v>
      </x:c>
      <x:c r="C244" s="31" t="str">
        <x:v>Dawn Dash</x:v>
      </x:c>
      <x:c r="D244" s="31" t="str">
        <x:v>DP4-Dawn</x:v>
      </x:c>
      <x:c r="E244" s="31" t="str">
        <x:v>reconciled_components</x:v>
      </x:c>
      <x:c r="F244" s="31" t="n">
        <x:v>70</x:v>
      </x:c>
      <x:c r="G244" s="31" t="str">
        <x:v>Numbered total equals the reconciled printed denominator + beyond-denominator identities + separately listed subset identities.</x:v>
      </x:c>
      <x:c r="H244" s="31" t="str">
        <x:v>https://bulbapedia.bulbagarden.net/wiki/List_of_Japanese_TCG_Expansions</x:v>
      </x:c>
      <x:c r="I244" s="31" t="n">
        <x:v>70</x:v>
      </x:c>
      <x:c r="J244" s="31" t="str"/>
    </x:row>
    <x:row r="245">
      <x:c r="A245" s="31" t="n">
        <x:v>248</x:v>
      </x:c>
      <x:c r="B245" s="31" t="str">
        <x:v>ja</x:v>
      </x:c>
      <x:c r="C245" s="31" t="str">
        <x:v>Moonlit Pursuit</x:v>
      </x:c>
      <x:c r="D245" s="31" t="str">
        <x:v>DP4-Moon</x:v>
      </x:c>
      <x:c r="E245" s="31" t="str">
        <x:v>reconciled_components</x:v>
      </x:c>
      <x:c r="F245" s="31" t="n">
        <x:v>70</x:v>
      </x:c>
      <x:c r="G245" s="31" t="str">
        <x:v>Numbered total equals the reconciled printed denominator + beyond-denominator identities + separately listed subset identities.</x:v>
      </x:c>
      <x:c r="H245" s="31" t="str">
        <x:v>https://bulbapedia.bulbagarden.net/wiki/List_of_Japanese_TCG_Expansions</x:v>
      </x:c>
      <x:c r="I245" s="31" t="n">
        <x:v>70</x:v>
      </x:c>
      <x:c r="J245" s="31" t="str"/>
    </x:row>
    <x:row r="246">
      <x:c r="A246" s="31" t="n">
        <x:v>249</x:v>
      </x:c>
      <x:c r="B246" s="31" t="str">
        <x:v>ja</x:v>
      </x:c>
      <x:c r="C246" s="31" t="str">
        <x:v>Cry from the Mysterious</x:v>
      </x:c>
      <x:c r="D246" s="31" t="str">
        <x:v>DP5-Cry</x:v>
      </x:c>
      <x:c r="E246" s="31" t="str">
        <x:v>reconciled_components</x:v>
      </x:c>
      <x:c r="F246" s="31" t="n">
        <x:v>65</x:v>
      </x:c>
      <x:c r="G246" s="31" t="str">
        <x:v>Numbered total equals the reconciled printed denominator + beyond-denominator identities + separately listed subset identities.</x:v>
      </x:c>
      <x:c r="H246" s="31" t="str">
        <x:v>https://bulbapedia.bulbagarden.net/wiki/List_of_Japanese_TCG_Expansions</x:v>
      </x:c>
      <x:c r="I246" s="31" t="n">
        <x:v>65</x:v>
      </x:c>
      <x:c r="J246" s="31" t="str"/>
    </x:row>
    <x:row r="247">
      <x:c r="A247" s="31" t="n">
        <x:v>250</x:v>
      </x:c>
      <x:c r="B247" s="31" t="str">
        <x:v>ja</x:v>
      </x:c>
      <x:c r="C247" s="31" t="str">
        <x:v>Temple of Anger</x:v>
      </x:c>
      <x:c r="D247" s="31" t="str">
        <x:v>DP5-Temple</x:v>
      </x:c>
      <x:c r="E247" s="31" t="str">
        <x:v>reconciled_components</x:v>
      </x:c>
      <x:c r="F247" s="31" t="n">
        <x:v>65</x:v>
      </x:c>
      <x:c r="G247" s="31" t="str">
        <x:v>Numbered total equals the reconciled printed denominator + beyond-denominator identities + separately listed subset identities.</x:v>
      </x:c>
      <x:c r="H247" s="31" t="str">
        <x:v>https://bulbapedia.bulbagarden.net/wiki/List_of_Japanese_TCG_Expansions</x:v>
      </x:c>
      <x:c r="I247" s="31" t="n">
        <x:v>65</x:v>
      </x:c>
      <x:c r="J247" s="31" t="str"/>
    </x:row>
    <x:row r="248">
      <x:c r="A248" s="31" t="n">
        <x:v>251</x:v>
      </x:c>
      <x:c r="B248" s="31" t="str">
        <x:v>ja</x:v>
      </x:c>
      <x:c r="C248" s="31" t="str">
        <x:v>Intense Fight in the Destroyed Sky</x:v>
      </x:c>
      <x:c r="D248" s="31" t="str">
        <x:v>DP6</x:v>
      </x:c>
      <x:c r="E248" s="31" t="str">
        <x:v>reconciled_components</x:v>
      </x:c>
      <x:c r="F248" s="31" t="n">
        <x:v>92</x:v>
      </x:c>
      <x:c r="G248" s="31" t="str">
        <x:v>Numbered total equals the reconciled printed denominator + beyond-denominator identities + separately listed subset identities.</x:v>
      </x:c>
      <x:c r="H248" s="31" t="str">
        <x:v>https://bulbapedia.bulbagarden.net/wiki/List_of_Japanese_TCG_Expansions</x:v>
      </x:c>
      <x:c r="I248" s="31" t="n">
        <x:v>92</x:v>
      </x:c>
      <x:c r="J248" s="31" t="str"/>
    </x:row>
    <x:row r="249">
      <x:c r="A249" s="31" t="n">
        <x:v>252</x:v>
      </x:c>
      <x:c r="B249" s="31" t="str">
        <x:v>ja</x:v>
      </x:c>
      <x:c r="C249" s="31" t="str">
        <x:v>Movie Commemoration Premium Sheet</x:v>
      </x:c>
      <x:c r="D249" s="31" t="str">
        <x:v>MOV11</x:v>
      </x:c>
      <x:c r="E249" s="31" t="str">
        <x:v>reconciled_components</x:v>
      </x:c>
      <x:c r="F249" s="31" t="n">
        <x:v>9</x:v>
      </x:c>
      <x:c r="G249" s="31" t="str">
        <x:v>Numbered total equals the reconciled printed denominator + beyond-denominator identities + separately listed subset identities.</x:v>
      </x:c>
      <x:c r="H249" s="31" t="str">
        <x:v>https://bulbapedia.bulbagarden.net/wiki/11th_Movie_Commemoration_Set_%28TCG%29</x:v>
      </x:c>
      <x:c r="I249" s="31" t="n">
        <x:v>9</x:v>
      </x:c>
      <x:c r="J249" s="31" t="str"/>
    </x:row>
    <x:row r="250">
      <x:c r="A250" s="31" t="n">
        <x:v>253</x:v>
      </x:c>
      <x:c r="B250" s="31" t="str">
        <x:v>ja</x:v>
      </x:c>
      <x:c r="C250" s="31" t="str">
        <x:v>DPt-P Promotional cards</x:v>
      </x:c>
      <x:c r="D250" s="31" t="str">
        <x:v>DPt-P</x:v>
      </x:c>
      <x:c r="E250" s="31" t="str">
        <x:v>reconciled_components</x:v>
      </x:c>
      <x:c r="F250" s="31" t="n">
        <x:v>51</x:v>
      </x:c>
      <x:c r="G250" s="31" t="str">
        <x:v>Numbered total equals the reconciled printed denominator + beyond-denominator identities + separately listed subset identities.</x:v>
      </x:c>
      <x:c r="H250" s="31" t="str">
        <x:v>https://bulbapedia.bulbagarden.net/wiki/Category%3AJapanese_promotional_cards</x:v>
      </x:c>
      <x:c r="I250" s="31" t="n">
        <x:v>51</x:v>
      </x:c>
      <x:c r="J250" s="31" t="str"/>
    </x:row>
    <x:row r="251">
      <x:c r="A251" s="31" t="n">
        <x:v>254</x:v>
      </x:c>
      <x:c r="B251" s="31" t="str">
        <x:v>ja</x:v>
      </x:c>
      <x:c r="C251" s="31" t="str">
        <x:v>Galactic's Conquest</x:v>
      </x:c>
      <x:c r="D251" s="31" t="str">
        <x:v>DPt1</x:v>
      </x:c>
      <x:c r="E251" s="31" t="str">
        <x:v>reconciled_components</x:v>
      </x:c>
      <x:c r="F251" s="31" t="n">
        <x:v>96</x:v>
      </x:c>
      <x:c r="G251" s="31" t="str">
        <x:v>Numbered total equals the reconciled printed denominator + beyond-denominator identities + separately listed subset identities.</x:v>
      </x:c>
      <x:c r="H251" s="31" t="str"/>
      <x:c r="I251" s="31" t="n">
        <x:v>96</x:v>
      </x:c>
      <x:c r="J251" s="31" t="str"/>
    </x:row>
    <x:row r="252">
      <x:c r="A252" s="31" t="n">
        <x:v>255</x:v>
      </x:c>
      <x:c r="B252" s="31" t="str">
        <x:v>ja</x:v>
      </x:c>
      <x:c r="C252" s="31" t="str">
        <x:v>Bonds to the End of Time</x:v>
      </x:c>
      <x:c r="D252" s="31" t="str">
        <x:v>DPt2</x:v>
      </x:c>
      <x:c r="E252" s="31" t="str">
        <x:v>reconciled_components</x:v>
      </x:c>
      <x:c r="F252" s="31" t="n">
        <x:v>90</x:v>
      </x:c>
      <x:c r="G252" s="31" t="str">
        <x:v>Numbered total equals the reconciled printed denominator + beyond-denominator identities + separately listed subset identities.</x:v>
      </x:c>
      <x:c r="H252" s="31" t="str"/>
      <x:c r="I252" s="31" t="n">
        <x:v>90</x:v>
      </x:c>
      <x:c r="J252" s="31" t="str"/>
    </x:row>
    <x:row r="253">
      <x:c r="A253" s="31" t="n">
        <x:v>256</x:v>
      </x:c>
      <x:c r="B253" s="31" t="str">
        <x:v>ja</x:v>
      </x:c>
      <x:c r="C253" s="31" t="str">
        <x:v>Beat of the Frontier</x:v>
      </x:c>
      <x:c r="D253" s="31" t="str">
        <x:v>DPt3</x:v>
      </x:c>
      <x:c r="E253" s="31" t="str">
        <x:v>reconciled_components</x:v>
      </x:c>
      <x:c r="F253" s="31" t="n">
        <x:v>100</x:v>
      </x:c>
      <x:c r="G253" s="31" t="str">
        <x:v>Numbered total equals the reconciled printed denominator + beyond-denominator identities + separately listed subset identities.</x:v>
      </x:c>
      <x:c r="H253" s="31" t="str"/>
      <x:c r="I253" s="31" t="n">
        <x:v>100</x:v>
      </x:c>
      <x:c r="J253" s="31" t="str"/>
    </x:row>
    <x:row r="254">
      <x:c r="A254" s="31" t="n">
        <x:v>257</x:v>
      </x:c>
      <x:c r="B254" s="31" t="str">
        <x:v>ja</x:v>
      </x:c>
      <x:c r="C254" s="31" t="str">
        <x:v>Advent of Arceus</x:v>
      </x:c>
      <x:c r="D254" s="31" t="str">
        <x:v>DPt4</x:v>
      </x:c>
      <x:c r="E254" s="31" t="str">
        <x:v>reconciled_components</x:v>
      </x:c>
      <x:c r="F254" s="31" t="n">
        <x:v>90</x:v>
      </x:c>
      <x:c r="G254" s="31" t="str">
        <x:v>Numbered total equals the reconciled printed denominator + beyond-denominator identities + separately listed subset identities.</x:v>
      </x:c>
      <x:c r="H254" s="31" t="str"/>
      <x:c r="I254" s="31" t="n">
        <x:v>90</x:v>
      </x:c>
      <x:c r="J254" s="31" t="str"/>
    </x:row>
    <x:row r="255">
      <x:c r="A255" s="31" t="n">
        <x:v>258</x:v>
      </x:c>
      <x:c r="B255" s="31" t="str">
        <x:v>ja</x:v>
      </x:c>
      <x:c r="C255" s="31" t="str">
        <x:v>L-P Promotional cards</x:v>
      </x:c>
      <x:c r="D255" s="31" t="str">
        <x:v>L-P</x:v>
      </x:c>
      <x:c r="E255" s="31" t="str">
        <x:v>reconciled_components</x:v>
      </x:c>
      <x:c r="F255" s="31" t="n">
        <x:v>79</x:v>
      </x:c>
      <x:c r="G255" s="31" t="str">
        <x:v>Numbered total equals the reconciled printed denominator + beyond-denominator identities + separately listed subset identities.</x:v>
      </x:c>
      <x:c r="H255" s="31" t="str">
        <x:v>https://bulbapedia.bulbagarden.net/wiki/Category%3AJapanese_promotional_cards</x:v>
      </x:c>
      <x:c r="I255" s="31" t="n">
        <x:v>79</x:v>
      </x:c>
      <x:c r="J255" s="31" t="str"/>
    </x:row>
    <x:row r="256">
      <x:c r="A256" s="31" t="n">
        <x:v>259</x:v>
      </x:c>
      <x:c r="B256" s="31" t="str">
        <x:v>ja</x:v>
      </x:c>
      <x:c r="C256" s="31" t="str">
        <x:v>HeartGold Collection</x:v>
      </x:c>
      <x:c r="D256" s="31" t="str">
        <x:v>L1a</x:v>
      </x:c>
      <x:c r="E256" s="31" t="str">
        <x:v>reconciled_components</x:v>
      </x:c>
      <x:c r="F256" s="31" t="n">
        <x:v>71</x:v>
      </x:c>
      <x:c r="G256" s="31" t="str">
        <x:v>Numbered total equals the reconciled printed denominator + beyond-denominator identities + separately listed subset identities.</x:v>
      </x:c>
      <x:c r="H256" s="31" t="str">
        <x:v>https://bulbapedia.bulbagarden.net/wiki/List_of_Japanese_TCG_Expansions</x:v>
      </x:c>
      <x:c r="I256" s="31" t="n">
        <x:v>71</x:v>
      </x:c>
      <x:c r="J256" s="31" t="str"/>
    </x:row>
    <x:row r="257">
      <x:c r="A257" s="31" t="n">
        <x:v>260</x:v>
      </x:c>
      <x:c r="B257" s="31" t="str">
        <x:v>ja</x:v>
      </x:c>
      <x:c r="C257" s="31" t="str">
        <x:v>SoulSilver Collection</x:v>
      </x:c>
      <x:c r="D257" s="31" t="str">
        <x:v>L1b</x:v>
      </x:c>
      <x:c r="E257" s="31" t="str">
        <x:v>reconciled_components</x:v>
      </x:c>
      <x:c r="F257" s="31" t="n">
        <x:v>71</x:v>
      </x:c>
      <x:c r="G257" s="31" t="str">
        <x:v>Numbered total equals the reconciled printed denominator + beyond-denominator identities + separately listed subset identities.</x:v>
      </x:c>
      <x:c r="H257" s="31" t="str">
        <x:v>https://bulbapedia.bulbagarden.net/wiki/List_of_Japanese_TCG_Expansions</x:v>
      </x:c>
      <x:c r="I257" s="31" t="n">
        <x:v>71</x:v>
      </x:c>
      <x:c r="J257" s="31" t="str"/>
    </x:row>
    <x:row r="258">
      <x:c r="A258" s="31" t="n">
        <x:v>261</x:v>
      </x:c>
      <x:c r="B258" s="31" t="str">
        <x:v>ja</x:v>
      </x:c>
      <x:c r="C258" s="31" t="str">
        <x:v>Reviving Legends</x:v>
      </x:c>
      <x:c r="D258" s="31" t="str">
        <x:v>L2</x:v>
      </x:c>
      <x:c r="E258" s="31" t="str">
        <x:v>reconciled_components</x:v>
      </x:c>
      <x:c r="F258" s="31" t="n">
        <x:v>81</x:v>
      </x:c>
      <x:c r="G258" s="31" t="str">
        <x:v>Numbered total equals the reconciled printed denominator + beyond-denominator identities + separately listed subset identities.</x:v>
      </x:c>
      <x:c r="H258" s="31" t="str"/>
      <x:c r="I258" s="31" t="n">
        <x:v>81</x:v>
      </x:c>
      <x:c r="J258" s="31" t="str"/>
    </x:row>
    <x:row r="259">
      <x:c r="A259" s="31" t="n">
        <x:v>262</x:v>
      </x:c>
      <x:c r="B259" s="31" t="str">
        <x:v>ja</x:v>
      </x:c>
      <x:c r="C259" s="31" t="str">
        <x:v>Lost Link</x:v>
      </x:c>
      <x:c r="D259" s="31" t="str">
        <x:v>LL</x:v>
      </x:c>
      <x:c r="E259" s="31" t="str">
        <x:v>reconciled_components</x:v>
      </x:c>
      <x:c r="F259" s="31" t="n">
        <x:v>40</x:v>
      </x:c>
      <x:c r="G259" s="31" t="str">
        <x:v>Numbered total equals the reconciled printed denominator + beyond-denominator identities + separately listed subset identities.</x:v>
      </x:c>
      <x:c r="H259" s="31" t="str"/>
      <x:c r="I259" s="31" t="n">
        <x:v>40</x:v>
      </x:c>
      <x:c r="J259" s="31" t="str"/>
    </x:row>
    <x:row r="260">
      <x:c r="A260" s="31" t="n">
        <x:v>263</x:v>
      </x:c>
      <x:c r="B260" s="31" t="str">
        <x:v>ja</x:v>
      </x:c>
      <x:c r="C260" s="31" t="str">
        <x:v>Clash at the Summit</x:v>
      </x:c>
      <x:c r="D260" s="31" t="str">
        <x:v>L3</x:v>
      </x:c>
      <x:c r="E260" s="31" t="str">
        <x:v>reconciled_components</x:v>
      </x:c>
      <x:c r="F260" s="31" t="n">
        <x:v>81</x:v>
      </x:c>
      <x:c r="G260" s="31" t="str">
        <x:v>Numbered total equals the reconciled printed denominator + beyond-denominator identities + separately listed subset identities.</x:v>
      </x:c>
      <x:c r="H260" s="31" t="str"/>
      <x:c r="I260" s="31" t="n">
        <x:v>81</x:v>
      </x:c>
      <x:c r="J260" s="31" t="str"/>
    </x:row>
    <x:row r="261">
      <x:c r="A261" s="31" t="n">
        <x:v>264</x:v>
      </x:c>
      <x:c r="B261" s="31" t="str">
        <x:v>ja</x:v>
      </x:c>
      <x:c r="C261" s="31" t="str">
        <x:v>World Collection</x:v>
      </x:c>
      <x:c r="D261" s="31" t="str">
        <x:v>WC10</x:v>
      </x:c>
      <x:c r="E261" s="31" t="str">
        <x:v>reconciled_components</x:v>
      </x:c>
      <x:c r="F261" s="31" t="n">
        <x:v>10</x:v>
      </x:c>
      <x:c r="G261" s="31" t="str">
        <x:v>Numbered total equals the reconciled printed denominator + beyond-denominator identities + separately listed subset identities.</x:v>
      </x:c>
      <x:c r="H261" s="31" t="str">
        <x:v>https://bulbapedia.bulbagarden.net/wiki/Pikachu_World_%28TCG%29</x:v>
      </x:c>
      <x:c r="I261" s="31" t="n">
        <x:v>10</x:v>
      </x:c>
      <x:c r="J261" s="31" t="str"/>
    </x:row>
    <x:row r="262">
      <x:c r="A262" s="31" t="n">
        <x:v>265</x:v>
      </x:c>
      <x:c r="B262" s="31" t="str">
        <x:v>ja</x:v>
      </x:c>
      <x:c r="C262" s="31" t="str">
        <x:v>Collection Sheet Journey Partners</x:v>
      </x:c>
      <x:c r="D262" s="31" t="str">
        <x:v>CS1</x:v>
      </x:c>
      <x:c r="E262" s="31" t="str">
        <x:v>reconciled_components</x:v>
      </x:c>
      <x:c r="F262" s="31" t="n">
        <x:v>9</x:v>
      </x:c>
      <x:c r="G262" s="31" t="str">
        <x:v>Numbered total equals the reconciled printed denominator + beyond-denominator identities + separately listed subset identities.</x:v>
      </x:c>
      <x:c r="H262" s="31" t="str"/>
      <x:c r="I262" s="31" t="n">
        <x:v>9</x:v>
      </x:c>
      <x:c r="J262" s="31" t="str"/>
    </x:row>
    <x:row r="263">
      <x:c r="A263" s="31" t="n">
        <x:v>266</x:v>
      </x:c>
      <x:c r="B263" s="31" t="str">
        <x:v>ja</x:v>
      </x:c>
      <x:c r="C263" s="31" t="str">
        <x:v>BW-P Promotional cards</x:v>
      </x:c>
      <x:c r="D263" s="31" t="str">
        <x:v>BW-P</x:v>
      </x:c>
      <x:c r="E263" s="31" t="str">
        <x:v>reconciled_components</x:v>
      </x:c>
      <x:c r="F263" s="31" t="n">
        <x:v>229</x:v>
      </x:c>
      <x:c r="G263" s="31" t="str">
        <x:v>Numbered total equals the reconciled printed denominator + beyond-denominator identities + separately listed subset identities.</x:v>
      </x:c>
      <x:c r="H263" s="31" t="str">
        <x:v>https://bulbapedia.bulbagarden.net/wiki/Category%3AJapanese_promotional_cards</x:v>
      </x:c>
      <x:c r="I263" s="31" t="n">
        <x:v>229</x:v>
      </x:c>
      <x:c r="J263" s="31" t="str"/>
    </x:row>
    <x:row r="264">
      <x:c r="A264" s="31" t="n">
        <x:v>267</x:v>
      </x:c>
      <x:c r="B264" s="31" t="str">
        <x:v>ja</x:v>
      </x:c>
      <x:c r="C264" s="31" t="str">
        <x:v>Black Collection</x:v>
      </x:c>
      <x:c r="D264" s="31" t="str">
        <x:v>BW1-Black</x:v>
      </x:c>
      <x:c r="E264" s="31" t="str">
        <x:v>reconciled_components</x:v>
      </x:c>
      <x:c r="F264" s="31" t="n">
        <x:v>56</x:v>
      </x:c>
      <x:c r="G264" s="31" t="str">
        <x:v>Numbered total equals the reconciled printed denominator + beyond-denominator identities + separately listed subset identities.</x:v>
      </x:c>
      <x:c r="H264" s="31" t="str">
        <x:v>https://bulbapedia.bulbagarden.net/wiki/BW1</x:v>
      </x:c>
      <x:c r="I264" s="31" t="n">
        <x:v>56</x:v>
      </x:c>
      <x:c r="J264" s="31" t="str"/>
    </x:row>
    <x:row r="265">
      <x:c r="A265" s="31" t="n">
        <x:v>268</x:v>
      </x:c>
      <x:c r="B265" s="31" t="str">
        <x:v>ja</x:v>
      </x:c>
      <x:c r="C265" s="31" t="str">
        <x:v>White Collection</x:v>
      </x:c>
      <x:c r="D265" s="31" t="str">
        <x:v>BW1-White</x:v>
      </x:c>
      <x:c r="E265" s="31" t="str">
        <x:v>reconciled_components</x:v>
      </x:c>
      <x:c r="F265" s="31" t="n">
        <x:v>56</x:v>
      </x:c>
      <x:c r="G265" s="31" t="str">
        <x:v>Numbered total equals the reconciled printed denominator + beyond-denominator identities + separately listed subset identities.</x:v>
      </x:c>
      <x:c r="H265" s="31" t="str">
        <x:v>https://bulbapedia.bulbagarden.net/wiki/BW1</x:v>
      </x:c>
      <x:c r="I265" s="31" t="n">
        <x:v>56</x:v>
      </x:c>
      <x:c r="J265" s="31" t="str"/>
    </x:row>
    <x:row r="266">
      <x:c r="A266" s="31" t="n">
        <x:v>269</x:v>
      </x:c>
      <x:c r="B266" s="31" t="str">
        <x:v>ja</x:v>
      </x:c>
      <x:c r="C266" s="31" t="str">
        <x:v>Red Collection</x:v>
      </x:c>
      <x:c r="D266" s="31" t="str">
        <x:v>BW2</x:v>
      </x:c>
      <x:c r="E266" s="31" t="str">
        <x:v>reconciled_components</x:v>
      </x:c>
      <x:c r="F266" s="31" t="n">
        <x:v>72</x:v>
      </x:c>
      <x:c r="G266" s="31" t="str">
        <x:v>Numbered total equals the reconciled printed denominator + beyond-denominator identities + separately listed subset identities.</x:v>
      </x:c>
      <x:c r="H266" s="31" t="str"/>
      <x:c r="I266" s="31" t="n">
        <x:v>72</x:v>
      </x:c>
      <x:c r="J266" s="31" t="str"/>
    </x:row>
    <x:row r="267">
      <x:c r="A267" s="31" t="n">
        <x:v>270</x:v>
      </x:c>
      <x:c r="B267" s="31" t="str">
        <x:v>ja</x:v>
      </x:c>
      <x:c r="C267" s="31" t="str">
        <x:v>Hail Blizzard</x:v>
      </x:c>
      <x:c r="D267" s="31" t="str">
        <x:v>BW3-Hail</x:v>
      </x:c>
      <x:c r="E267" s="31" t="str">
        <x:v>reconciled_components</x:v>
      </x:c>
      <x:c r="F267" s="31" t="n">
        <x:v>57</x:v>
      </x:c>
      <x:c r="G267" s="31" t="str">
        <x:v>Numbered total equals the reconciled printed denominator + beyond-denominator identities + separately listed subset identities.</x:v>
      </x:c>
      <x:c r="H267" s="31" t="str">
        <x:v>https://bulbapedia.bulbagarden.net/wiki/Next_Destinies_%28TCG%29</x:v>
      </x:c>
      <x:c r="I267" s="31" t="n">
        <x:v>57</x:v>
      </x:c>
      <x:c r="J267" s="31" t="str"/>
    </x:row>
    <x:row r="268">
      <x:c r="A268" s="31" t="n">
        <x:v>271</x:v>
      </x:c>
      <x:c r="B268" s="31" t="str">
        <x:v>ja</x:v>
      </x:c>
      <x:c r="C268" s="31" t="str">
        <x:v>Psycho Drive</x:v>
      </x:c>
      <x:c r="D268" s="31" t="str">
        <x:v>BW3-Psycho</x:v>
      </x:c>
      <x:c r="E268" s="31" t="str">
        <x:v>reconciled_components</x:v>
      </x:c>
      <x:c r="F268" s="31" t="n">
        <x:v>57</x:v>
      </x:c>
      <x:c r="G268" s="31" t="str">
        <x:v>Numbered total equals the reconciled printed denominator + beyond-denominator identities + separately listed subset identities.</x:v>
      </x:c>
      <x:c r="H268" s="31" t="str">
        <x:v>https://bulbapedia.bulbagarden.net/wiki/Next_Destinies_%28TCG%29</x:v>
      </x:c>
      <x:c r="I268" s="31" t="n">
        <x:v>57</x:v>
      </x:c>
      <x:c r="J268" s="31" t="str"/>
    </x:row>
    <x:row r="269">
      <x:c r="A269" s="31" t="n">
        <x:v>272</x:v>
      </x:c>
      <x:c r="B269" s="31" t="str">
        <x:v>ja</x:v>
      </x:c>
      <x:c r="C269" s="31" t="str">
        <x:v>Dark Rush</x:v>
      </x:c>
      <x:c r="D269" s="31" t="str">
        <x:v>BW4</x:v>
      </x:c>
      <x:c r="E269" s="31" t="str">
        <x:v>reconciled_components</x:v>
      </x:c>
      <x:c r="F269" s="31" t="n">
        <x:v>76</x:v>
      </x:c>
      <x:c r="G269" s="31" t="str">
        <x:v>Numbered total equals the reconciled printed denominator + beyond-denominator identities + separately listed subset identities.</x:v>
      </x:c>
      <x:c r="H269" s="31" t="str"/>
      <x:c r="I269" s="31" t="n">
        <x:v>76</x:v>
      </x:c>
      <x:c r="J269" s="31" t="str"/>
    </x:row>
    <x:row r="270">
      <x:c r="A270" s="31" t="n">
        <x:v>273</x:v>
      </x:c>
      <x:c r="B270" s="31" t="str">
        <x:v>ja</x:v>
      </x:c>
      <x:c r="C270" s="31" t="str">
        <x:v>Dragon Selection</x:v>
      </x:c>
      <x:c r="D270" s="31" t="str">
        <x:v>DS</x:v>
      </x:c>
      <x:c r="E270" s="31" t="str">
        <x:v>reconciled_components</x:v>
      </x:c>
      <x:c r="F270" s="31" t="n">
        <x:v>20</x:v>
      </x:c>
      <x:c r="G270" s="31" t="str">
        <x:v>Numbered total equals the reconciled printed denominator + beyond-denominator identities + separately listed subset identities.</x:v>
      </x:c>
      <x:c r="H270" s="31" t="str"/>
      <x:c r="I270" s="31" t="n">
        <x:v>20</x:v>
      </x:c>
      <x:c r="J270" s="31" t="str"/>
    </x:row>
    <x:row r="271">
      <x:c r="A271" s="31" t="n">
        <x:v>274</x:v>
      </x:c>
      <x:c r="B271" s="31" t="str">
        <x:v>ja</x:v>
      </x:c>
      <x:c r="C271" s="31" t="str">
        <x:v>Dragon Blade</x:v>
      </x:c>
      <x:c r="D271" s="31" t="str">
        <x:v>BW5-Blade</x:v>
      </x:c>
      <x:c r="E271" s="31" t="str">
        <x:v>reconciled_components</x:v>
      </x:c>
      <x:c r="F271" s="31" t="n">
        <x:v>55</x:v>
      </x:c>
      <x:c r="G271" s="31" t="str">
        <x:v>Numbered total equals the reconciled printed denominator + beyond-denominator identities + separately listed subset identities.</x:v>
      </x:c>
      <x:c r="H271" s="31" t="str">
        <x:v>https://bulbapedia.bulbagarden.net/wiki/Dragons_Exalted_%28TCG%29</x:v>
      </x:c>
      <x:c r="I271" s="31" t="n">
        <x:v>55</x:v>
      </x:c>
      <x:c r="J271" s="31" t="str"/>
    </x:row>
    <x:row r="272">
      <x:c r="A272" s="31" t="n">
        <x:v>275</x:v>
      </x:c>
      <x:c r="B272" s="31" t="str">
        <x:v>ja</x:v>
      </x:c>
      <x:c r="C272" s="31" t="str">
        <x:v>Dragon Blast</x:v>
      </x:c>
      <x:c r="D272" s="31" t="str">
        <x:v>BW5-Blast</x:v>
      </x:c>
      <x:c r="E272" s="31" t="str">
        <x:v>reconciled_components</x:v>
      </x:c>
      <x:c r="F272" s="31" t="n">
        <x:v>55</x:v>
      </x:c>
      <x:c r="G272" s="31" t="str">
        <x:v>Numbered total equals the reconciled printed denominator + beyond-denominator identities + separately listed subset identities.</x:v>
      </x:c>
      <x:c r="H272" s="31" t="str">
        <x:v>https://bulbapedia.bulbagarden.net/wiki/Dragons_Exalted_%28TCG%29</x:v>
      </x:c>
      <x:c r="I272" s="31" t="n">
        <x:v>55</x:v>
      </x:c>
      <x:c r="J272" s="31" t="str"/>
    </x:row>
    <x:row r="273">
      <x:c r="A273" s="31" t="n">
        <x:v>276</x:v>
      </x:c>
      <x:c r="B273" s="31" t="str">
        <x:v>ja</x:v>
      </x:c>
      <x:c r="C273" s="31" t="str">
        <x:v>Cold Flare</x:v>
      </x:c>
      <x:c r="D273" s="31" t="str">
        <x:v>BW6-Cold</x:v>
      </x:c>
      <x:c r="E273" s="31" t="str">
        <x:v>reconciled_components</x:v>
      </x:c>
      <x:c r="F273" s="31" t="n">
        <x:v>65</x:v>
      </x:c>
      <x:c r="G273" s="31" t="str">
        <x:v>Numbered total equals the reconciled printed denominator + beyond-denominator identities + separately listed subset identities.</x:v>
      </x:c>
      <x:c r="H273" s="31" t="str">
        <x:v>https://bulbapedia.bulbagarden.net/wiki/List_of_Japanese_TCG_Expansions</x:v>
      </x:c>
      <x:c r="I273" s="31" t="n">
        <x:v>65</x:v>
      </x:c>
      <x:c r="J273" s="31" t="str"/>
    </x:row>
    <x:row r="274">
      <x:c r="A274" s="31" t="n">
        <x:v>277</x:v>
      </x:c>
      <x:c r="B274" s="31" t="str">
        <x:v>ja</x:v>
      </x:c>
      <x:c r="C274" s="31" t="str">
        <x:v>Freeze Bolt</x:v>
      </x:c>
      <x:c r="D274" s="31" t="str">
        <x:v>BW6-Freeze</x:v>
      </x:c>
      <x:c r="E274" s="31" t="str">
        <x:v>reconciled_components</x:v>
      </x:c>
      <x:c r="F274" s="31" t="n">
        <x:v>65</x:v>
      </x:c>
      <x:c r="G274" s="31" t="str">
        <x:v>Numbered total equals the reconciled printed denominator + beyond-denominator identities + separately listed subset identities.</x:v>
      </x:c>
      <x:c r="H274" s="31" t="str">
        <x:v>https://bulbapedia.bulbagarden.net/wiki/List_of_Japanese_TCG_Expansions</x:v>
      </x:c>
      <x:c r="I274" s="31" t="n">
        <x:v>65</x:v>
      </x:c>
      <x:c r="J274" s="31" t="str"/>
    </x:row>
    <x:row r="275">
      <x:c r="A275" s="31" t="n">
        <x:v>278</x:v>
      </x:c>
      <x:c r="B275" s="31" t="str">
        <x:v>ja</x:v>
      </x:c>
      <x:c r="C275" s="31" t="str">
        <x:v>Plasma Gale</x:v>
      </x:c>
      <x:c r="D275" s="31" t="str">
        <x:v>BW7</x:v>
      </x:c>
      <x:c r="E275" s="31" t="str">
        <x:v>reconciled_components</x:v>
      </x:c>
      <x:c r="F275" s="31" t="n">
        <x:v>79</x:v>
      </x:c>
      <x:c r="G275" s="31" t="str">
        <x:v>Numbered total equals the reconciled printed denominator + beyond-denominator identities + separately listed subset identities.</x:v>
      </x:c>
      <x:c r="H275" s="31" t="str"/>
      <x:c r="I275" s="31" t="n">
        <x:v>79</x:v>
      </x:c>
      <x:c r="J275" s="31" t="str"/>
    </x:row>
    <x:row r="276">
      <x:c r="A276" s="31" t="n">
        <x:v>279</x:v>
      </x:c>
      <x:c r="B276" s="31" t="str">
        <x:v>ja</x:v>
      </x:c>
      <x:c r="C276" s="31" t="str">
        <x:v>Spiral Force</x:v>
      </x:c>
      <x:c r="D276" s="31" t="str">
        <x:v>BW8-Spiral</x:v>
      </x:c>
      <x:c r="E276" s="31" t="str">
        <x:v>reconciled_components</x:v>
      </x:c>
      <x:c r="F276" s="31" t="n">
        <x:v>58</x:v>
      </x:c>
      <x:c r="G276" s="31" t="str">
        <x:v>Numbered total equals the reconciled printed denominator + beyond-denominator identities + separately listed subset identities.</x:v>
      </x:c>
      <x:c r="H276" s="31" t="str">
        <x:v>https://bulbapedia.bulbagarden.net/wiki/List_of_Japanese_TCG_Expansions</x:v>
      </x:c>
      <x:c r="I276" s="31" t="n">
        <x:v>58</x:v>
      </x:c>
      <x:c r="J276" s="31" t="str"/>
    </x:row>
    <x:row r="277">
      <x:c r="A277" s="31" t="n">
        <x:v>280</x:v>
      </x:c>
      <x:c r="B277" s="31" t="str">
        <x:v>ja</x:v>
      </x:c>
      <x:c r="C277" s="31" t="str">
        <x:v>Thunder Knuckle</x:v>
      </x:c>
      <x:c r="D277" s="31" t="str">
        <x:v>BW8-Thunder</x:v>
      </x:c>
      <x:c r="E277" s="31" t="str">
        <x:v>reconciled_components</x:v>
      </x:c>
      <x:c r="F277" s="31" t="n">
        <x:v>58</x:v>
      </x:c>
      <x:c r="G277" s="31" t="str">
        <x:v>Numbered total equals the reconciled printed denominator + beyond-denominator identities + separately listed subset identities.</x:v>
      </x:c>
      <x:c r="H277" s="31" t="str">
        <x:v>https://bulbapedia.bulbagarden.net/wiki/List_of_Japanese_TCG_Expansions</x:v>
      </x:c>
      <x:c r="I277" s="31" t="n">
        <x:v>58</x:v>
      </x:c>
      <x:c r="J277" s="31" t="str"/>
    </x:row>
    <x:row r="278">
      <x:c r="A278" s="31" t="n">
        <x:v>281</x:v>
      </x:c>
      <x:c r="B278" s="31" t="str">
        <x:v>ja</x:v>
      </x:c>
      <x:c r="C278" s="31" t="str">
        <x:v>Shiny Collection</x:v>
      </x:c>
      <x:c r="D278" s="31" t="str">
        <x:v>SC</x:v>
      </x:c>
      <x:c r="E278" s="31" t="str">
        <x:v>reconciled_components</x:v>
      </x:c>
      <x:c r="F278" s="31" t="n">
        <x:v>25</x:v>
      </x:c>
      <x:c r="G278" s="31" t="str">
        <x:v>Numbered total equals the reconciled printed denominator + beyond-denominator identities + separately listed subset identities.</x:v>
      </x:c>
      <x:c r="H278" s="31" t="str"/>
      <x:c r="I278" s="31" t="n">
        <x:v>25</x:v>
      </x:c>
      <x:c r="J278" s="31" t="str"/>
    </x:row>
    <x:row r="279">
      <x:c r="A279" s="31" t="n">
        <x:v>282</x:v>
      </x:c>
      <x:c r="B279" s="31" t="str">
        <x:v>ja</x:v>
      </x:c>
      <x:c r="C279" s="31" t="str">
        <x:v>Megalo Cannon</x:v>
      </x:c>
      <x:c r="D279" s="31" t="str">
        <x:v>BW9</x:v>
      </x:c>
      <x:c r="E279" s="31" t="str">
        <x:v>reconciled_components</x:v>
      </x:c>
      <x:c r="F279" s="31" t="n">
        <x:v>86</x:v>
      </x:c>
      <x:c r="G279" s="31" t="str">
        <x:v>Numbered total equals the reconciled printed denominator + beyond-denominator identities + separately listed subset identities.</x:v>
      </x:c>
      <x:c r="H279" s="31" t="str"/>
      <x:c r="I279" s="31" t="n">
        <x:v>86</x:v>
      </x:c>
      <x:c r="J279" s="31" t="str"/>
    </x:row>
    <x:row r="280">
      <x:c r="A280" s="31" t="n">
        <x:v>283</x:v>
      </x:c>
      <x:c r="B280" s="31" t="str">
        <x:v>ja</x:v>
      </x:c>
      <x:c r="C280" s="31" t="str">
        <x:v>EX Battle Boost</x:v>
      </x:c>
      <x:c r="D280" s="31" t="str">
        <x:v>EBB</x:v>
      </x:c>
      <x:c r="E280" s="31" t="str">
        <x:v>reconciled_components</x:v>
      </x:c>
      <x:c r="F280" s="31" t="n">
        <x:v>99</x:v>
      </x:c>
      <x:c r="G280" s="31" t="str">
        <x:v>Numbered total equals the reconciled printed denominator + beyond-denominator identities + separately listed subset identities.</x:v>
      </x:c>
      <x:c r="H280" s="31" t="str"/>
      <x:c r="I280" s="31" t="n">
        <x:v>99</x:v>
      </x:c>
      <x:c r="J280" s="31" t="str"/>
    </x:row>
    <x:row r="281">
      <x:c r="A281" s="31" t="n">
        <x:v>284</x:v>
      </x:c>
      <x:c r="B281" s="31" t="str">
        <x:v>ja</x:v>
      </x:c>
      <x:c r="C281" s="31" t="str">
        <x:v>XY-P Promotional cards</x:v>
      </x:c>
      <x:c r="D281" s="31" t="str">
        <x:v>XY-P</x:v>
      </x:c>
      <x:c r="E281" s="31" t="str">
        <x:v>reconciled_components</x:v>
      </x:c>
      <x:c r="F281" s="31" t="n">
        <x:v>453</x:v>
      </x:c>
      <x:c r="G281" s="31" t="str">
        <x:v>Numbered total equals the reconciled printed denominator + beyond-denominator identities + separately listed subset identities.</x:v>
      </x:c>
      <x:c r="H281" s="31" t="str">
        <x:v>https://bulbapedia.bulbagarden.net/wiki/Category%3AJapanese_promotional_cards</x:v>
      </x:c>
      <x:c r="I281" s="31" t="n">
        <x:v>453</x:v>
      </x:c>
      <x:c r="J281" s="31" t="str"/>
    </x:row>
    <x:row r="282">
      <x:c r="A282" s="31" t="n">
        <x:v>285</x:v>
      </x:c>
      <x:c r="B282" s="31" t="str">
        <x:v>ja</x:v>
      </x:c>
      <x:c r="C282" s="31" t="str">
        <x:v>Collection X</x:v>
      </x:c>
      <x:c r="D282" s="31" t="str">
        <x:v>XY1-X</x:v>
      </x:c>
      <x:c r="E282" s="31" t="str">
        <x:v>reconciled_components</x:v>
      </x:c>
      <x:c r="F282" s="31" t="n">
        <x:v>63</x:v>
      </x:c>
      <x:c r="G282" s="31" t="str">
        <x:v>Numbered total equals the reconciled printed denominator + beyond-denominator identities + separately listed subset identities.</x:v>
      </x:c>
      <x:c r="H282" s="31" t="str">
        <x:v>https://bulbapedia.bulbagarden.net/wiki/List_of_Japanese_TCG_Expansions</x:v>
      </x:c>
      <x:c r="I282" s="31" t="n">
        <x:v>63</x:v>
      </x:c>
      <x:c r="J282" s="31" t="str"/>
    </x:row>
    <x:row r="283">
      <x:c r="A283" s="31" t="n">
        <x:v>286</x:v>
      </x:c>
      <x:c r="B283" s="31" t="str">
        <x:v>ja</x:v>
      </x:c>
      <x:c r="C283" s="31" t="str">
        <x:v>Collection Y</x:v>
      </x:c>
      <x:c r="D283" s="31" t="str">
        <x:v>XY1-Y</x:v>
      </x:c>
      <x:c r="E283" s="31" t="str">
        <x:v>reconciled_components</x:v>
      </x:c>
      <x:c r="F283" s="31" t="n">
        <x:v>63</x:v>
      </x:c>
      <x:c r="G283" s="31" t="str">
        <x:v>Numbered total equals the reconciled printed denominator + beyond-denominator identities + separately listed subset identities.</x:v>
      </x:c>
      <x:c r="H283" s="31" t="str">
        <x:v>https://bulbapedia.bulbagarden.net/wiki/List_of_Japanese_TCG_Expansions</x:v>
      </x:c>
      <x:c r="I283" s="31" t="n">
        <x:v>63</x:v>
      </x:c>
      <x:c r="J283" s="31" t="str"/>
    </x:row>
    <x:row r="284">
      <x:c r="A284" s="31" t="n">
        <x:v>287</x:v>
      </x:c>
      <x:c r="B284" s="31" t="str">
        <x:v>ja</x:v>
      </x:c>
      <x:c r="C284" s="31" t="str">
        <x:v>Wild Blaze</x:v>
      </x:c>
      <x:c r="D284" s="31" t="str">
        <x:v>XY2</x:v>
      </x:c>
      <x:c r="E284" s="31" t="str">
        <x:v>reconciled_components</x:v>
      </x:c>
      <x:c r="F284" s="31" t="n">
        <x:v>90</x:v>
      </x:c>
      <x:c r="G284" s="31" t="str">
        <x:v>Numbered total equals the reconciled printed denominator + beyond-denominator identities + separately listed subset identities.</x:v>
      </x:c>
      <x:c r="H284" s="31" t="str"/>
      <x:c r="I284" s="31" t="n">
        <x:v>90</x:v>
      </x:c>
      <x:c r="J284" s="31" t="str"/>
    </x:row>
    <x:row r="285">
      <x:c r="A285" s="31" t="n">
        <x:v>288</x:v>
      </x:c>
      <x:c r="B285" s="31" t="str">
        <x:v>ja</x:v>
      </x:c>
      <x:c r="C285" s="31" t="str">
        <x:v>Rising Fist</x:v>
      </x:c>
      <x:c r="D285" s="31" t="str">
        <x:v>XY3</x:v>
      </x:c>
      <x:c r="E285" s="31" t="str">
        <x:v>reconciled_components</x:v>
      </x:c>
      <x:c r="F285" s="31" t="n">
        <x:v>105</x:v>
      </x:c>
      <x:c r="G285" s="31" t="str">
        <x:v>Numbered total equals the reconciled printed denominator + beyond-denominator identities + separately listed subset identities.</x:v>
      </x:c>
      <x:c r="H285" s="31" t="str"/>
      <x:c r="I285" s="31" t="n">
        <x:v>105</x:v>
      </x:c>
      <x:c r="J285" s="31" t="str"/>
    </x:row>
    <x:row r="286">
      <x:c r="A286" s="31" t="n">
        <x:v>289</x:v>
      </x:c>
      <x:c r="B286" s="31" t="str">
        <x:v>ja</x:v>
      </x:c>
      <x:c r="C286" s="31" t="str">
        <x:v>Phantom Gate</x:v>
      </x:c>
      <x:c r="D286" s="31" t="str">
        <x:v>XY4</x:v>
      </x:c>
      <x:c r="E286" s="31" t="str">
        <x:v>reconciled_components</x:v>
      </x:c>
      <x:c r="F286" s="31" t="n">
        <x:v>97</x:v>
      </x:c>
      <x:c r="G286" s="31" t="str">
        <x:v>Numbered total equals the reconciled printed denominator + beyond-denominator identities + separately listed subset identities.</x:v>
      </x:c>
      <x:c r="H286" s="31" t="str"/>
      <x:c r="I286" s="31" t="n">
        <x:v>97</x:v>
      </x:c>
      <x:c r="J286" s="31" t="str"/>
    </x:row>
    <x:row r="287">
      <x:c r="A287" s="31" t="n">
        <x:v>290</x:v>
      </x:c>
      <x:c r="B287" s="31" t="str">
        <x:v>ja</x:v>
      </x:c>
      <x:c r="C287" s="31" t="str">
        <x:v>Gaia Volcano</x:v>
      </x:c>
      <x:c r="D287" s="31" t="str">
        <x:v>XY5-Gaia</x:v>
      </x:c>
      <x:c r="E287" s="31" t="str">
        <x:v>reconciled_components</x:v>
      </x:c>
      <x:c r="F287" s="31" t="n">
        <x:v>80</x:v>
      </x:c>
      <x:c r="G287" s="31" t="str">
        <x:v>Numbered total equals the reconciled printed denominator + beyond-denominator identities + separately listed subset identities.</x:v>
      </x:c>
      <x:c r="H287" s="31" t="str">
        <x:v>https://bulbapedia.bulbagarden.net/wiki/List_of_Japanese_TCG_Expansions</x:v>
      </x:c>
      <x:c r="I287" s="31" t="n">
        <x:v>80</x:v>
      </x:c>
      <x:c r="J287" s="31" t="str"/>
    </x:row>
    <x:row r="288">
      <x:c r="A288" s="31" t="n">
        <x:v>291</x:v>
      </x:c>
      <x:c r="B288" s="31" t="str">
        <x:v>ja</x:v>
      </x:c>
      <x:c r="C288" s="31" t="str">
        <x:v>Tidal Storm</x:v>
      </x:c>
      <x:c r="D288" s="31" t="str">
        <x:v>XY5-Tidal</x:v>
      </x:c>
      <x:c r="E288" s="31" t="str">
        <x:v>reconciled_components</x:v>
      </x:c>
      <x:c r="F288" s="31" t="n">
        <x:v>80</x:v>
      </x:c>
      <x:c r="G288" s="31" t="str">
        <x:v>Numbered total equals the reconciled printed denominator + beyond-denominator identities + separately listed subset identities.</x:v>
      </x:c>
      <x:c r="H288" s="31" t="str">
        <x:v>https://bulbapedia.bulbagarden.net/wiki/List_of_Japanese_TCG_Expansions</x:v>
      </x:c>
      <x:c r="I288" s="31" t="n">
        <x:v>80</x:v>
      </x:c>
      <x:c r="J288" s="31" t="str"/>
    </x:row>
    <x:row r="289">
      <x:c r="A289" s="31" t="n">
        <x:v>292</x:v>
      </x:c>
      <x:c r="B289" s="31" t="str">
        <x:v>ja</x:v>
      </x:c>
      <x:c r="C289" s="31" t="str">
        <x:v>Magma Gang VS Aqua Gang: Double Crisis</x:v>
      </x:c>
      <x:c r="D289" s="31" t="str">
        <x:v>CP1</x:v>
      </x:c>
      <x:c r="E289" s="31" t="str">
        <x:v>reconciled_components</x:v>
      </x:c>
      <x:c r="F289" s="31" t="n">
        <x:v>34</x:v>
      </x:c>
      <x:c r="G289" s="31" t="str">
        <x:v>Numbered total equals the reconciled printed denominator + beyond-denominator identities + separately listed subset identities.</x:v>
      </x:c>
      <x:c r="H289" s="31" t="str"/>
      <x:c r="I289" s="31" t="n">
        <x:v>34</x:v>
      </x:c>
      <x:c r="J289" s="31" t="str"/>
    </x:row>
    <x:row r="290">
      <x:c r="A290" s="31" t="n">
        <x:v>293</x:v>
      </x:c>
      <x:c r="B290" s="31" t="str">
        <x:v>ja</x:v>
      </x:c>
      <x:c r="C290" s="31" t="str">
        <x:v>Emerald Break</x:v>
      </x:c>
      <x:c r="D290" s="31" t="str">
        <x:v>XY6</x:v>
      </x:c>
      <x:c r="E290" s="31" t="str">
        <x:v>reconciled_components</x:v>
      </x:c>
      <x:c r="F290" s="31" t="n">
        <x:v>91</x:v>
      </x:c>
      <x:c r="G290" s="31" t="str">
        <x:v>Numbered total equals the reconciled printed denominator + beyond-denominator identities + separately listed subset identities.</x:v>
      </x:c>
      <x:c r="H290" s="31" t="str"/>
      <x:c r="I290" s="31" t="n">
        <x:v>91</x:v>
      </x:c>
      <x:c r="J290" s="31" t="str"/>
    </x:row>
    <x:row r="291">
      <x:c r="A291" s="31" t="n">
        <x:v>294</x:v>
      </x:c>
      <x:c r="B291" s="31" t="str">
        <x:v>ja</x:v>
      </x:c>
      <x:c r="C291" s="31" t="str">
        <x:v>Bandit Ring</x:v>
      </x:c>
      <x:c r="D291" s="31" t="str">
        <x:v>XY7</x:v>
      </x:c>
      <x:c r="E291" s="31" t="str">
        <x:v>reconciled_components</x:v>
      </x:c>
      <x:c r="F291" s="31" t="n">
        <x:v>97</x:v>
      </x:c>
      <x:c r="G291" s="31" t="str">
        <x:v>Numbered total equals the reconciled printed denominator + beyond-denominator identities + separately listed subset identities.</x:v>
      </x:c>
      <x:c r="H291" s="31" t="str"/>
      <x:c r="I291" s="31" t="n">
        <x:v>97</x:v>
      </x:c>
      <x:c r="J291" s="31" t="str"/>
    </x:row>
    <x:row r="292">
      <x:c r="A292" s="31" t="n">
        <x:v>295</x:v>
      </x:c>
      <x:c r="B292" s="31" t="str">
        <x:v>ja</x:v>
      </x:c>
      <x:c r="C292" s="31" t="str">
        <x:v>Legendary Shine Collection</x:v>
      </x:c>
      <x:c r="D292" s="31" t="str">
        <x:v>CP2</x:v>
      </x:c>
      <x:c r="E292" s="31" t="str">
        <x:v>reconciled_components</x:v>
      </x:c>
      <x:c r="F292" s="31" t="n">
        <x:v>27</x:v>
      </x:c>
      <x:c r="G292" s="31" t="str">
        <x:v>Numbered total equals the reconciled printed denominator + beyond-denominator identities + separately listed subset identities.</x:v>
      </x:c>
      <x:c r="H292" s="31" t="str"/>
      <x:c r="I292" s="31" t="n">
        <x:v>27</x:v>
      </x:c>
      <x:c r="J292" s="31" t="str"/>
    </x:row>
    <x:row r="293">
      <x:c r="A293" s="31" t="n">
        <x:v>296</x:v>
      </x:c>
      <x:c r="B293" s="31" t="str">
        <x:v>ja</x:v>
      </x:c>
      <x:c r="C293" s="31" t="str">
        <x:v>Blue Shock</x:v>
      </x:c>
      <x:c r="D293" s="31" t="str">
        <x:v>XY8-Blue</x:v>
      </x:c>
      <x:c r="E293" s="31" t="str">
        <x:v>reconciled_components</x:v>
      </x:c>
      <x:c r="F293" s="31" t="n">
        <x:v>65</x:v>
      </x:c>
      <x:c r="G293" s="31" t="str">
        <x:v>Numbered total equals the reconciled printed denominator + beyond-denominator identities + separately listed subset identities.</x:v>
      </x:c>
      <x:c r="H293" s="31" t="str">
        <x:v>https://bulbapedia.bulbagarden.net/wiki/XY8</x:v>
      </x:c>
      <x:c r="I293" s="31" t="n">
        <x:v>65</x:v>
      </x:c>
      <x:c r="J293" s="31" t="str"/>
    </x:row>
    <x:row r="294">
      <x:c r="A294" s="31" t="n">
        <x:v>297</x:v>
      </x:c>
      <x:c r="B294" s="31" t="str">
        <x:v>ja</x:v>
      </x:c>
      <x:c r="C294" s="31" t="str">
        <x:v>Red Flash</x:v>
      </x:c>
      <x:c r="D294" s="31" t="str">
        <x:v>XY8-Red</x:v>
      </x:c>
      <x:c r="E294" s="31" t="str">
        <x:v>reconciled_components</x:v>
      </x:c>
      <x:c r="F294" s="31" t="n">
        <x:v>65</x:v>
      </x:c>
      <x:c r="G294" s="31" t="str">
        <x:v>Numbered total equals the reconciled printed denominator + beyond-denominator identities + separately listed subset identities.</x:v>
      </x:c>
      <x:c r="H294" s="31" t="str">
        <x:v>https://bulbapedia.bulbagarden.net/wiki/XY8</x:v>
      </x:c>
      <x:c r="I294" s="31" t="n">
        <x:v>65</x:v>
      </x:c>
      <x:c r="J294" s="31" t="str"/>
    </x:row>
    <x:row r="295">
      <x:c r="A295" s="31" t="n">
        <x:v>298</x:v>
      </x:c>
      <x:c r="B295" s="31" t="str">
        <x:v>ja</x:v>
      </x:c>
      <x:c r="C295" s="31" t="str">
        <x:v>Rage of the Broken Heavens</x:v>
      </x:c>
      <x:c r="D295" s="31" t="str">
        <x:v>XY9</x:v>
      </x:c>
      <x:c r="E295" s="31" t="str">
        <x:v>reconciled_components</x:v>
      </x:c>
      <x:c r="F295" s="31" t="n">
        <x:v>89</x:v>
      </x:c>
      <x:c r="G295" s="31" t="str">
        <x:v>Numbered total equals the reconciled printed denominator + beyond-denominator identities + separately listed subset identities.</x:v>
      </x:c>
      <x:c r="H295" s="31" t="str"/>
      <x:c r="I295" s="31" t="n">
        <x:v>89</x:v>
      </x:c>
      <x:c r="J295" s="31" t="str"/>
    </x:row>
    <x:row r="296">
      <x:c r="A296" s="31" t="n">
        <x:v>299</x:v>
      </x:c>
      <x:c r="B296" s="31" t="str">
        <x:v>ja</x:v>
      </x:c>
      <x:c r="C296" s="31" t="str">
        <x:v>PokéKyun Collection</x:v>
      </x:c>
      <x:c r="D296" s="31" t="str">
        <x:v>CP3</x:v>
      </x:c>
      <x:c r="E296" s="31" t="str">
        <x:v>reconciled_components</x:v>
      </x:c>
      <x:c r="F296" s="31" t="n">
        <x:v>32</x:v>
      </x:c>
      <x:c r="G296" s="31" t="str">
        <x:v>Numbered total equals the reconciled printed denominator + beyond-denominator identities + separately listed subset identities.</x:v>
      </x:c>
      <x:c r="H296" s="31" t="str"/>
      <x:c r="I296" s="31" t="n">
        <x:v>32</x:v>
      </x:c>
      <x:c r="J296" s="31" t="str"/>
    </x:row>
    <x:row r="297">
      <x:c r="A297" s="31" t="n">
        <x:v>300</x:v>
      </x:c>
      <x:c r="B297" s="31" t="str">
        <x:v>ja</x:v>
      </x:c>
      <x:c r="C297" s="31" t="str">
        <x:v>Awakening Psychic King</x:v>
      </x:c>
      <x:c r="D297" s="31" t="str">
        <x:v>XY10</x:v>
      </x:c>
      <x:c r="E297" s="31" t="str">
        <x:v>reconciled_components</x:v>
      </x:c>
      <x:c r="F297" s="31" t="n">
        <x:v>88</x:v>
      </x:c>
      <x:c r="G297" s="31" t="str">
        <x:v>Numbered total equals the reconciled printed denominator + beyond-denominator identities + separately listed subset identities.</x:v>
      </x:c>
      <x:c r="H297" s="31" t="str"/>
      <x:c r="I297" s="31" t="n">
        <x:v>88</x:v>
      </x:c>
      <x:c r="J297" s="31" t="str"/>
    </x:row>
    <x:row r="298">
      <x:c r="A298" s="31" t="n">
        <x:v>301</x:v>
      </x:c>
      <x:c r="B298" s="31" t="str">
        <x:v>ja</x:v>
      </x:c>
      <x:c r="C298" s="31" t="str">
        <x:v>Premium Champion Pack EX×M×BREAK</x:v>
      </x:c>
      <x:c r="D298" s="31" t="str">
        <x:v>CP4</x:v>
      </x:c>
      <x:c r="E298" s="31" t="str">
        <x:v>reconciled_components</x:v>
      </x:c>
      <x:c r="F298" s="31" t="n">
        <x:v>131</x:v>
      </x:c>
      <x:c r="G298" s="31" t="str">
        <x:v>Numbered total equals the reconciled printed denominator + beyond-denominator identities + separately listed subset identities.</x:v>
      </x:c>
      <x:c r="H298" s="31" t="str"/>
      <x:c r="I298" s="31" t="n">
        <x:v>131</x:v>
      </x:c>
      <x:c r="J298" s="31" t="str"/>
    </x:row>
    <x:row r="299">
      <x:c r="A299" s="31" t="n">
        <x:v>302</x:v>
      </x:c>
      <x:c r="B299" s="31" t="str">
        <x:v>ja</x:v>
      </x:c>
      <x:c r="C299" s="31" t="str">
        <x:v>Cruel Traitor</x:v>
      </x:c>
      <x:c r="D299" s="31" t="str">
        <x:v>XY11-Cruel</x:v>
      </x:c>
      <x:c r="E299" s="31" t="str">
        <x:v>reconciled_components</x:v>
      </x:c>
      <x:c r="F299" s="31" t="n">
        <x:v>59</x:v>
      </x:c>
      <x:c r="G299" s="31" t="str">
        <x:v>Numbered total equals the reconciled printed denominator + beyond-denominator identities + separately listed subset identities.</x:v>
      </x:c>
      <x:c r="H299" s="31" t="str">
        <x:v>https://bulbapedia.bulbagarden.net/wiki/List_of_Japanese_TCG_Expansions</x:v>
      </x:c>
      <x:c r="I299" s="31" t="n">
        <x:v>59</x:v>
      </x:c>
      <x:c r="J299" s="31" t="str"/>
    </x:row>
    <x:row r="300">
      <x:c r="A300" s="31" t="n">
        <x:v>303</x:v>
      </x:c>
      <x:c r="B300" s="31" t="str">
        <x:v>ja</x:v>
      </x:c>
      <x:c r="C300" s="31" t="str">
        <x:v>Fever-Burst Fighter</x:v>
      </x:c>
      <x:c r="D300" s="31" t="str">
        <x:v>XY11-Fever</x:v>
      </x:c>
      <x:c r="E300" s="31" t="str">
        <x:v>reconciled_components</x:v>
      </x:c>
      <x:c r="F300" s="31" t="n">
        <x:v>59</x:v>
      </x:c>
      <x:c r="G300" s="31" t="str">
        <x:v>Numbered total equals the reconciled printed denominator + beyond-denominator identities + separately listed subset identities.</x:v>
      </x:c>
      <x:c r="H300" s="31" t="str">
        <x:v>https://bulbapedia.bulbagarden.net/wiki/List_of_Japanese_TCG_Expansions</x:v>
      </x:c>
      <x:c r="I300" s="31" t="n">
        <x:v>59</x:v>
      </x:c>
      <x:c r="J300" s="31" t="str"/>
    </x:row>
    <x:row r="301">
      <x:c r="A301" s="31" t="n">
        <x:v>304</x:v>
      </x:c>
      <x:c r="B301" s="31" t="str">
        <x:v>ja</x:v>
      </x:c>
      <x:c r="C301" s="31" t="str">
        <x:v>Mythical &amp; Legendary Dream Shine Collection</x:v>
      </x:c>
      <x:c r="D301" s="31" t="str">
        <x:v>CP5</x:v>
      </x:c>
      <x:c r="E301" s="31" t="str">
        <x:v>reconciled_components</x:v>
      </x:c>
      <x:c r="F301" s="31" t="n">
        <x:v>38</x:v>
      </x:c>
      <x:c r="G301" s="31" t="str">
        <x:v>Numbered total equals the reconciled printed denominator + beyond-denominator identities + separately listed subset identities.</x:v>
      </x:c>
      <x:c r="H301" s="31" t="str"/>
      <x:c r="I301" s="31" t="n">
        <x:v>38</x:v>
      </x:c>
      <x:c r="J301" s="31" t="str"/>
    </x:row>
    <x:row r="302">
      <x:c r="A302" s="31" t="n">
        <x:v>305</x:v>
      </x:c>
      <x:c r="B302" s="31" t="str">
        <x:v>ja</x:v>
      </x:c>
      <x:c r="C302" s="31" t="str">
        <x:v>Expansion Pack 20th Anniversary</x:v>
      </x:c>
      <x:c r="D302" s="31" t="str">
        <x:v>CP6</x:v>
      </x:c>
      <x:c r="E302" s="31" t="str">
        <x:v>reconciled_components</x:v>
      </x:c>
      <x:c r="F302" s="31" t="n">
        <x:v>103</x:v>
      </x:c>
      <x:c r="G302" s="31" t="str">
        <x:v>Numbered total equals the reconciled printed denominator + beyond-denominator identities + separately listed subset identities.</x:v>
      </x:c>
      <x:c r="H302" s="31" t="str"/>
      <x:c r="I302" s="31" t="n">
        <x:v>103</x:v>
      </x:c>
      <x:c r="J302" s="31" t="str"/>
    </x:row>
    <x:row r="303">
      <x:c r="A303" s="31" t="n">
        <x:v>306</x:v>
      </x:c>
      <x:c r="B303" s="31" t="str">
        <x:v>ja</x:v>
      </x:c>
      <x:c r="C303" s="31" t="str">
        <x:v>SM-P Promotional cards</x:v>
      </x:c>
      <x:c r="D303" s="31" t="str">
        <x:v>SM-P</x:v>
      </x:c>
      <x:c r="E303" s="31" t="str">
        <x:v>reconciled_components</x:v>
      </x:c>
      <x:c r="F303" s="31" t="n">
        <x:v>437</x:v>
      </x:c>
      <x:c r="G303" s="31" t="str">
        <x:v>Numbered total equals the reconciled printed denominator + beyond-denominator identities + separately listed subset identities.</x:v>
      </x:c>
      <x:c r="H303" s="31" t="str">
        <x:v>https://bulbapedia.bulbagarden.net/wiki/SM-P</x:v>
      </x:c>
      <x:c r="I303" s="31" t="n">
        <x:v>437</x:v>
      </x:c>
      <x:c r="J303" s="31" t="str"/>
    </x:row>
    <x:row r="304">
      <x:c r="A304" s="31" t="n">
        <x:v>307</x:v>
      </x:c>
      <x:c r="B304" s="31" t="str">
        <x:v>ja</x:v>
      </x:c>
      <x:c r="C304" s="31" t="str">
        <x:v>Pikachu's New Friends</x:v>
      </x:c>
      <x:c r="D304" s="31" t="str">
        <x:v>SM0</x:v>
      </x:c>
      <x:c r="E304" s="31" t="str">
        <x:v>reconciled_components</x:v>
      </x:c>
      <x:c r="F304" s="31" t="n">
        <x:v>4</x:v>
      </x:c>
      <x:c r="G304" s="31" t="str">
        <x:v>Numbered total equals the reconciled printed denominator + beyond-denominator identities + separately listed subset identities.</x:v>
      </x:c>
      <x:c r="H304" s="31" t="str"/>
      <x:c r="I304" s="31" t="n">
        <x:v>4</x:v>
      </x:c>
      <x:c r="J304" s="31" t="str"/>
    </x:row>
    <x:row r="305">
      <x:c r="A305" s="31" t="n">
        <x:v>308</x:v>
      </x:c>
      <x:c r="B305" s="31" t="str">
        <x:v>ja</x:v>
      </x:c>
      <x:c r="C305" s="31" t="str">
        <x:v>Collection Moon</x:v>
      </x:c>
      <x:c r="D305" s="31" t="str">
        <x:v>SM1M</x:v>
      </x:c>
      <x:c r="E305" s="31" t="str">
        <x:v>reconciled_components</x:v>
      </x:c>
      <x:c r="F305" s="31" t="n">
        <x:v>73</x:v>
      </x:c>
      <x:c r="G305" s="31" t="str">
        <x:v>Numbered total equals the reconciled printed denominator + beyond-denominator identities + separately listed subset identities.</x:v>
      </x:c>
      <x:c r="H305" s="31" t="str"/>
      <x:c r="I305" s="31" t="n">
        <x:v>73</x:v>
      </x:c>
      <x:c r="J305" s="31" t="str"/>
    </x:row>
    <x:row r="306">
      <x:c r="A306" s="31" t="n">
        <x:v>309</x:v>
      </x:c>
      <x:c r="B306" s="31" t="str">
        <x:v>ja</x:v>
      </x:c>
      <x:c r="C306" s="31" t="str">
        <x:v>Collection Sun</x:v>
      </x:c>
      <x:c r="D306" s="31" t="str">
        <x:v>SM1S</x:v>
      </x:c>
      <x:c r="E306" s="31" t="str">
        <x:v>reconciled_components</x:v>
      </x:c>
      <x:c r="F306" s="31" t="n">
        <x:v>73</x:v>
      </x:c>
      <x:c r="G306" s="31" t="str">
        <x:v>Numbered total equals the reconciled printed denominator + beyond-denominator identities + separately listed subset identities.</x:v>
      </x:c>
      <x:c r="H306" s="31" t="str"/>
      <x:c r="I306" s="31" t="n">
        <x:v>73</x:v>
      </x:c>
      <x:c r="J306" s="31" t="str"/>
    </x:row>
    <x:row r="307">
      <x:c r="A307" s="31" t="n">
        <x:v>310</x:v>
      </x:c>
      <x:c r="B307" s="31" t="str">
        <x:v>ja</x:v>
      </x:c>
      <x:c r="C307" s="31" t="str">
        <x:v>Sun &amp; Moon</x:v>
      </x:c>
      <x:c r="D307" s="31" t="str">
        <x:v>SM1+</x:v>
      </x:c>
      <x:c r="E307" s="31" t="str">
        <x:v>reconciled_components</x:v>
      </x:c>
      <x:c r="F307" s="31" t="n">
        <x:v>68</x:v>
      </x:c>
      <x:c r="G307" s="31" t="str">
        <x:v>Numbered total equals the reconciled printed denominator + beyond-denominator identities + separately listed subset identities.</x:v>
      </x:c>
      <x:c r="H307" s="31" t="str"/>
      <x:c r="I307" s="31" t="n">
        <x:v>68</x:v>
      </x:c>
      <x:c r="J307" s="31" t="str"/>
    </x:row>
    <x:row r="308">
      <x:c r="A308" s="31" t="n">
        <x:v>311</x:v>
      </x:c>
      <x:c r="B308" s="31" t="str">
        <x:v>ja</x:v>
      </x:c>
      <x:c r="C308" s="31" t="str">
        <x:v>Alolan Moonlight</x:v>
      </x:c>
      <x:c r="D308" s="31" t="str">
        <x:v>SM2L</x:v>
      </x:c>
      <x:c r="E308" s="31" t="str">
        <x:v>reconciled_components</x:v>
      </x:c>
      <x:c r="F308" s="31" t="n">
        <x:v>62</x:v>
      </x:c>
      <x:c r="G308" s="31" t="str">
        <x:v>Numbered total equals the reconciled printed denominator + beyond-denominator identities + separately listed subset identities.</x:v>
      </x:c>
      <x:c r="H308" s="31" t="str"/>
      <x:c r="I308" s="31" t="n">
        <x:v>62</x:v>
      </x:c>
      <x:c r="J308" s="31" t="str"/>
    </x:row>
    <x:row r="309">
      <x:c r="A309" s="31" t="n">
        <x:v>312</x:v>
      </x:c>
      <x:c r="B309" s="31" t="str">
        <x:v>ja</x:v>
      </x:c>
      <x:c r="C309" s="31" t="str">
        <x:v>Islands Await You</x:v>
      </x:c>
      <x:c r="D309" s="31" t="str">
        <x:v>SM2K</x:v>
      </x:c>
      <x:c r="E309" s="31" t="str">
        <x:v>reconciled_components</x:v>
      </x:c>
      <x:c r="F309" s="31" t="n">
        <x:v>62</x:v>
      </x:c>
      <x:c r="G309" s="31" t="str">
        <x:v>Numbered total equals the reconciled printed denominator + beyond-denominator identities + separately listed subset identities.</x:v>
      </x:c>
      <x:c r="H309" s="31" t="str"/>
      <x:c r="I309" s="31" t="n">
        <x:v>62</x:v>
      </x:c>
      <x:c r="J309" s="31" t="str"/>
    </x:row>
    <x:row r="310">
      <x:c r="A310" s="31" t="n">
        <x:v>313</x:v>
      </x:c>
      <x:c r="B310" s="31" t="str">
        <x:v>ja</x:v>
      </x:c>
      <x:c r="C310" s="31" t="str">
        <x:v>Facing a New Trial</x:v>
      </x:c>
      <x:c r="D310" s="31" t="str">
        <x:v>SM2+</x:v>
      </x:c>
      <x:c r="E310" s="31" t="str">
        <x:v>reconciled_components</x:v>
      </x:c>
      <x:c r="F310" s="31" t="n">
        <x:v>66</x:v>
      </x:c>
      <x:c r="G310" s="31" t="str">
        <x:v>Numbered total equals the reconciled printed denominator + beyond-denominator identities + separately listed subset identities.</x:v>
      </x:c>
      <x:c r="H310" s="31" t="str"/>
      <x:c r="I310" s="31" t="n">
        <x:v>66</x:v>
      </x:c>
      <x:c r="J310" s="31" t="str"/>
    </x:row>
    <x:row r="311">
      <x:c r="A311" s="31" t="n">
        <x:v>314</x:v>
      </x:c>
      <x:c r="B311" s="31" t="str">
        <x:v>ja</x:v>
      </x:c>
      <x:c r="C311" s="31" t="str">
        <x:v>THE BEST OF XY</x:v>
      </x:c>
      <x:c r="D311" s="31" t="str">
        <x:v>XY</x:v>
      </x:c>
      <x:c r="E311" s="31" t="str">
        <x:v>reconciled_components</x:v>
      </x:c>
      <x:c r="F311" s="31" t="n">
        <x:v>188</x:v>
      </x:c>
      <x:c r="G311" s="31" t="str">
        <x:v>Numbered total equals the reconciled printed denominator + beyond-denominator identities + separately listed subset identities.</x:v>
      </x:c>
      <x:c r="H311" s="31" t="str"/>
      <x:c r="I311" s="31" t="n">
        <x:v>188</x:v>
      </x:c>
      <x:c r="J311" s="31" t="str"/>
    </x:row>
    <x:row r="312">
      <x:c r="A312" s="31" t="n">
        <x:v>315</x:v>
      </x:c>
      <x:c r="B312" s="31" t="str">
        <x:v>ja</x:v>
      </x:c>
      <x:c r="C312" s="31" t="str">
        <x:v>Darkness that Consumes Light</x:v>
      </x:c>
      <x:c r="D312" s="31" t="str">
        <x:v>SM3N</x:v>
      </x:c>
      <x:c r="E312" s="31" t="str">
        <x:v>reconciled_components</x:v>
      </x:c>
      <x:c r="F312" s="31" t="n">
        <x:v>64</x:v>
      </x:c>
      <x:c r="G312" s="31" t="str">
        <x:v>Numbered total equals the reconciled printed denominator + beyond-denominator identities + separately listed subset identities.</x:v>
      </x:c>
      <x:c r="H312" s="31" t="str"/>
      <x:c r="I312" s="31" t="n">
        <x:v>64</x:v>
      </x:c>
      <x:c r="J312" s="31" t="str"/>
    </x:row>
    <x:row r="313">
      <x:c r="A313" s="31" t="n">
        <x:v>316</x:v>
      </x:c>
      <x:c r="B313" s="31" t="str">
        <x:v>ja</x:v>
      </x:c>
      <x:c r="C313" s="31" t="str">
        <x:v>To Have Seen the Battle Rainbow</x:v>
      </x:c>
      <x:c r="D313" s="31" t="str">
        <x:v>SM3H</x:v>
      </x:c>
      <x:c r="E313" s="31" t="str">
        <x:v>reconciled_components</x:v>
      </x:c>
      <x:c r="F313" s="31" t="n">
        <x:v>64</x:v>
      </x:c>
      <x:c r="G313" s="31" t="str">
        <x:v>Numbered total equals the reconciled printed denominator + beyond-denominator identities + separately listed subset identities.</x:v>
      </x:c>
      <x:c r="H313" s="31" t="str"/>
      <x:c r="I313" s="31" t="n">
        <x:v>64</x:v>
      </x:c>
      <x:c r="J313" s="31" t="str"/>
    </x:row>
    <x:row r="314">
      <x:c r="A314" s="31" t="n">
        <x:v>317</x:v>
      </x:c>
      <x:c r="B314" s="31" t="str">
        <x:v>ja</x:v>
      </x:c>
      <x:c r="C314" s="31" t="str">
        <x:v>Shining Legends</x:v>
      </x:c>
      <x:c r="D314" s="31" t="str">
        <x:v>SM3+</x:v>
      </x:c>
      <x:c r="E314" s="31" t="str">
        <x:v>reconciled_components</x:v>
      </x:c>
      <x:c r="F314" s="31" t="n">
        <x:v>82</x:v>
      </x:c>
      <x:c r="G314" s="31" t="str">
        <x:v>Numbered total equals the reconciled printed denominator + beyond-denominator identities + separately listed subset identities.</x:v>
      </x:c>
      <x:c r="H314" s="31" t="str"/>
      <x:c r="I314" s="31" t="n">
        <x:v>82</x:v>
      </x:c>
      <x:c r="J314" s="31" t="str"/>
    </x:row>
    <x:row r="315">
      <x:c r="A315" s="31" t="n">
        <x:v>318</x:v>
      </x:c>
      <x:c r="B315" s="31" t="str">
        <x:v>ja</x:v>
      </x:c>
      <x:c r="C315" s="31" t="str">
        <x:v>Awakened Heroes</x:v>
      </x:c>
      <x:c r="D315" s="31" t="str">
        <x:v>SM4S</x:v>
      </x:c>
      <x:c r="E315" s="31" t="str">
        <x:v>reconciled_components</x:v>
      </x:c>
      <x:c r="F315" s="31" t="n">
        <x:v>62</x:v>
      </x:c>
      <x:c r="G315" s="31" t="str">
        <x:v>Numbered total equals the reconciled printed denominator + beyond-denominator identities + separately listed subset identities.</x:v>
      </x:c>
      <x:c r="H315" s="31" t="str"/>
      <x:c r="I315" s="31" t="n">
        <x:v>62</x:v>
      </x:c>
      <x:c r="J315" s="31" t="str"/>
    </x:row>
    <x:row r="316">
      <x:c r="A316" s="31" t="n">
        <x:v>319</x:v>
      </x:c>
      <x:c r="B316" s="31" t="str">
        <x:v>ja</x:v>
      </x:c>
      <x:c r="C316" s="31" t="str">
        <x:v>Ultradimensional Beasts</x:v>
      </x:c>
      <x:c r="D316" s="31" t="str">
        <x:v>SM4A</x:v>
      </x:c>
      <x:c r="E316" s="31" t="str">
        <x:v>reconciled_components</x:v>
      </x:c>
      <x:c r="F316" s="31" t="n">
        <x:v>62</x:v>
      </x:c>
      <x:c r="G316" s="31" t="str">
        <x:v>Numbered total equals the reconciled printed denominator + beyond-denominator identities + separately listed subset identities.</x:v>
      </x:c>
      <x:c r="H316" s="31" t="str"/>
      <x:c r="I316" s="31" t="n">
        <x:v>62</x:v>
      </x:c>
      <x:c r="J316" s="31" t="str"/>
    </x:row>
    <x:row r="317">
      <x:c r="A317" s="31" t="n">
        <x:v>320</x:v>
      </x:c>
      <x:c r="B317" s="31" t="str">
        <x:v>ja</x:v>
      </x:c>
      <x:c r="C317" s="31" t="str">
        <x:v>GX Battle Boost</x:v>
      </x:c>
      <x:c r="D317" s="31" t="str">
        <x:v>SM4+</x:v>
      </x:c>
      <x:c r="E317" s="31" t="str">
        <x:v>reconciled_components</x:v>
      </x:c>
      <x:c r="F317" s="31" t="n">
        <x:v>125</x:v>
      </x:c>
      <x:c r="G317" s="31" t="str">
        <x:v>Numbered total equals the reconciled printed denominator + beyond-denominator identities + separately listed subset identities.</x:v>
      </x:c>
      <x:c r="H317" s="31" t="str"/>
      <x:c r="I317" s="31" t="n">
        <x:v>125</x:v>
      </x:c>
      <x:c r="J317" s="31" t="str"/>
    </x:row>
    <x:row r="318">
      <x:c r="A318" s="31" t="n">
        <x:v>321</x:v>
      </x:c>
      <x:c r="B318" s="31" t="str">
        <x:v>ja</x:v>
      </x:c>
      <x:c r="C318" s="31" t="str">
        <x:v>Ultra Moon</x:v>
      </x:c>
      <x:c r="D318" s="31" t="str">
        <x:v>SM5M</x:v>
      </x:c>
      <x:c r="E318" s="31" t="str">
        <x:v>reconciled_components</x:v>
      </x:c>
      <x:c r="F318" s="31" t="n">
        <x:v>78</x:v>
      </x:c>
      <x:c r="G318" s="31" t="str">
        <x:v>Numbered total equals the reconciled printed denominator + beyond-denominator identities + separately listed subset identities.</x:v>
      </x:c>
      <x:c r="H318" s="31" t="str"/>
      <x:c r="I318" s="31" t="n">
        <x:v>78</x:v>
      </x:c>
      <x:c r="J318" s="31" t="str"/>
    </x:row>
    <x:row r="319">
      <x:c r="A319" s="31" t="n">
        <x:v>322</x:v>
      </x:c>
      <x:c r="B319" s="31" t="str">
        <x:v>ja</x:v>
      </x:c>
      <x:c r="C319" s="31" t="str">
        <x:v>Ultra Sun</x:v>
      </x:c>
      <x:c r="D319" s="31" t="str">
        <x:v>SM5S</x:v>
      </x:c>
      <x:c r="E319" s="31" t="str">
        <x:v>reconciled_components</x:v>
      </x:c>
      <x:c r="F319" s="31" t="n">
        <x:v>78</x:v>
      </x:c>
      <x:c r="G319" s="31" t="str">
        <x:v>Numbered total equals the reconciled printed denominator + beyond-denominator identities + separately listed subset identities.</x:v>
      </x:c>
      <x:c r="H319" s="31" t="str"/>
      <x:c r="I319" s="31" t="n">
        <x:v>78</x:v>
      </x:c>
      <x:c r="J319" s="31" t="str"/>
    </x:row>
    <x:row r="320">
      <x:c r="A320" s="31" t="n">
        <x:v>323</x:v>
      </x:c>
      <x:c r="B320" s="31" t="str">
        <x:v>ja</x:v>
      </x:c>
      <x:c r="C320" s="31" t="str">
        <x:v>Ultra Force</x:v>
      </x:c>
      <x:c r="D320" s="31" t="str">
        <x:v>SM5+</x:v>
      </x:c>
      <x:c r="E320" s="31" t="str">
        <x:v>reconciled_components</x:v>
      </x:c>
      <x:c r="F320" s="31" t="n">
        <x:v>63</x:v>
      </x:c>
      <x:c r="G320" s="31" t="str">
        <x:v>Numbered total equals the reconciled printed denominator + beyond-denominator identities + separately listed subset identities.</x:v>
      </x:c>
      <x:c r="H320" s="31" t="str"/>
      <x:c r="I320" s="31" t="n">
        <x:v>63</x:v>
      </x:c>
      <x:c r="J320" s="31" t="str"/>
    </x:row>
    <x:row r="321">
      <x:c r="A321" s="31" t="n">
        <x:v>324</x:v>
      </x:c>
      <x:c r="B321" s="31" t="str">
        <x:v>ja</x:v>
      </x:c>
      <x:c r="C321" s="31" t="str">
        <x:v>Forbidden Light</x:v>
      </x:c>
      <x:c r="D321" s="31" t="str">
        <x:v>SM6</x:v>
      </x:c>
      <x:c r="E321" s="31" t="str">
        <x:v>reconciled_components</x:v>
      </x:c>
      <x:c r="F321" s="31" t="n">
        <x:v>110</x:v>
      </x:c>
      <x:c r="G321" s="31" t="str">
        <x:v>Numbered total equals the reconciled printed denominator + beyond-denominator identities + separately listed subset identities.</x:v>
      </x:c>
      <x:c r="H321" s="31" t="str"/>
      <x:c r="I321" s="31" t="n">
        <x:v>110</x:v>
      </x:c>
      <x:c r="J321" s="31" t="str"/>
    </x:row>
    <x:row r="322">
      <x:c r="A322" s="31" t="n">
        <x:v>325</x:v>
      </x:c>
      <x:c r="B322" s="31" t="str">
        <x:v>ja</x:v>
      </x:c>
      <x:c r="C322" s="31" t="str">
        <x:v>Dragon Storm</x:v>
      </x:c>
      <x:c r="D322" s="31" t="str">
        <x:v>SM6a</x:v>
      </x:c>
      <x:c r="E322" s="31" t="str">
        <x:v>reconciled_components</x:v>
      </x:c>
      <x:c r="F322" s="31" t="n">
        <x:v>66</x:v>
      </x:c>
      <x:c r="G322" s="31" t="str">
        <x:v>Numbered total equals the reconciled printed denominator + beyond-denominator identities + separately listed subset identities.</x:v>
      </x:c>
      <x:c r="H322" s="31" t="str"/>
      <x:c r="I322" s="31" t="n">
        <x:v>66</x:v>
      </x:c>
      <x:c r="J322" s="31" t="str"/>
    </x:row>
    <x:row r="323">
      <x:c r="A323" s="31" t="n">
        <x:v>326</x:v>
      </x:c>
      <x:c r="B323" s="31" t="str">
        <x:v>ja</x:v>
      </x:c>
      <x:c r="C323" s="31" t="str">
        <x:v>Champion Road</x:v>
      </x:c>
      <x:c r="D323" s="31" t="str">
        <x:v>SM6b</x:v>
      </x:c>
      <x:c r="E323" s="31" t="str">
        <x:v>reconciled_components</x:v>
      </x:c>
      <x:c r="F323" s="31" t="n">
        <x:v>86</x:v>
      </x:c>
      <x:c r="G323" s="31" t="str">
        <x:v>Numbered total equals the reconciled printed denominator + beyond-denominator identities + separately listed subset identities.</x:v>
      </x:c>
      <x:c r="H323" s="31" t="str"/>
      <x:c r="I323" s="31" t="n">
        <x:v>86</x:v>
      </x:c>
      <x:c r="J323" s="31" t="str"/>
    </x:row>
    <x:row r="324">
      <x:c r="A324" s="31" t="n">
        <x:v>327</x:v>
      </x:c>
      <x:c r="B324" s="31" t="str">
        <x:v>ja</x:v>
      </x:c>
      <x:c r="C324" s="31" t="str">
        <x:v>Sky-Splitting Charisma</x:v>
      </x:c>
      <x:c r="D324" s="31" t="str">
        <x:v>SM7</x:v>
      </x:c>
      <x:c r="E324" s="31" t="str">
        <x:v>reconciled_components</x:v>
      </x:c>
      <x:c r="F324" s="31" t="n">
        <x:v>112</x:v>
      </x:c>
      <x:c r="G324" s="31" t="str">
        <x:v>Numbered total equals the reconciled printed denominator + beyond-denominator identities + separately listed subset identities.</x:v>
      </x:c>
      <x:c r="H324" s="31" t="str"/>
      <x:c r="I324" s="31" t="n">
        <x:v>112</x:v>
      </x:c>
      <x:c r="J324" s="31" t="str"/>
    </x:row>
    <x:row r="325">
      <x:c r="A325" s="31" t="n">
        <x:v>328</x:v>
      </x:c>
      <x:c r="B325" s="31" t="str">
        <x:v>ja</x:v>
      </x:c>
      <x:c r="C325" s="31" t="str">
        <x:v>Thunderclap Spark</x:v>
      </x:c>
      <x:c r="D325" s="31" t="str">
        <x:v>SM7a</x:v>
      </x:c>
      <x:c r="E325" s="31" t="str">
        <x:v>reconciled_components</x:v>
      </x:c>
      <x:c r="F325" s="31" t="n">
        <x:v>73</x:v>
      </x:c>
      <x:c r="G325" s="31" t="str">
        <x:v>Numbered total equals the reconciled printed denominator + beyond-denominator identities + separately listed subset identities.</x:v>
      </x:c>
      <x:c r="H325" s="31" t="str"/>
      <x:c r="I325" s="31" t="n">
        <x:v>73</x:v>
      </x:c>
      <x:c r="J325" s="31" t="str"/>
    </x:row>
    <x:row r="326">
      <x:c r="A326" s="31" t="n">
        <x:v>329</x:v>
      </x:c>
      <x:c r="B326" s="31" t="str">
        <x:v>ja</x:v>
      </x:c>
      <x:c r="C326" s="31" t="str">
        <x:v>Fairy Rise</x:v>
      </x:c>
      <x:c r="D326" s="31" t="str">
        <x:v>SM7b</x:v>
      </x:c>
      <x:c r="E326" s="31" t="str">
        <x:v>reconciled_components</x:v>
      </x:c>
      <x:c r="F326" s="31" t="n">
        <x:v>63</x:v>
      </x:c>
      <x:c r="G326" s="31" t="str">
        <x:v>Numbered total equals the reconciled printed denominator + beyond-denominator identities + separately listed subset identities.</x:v>
      </x:c>
      <x:c r="H326" s="31" t="str"/>
      <x:c r="I326" s="31" t="n">
        <x:v>63</x:v>
      </x:c>
      <x:c r="J326" s="31" t="str"/>
    </x:row>
    <x:row r="327">
      <x:c r="A327" s="31" t="n">
        <x:v>330</x:v>
      </x:c>
      <x:c r="B327" s="31" t="str">
        <x:v>ja</x:v>
      </x:c>
      <x:c r="C327" s="31" t="str">
        <x:v>Super-Burst Impact</x:v>
      </x:c>
      <x:c r="D327" s="31" t="str">
        <x:v>SM8</x:v>
      </x:c>
      <x:c r="E327" s="31" t="str">
        <x:v>reconciled_components</x:v>
      </x:c>
      <x:c r="F327" s="31" t="n">
        <x:v>111</x:v>
      </x:c>
      <x:c r="G327" s="31" t="str">
        <x:v>Numbered total equals the reconciled printed denominator + beyond-denominator identities + separately listed subset identities.</x:v>
      </x:c>
      <x:c r="H327" s="31" t="str"/>
      <x:c r="I327" s="31" t="n">
        <x:v>111</x:v>
      </x:c>
      <x:c r="J327" s="31" t="str"/>
    </x:row>
    <x:row r="328">
      <x:c r="A328" s="31" t="n">
        <x:v>331</x:v>
      </x:c>
      <x:c r="B328" s="31" t="str">
        <x:v>ja</x:v>
      </x:c>
      <x:c r="C328" s="31" t="str">
        <x:v>Dark Order</x:v>
      </x:c>
      <x:c r="D328" s="31" t="str">
        <x:v>SM8a</x:v>
      </x:c>
      <x:c r="E328" s="31" t="str">
        <x:v>reconciled_components</x:v>
      </x:c>
      <x:c r="F328" s="31" t="n">
        <x:v>65</x:v>
      </x:c>
      <x:c r="G328" s="31" t="str">
        <x:v>Numbered total equals the reconciled printed denominator + beyond-denominator identities + separately listed subset identities.</x:v>
      </x:c>
      <x:c r="H328" s="31" t="str"/>
      <x:c r="I328" s="31" t="n">
        <x:v>65</x:v>
      </x:c>
      <x:c r="J328" s="31" t="str"/>
    </x:row>
    <x:row r="329">
      <x:c r="A329" s="31" t="n">
        <x:v>332</x:v>
      </x:c>
      <x:c r="B329" s="31" t="str">
        <x:v>ja</x:v>
      </x:c>
      <x:c r="C329" s="31" t="str">
        <x:v>GX Ultra Shiny</x:v>
      </x:c>
      <x:c r="D329" s="31" t="str">
        <x:v>SM8b</x:v>
      </x:c>
      <x:c r="E329" s="31" t="str">
        <x:v>reconciled_components</x:v>
      </x:c>
      <x:c r="F329" s="31" t="n">
        <x:v>250</x:v>
      </x:c>
      <x:c r="G329" s="31" t="str">
        <x:v>Numbered total equals the reconciled printed denominator + beyond-denominator identities + separately listed subset identities.</x:v>
      </x:c>
      <x:c r="H329" s="31" t="str"/>
      <x:c r="I329" s="31" t="n">
        <x:v>250</x:v>
      </x:c>
      <x:c r="J329" s="31" t="str"/>
    </x:row>
    <x:row r="330">
      <x:c r="A330" s="31" t="n">
        <x:v>333</x:v>
      </x:c>
      <x:c r="B330" s="31" t="str">
        <x:v>ja</x:v>
      </x:c>
      <x:c r="C330" s="31" t="str">
        <x:v>Tag Bolt</x:v>
      </x:c>
      <x:c r="D330" s="31" t="str">
        <x:v>SM9</x:v>
      </x:c>
      <x:c r="E330" s="31" t="str">
        <x:v>reconciled_components</x:v>
      </x:c>
      <x:c r="F330" s="31" t="n">
        <x:v>118</x:v>
      </x:c>
      <x:c r="G330" s="31" t="str">
        <x:v>Numbered total equals the reconciled printed denominator + beyond-denominator identities + separately listed subset identities.</x:v>
      </x:c>
      <x:c r="H330" s="31" t="str"/>
      <x:c r="I330" s="31" t="n">
        <x:v>118</x:v>
      </x:c>
      <x:c r="J330" s="31" t="str"/>
    </x:row>
    <x:row r="331">
      <x:c r="A331" s="31" t="n">
        <x:v>334</x:v>
      </x:c>
      <x:c r="B331" s="31" t="str">
        <x:v>ja</x:v>
      </x:c>
      <x:c r="C331" s="31" t="str">
        <x:v>Night Unison</x:v>
      </x:c>
      <x:c r="D331" s="31" t="str">
        <x:v>SM9a</x:v>
      </x:c>
      <x:c r="E331" s="31" t="str">
        <x:v>reconciled_components</x:v>
      </x:c>
      <x:c r="F331" s="31" t="n">
        <x:v>70</x:v>
      </x:c>
      <x:c r="G331" s="31" t="str">
        <x:v>Numbered total equals the reconciled printed denominator + beyond-denominator identities + separately listed subset identities.</x:v>
      </x:c>
      <x:c r="H331" s="31" t="str"/>
      <x:c r="I331" s="31" t="n">
        <x:v>70</x:v>
      </x:c>
      <x:c r="J331" s="31" t="str"/>
    </x:row>
    <x:row r="332">
      <x:c r="A332" s="31" t="n">
        <x:v>335</x:v>
      </x:c>
      <x:c r="B332" s="31" t="str">
        <x:v>ja</x:v>
      </x:c>
      <x:c r="C332" s="31" t="str">
        <x:v>Full Metal Wall</x:v>
      </x:c>
      <x:c r="D332" s="31" t="str">
        <x:v>SM9b</x:v>
      </x:c>
      <x:c r="E332" s="31" t="str">
        <x:v>reconciled_components</x:v>
      </x:c>
      <x:c r="F332" s="31" t="n">
        <x:v>69</x:v>
      </x:c>
      <x:c r="G332" s="31" t="str">
        <x:v>Numbered total equals the reconciled printed denominator + beyond-denominator identities + separately listed subset identities.</x:v>
      </x:c>
      <x:c r="H332" s="31" t="str"/>
      <x:c r="I332" s="31" t="n">
        <x:v>69</x:v>
      </x:c>
      <x:c r="J332" s="31" t="str"/>
    </x:row>
    <x:row r="333">
      <x:c r="A333" s="31" t="n">
        <x:v>336</x:v>
      </x:c>
      <x:c r="B333" s="31" t="str">
        <x:v>ja</x:v>
      </x:c>
      <x:c r="C333" s="31" t="str">
        <x:v>Double Blaze</x:v>
      </x:c>
      <x:c r="D333" s="31" t="str">
        <x:v>SM10</x:v>
      </x:c>
      <x:c r="E333" s="31" t="str">
        <x:v>reconciled_components</x:v>
      </x:c>
      <x:c r="F333" s="31" t="n">
        <x:v>116</x:v>
      </x:c>
      <x:c r="G333" s="31" t="str">
        <x:v>Numbered total equals the reconciled printed denominator + beyond-denominator identities + separately listed subset identities.</x:v>
      </x:c>
      <x:c r="H333" s="31" t="str"/>
      <x:c r="I333" s="31" t="n">
        <x:v>116</x:v>
      </x:c>
      <x:c r="J333" s="31" t="str"/>
    </x:row>
    <x:row r="334">
      <x:c r="A334" s="31" t="n">
        <x:v>337</x:v>
      </x:c>
      <x:c r="B334" s="31" t="str">
        <x:v>ja</x:v>
      </x:c>
      <x:c r="C334" s="31" t="str">
        <x:v>GG End</x:v>
      </x:c>
      <x:c r="D334" s="31" t="str">
        <x:v>SM10a</x:v>
      </x:c>
      <x:c r="E334" s="31" t="str">
        <x:v>reconciled_components</x:v>
      </x:c>
      <x:c r="F334" s="31" t="n">
        <x:v>69</x:v>
      </x:c>
      <x:c r="G334" s="31" t="str">
        <x:v>Numbered total equals the reconciled printed denominator + beyond-denominator identities + separately listed subset identities.</x:v>
      </x:c>
      <x:c r="H334" s="31" t="str"/>
      <x:c r="I334" s="31" t="n">
        <x:v>69</x:v>
      </x:c>
      <x:c r="J334" s="31" t="str"/>
    </x:row>
    <x:row r="335">
      <x:c r="A335" s="31" t="n">
        <x:v>338</x:v>
      </x:c>
      <x:c r="B335" s="31" t="str">
        <x:v>ja</x:v>
      </x:c>
      <x:c r="C335" s="31" t="str">
        <x:v>Movie Special Pack Great Detective Pikachu</x:v>
      </x:c>
      <x:c r="D335" s="31" t="str">
        <x:v>SMP2</x:v>
      </x:c>
      <x:c r="E335" s="31" t="str">
        <x:v>reconciled_components</x:v>
      </x:c>
      <x:c r="F335" s="31" t="n">
        <x:v>25</x:v>
      </x:c>
      <x:c r="G335" s="31" t="str">
        <x:v>Numbered total equals the reconciled printed denominator + beyond-denominator identities + separately listed subset identities.</x:v>
      </x:c>
      <x:c r="H335" s="31" t="str"/>
      <x:c r="I335" s="31" t="n">
        <x:v>25</x:v>
      </x:c>
      <x:c r="J335" s="31" t="str"/>
    </x:row>
    <x:row r="336">
      <x:c r="A336" s="31" t="n">
        <x:v>339</x:v>
      </x:c>
      <x:c r="B336" s="31" t="str">
        <x:v>ja</x:v>
      </x:c>
      <x:c r="C336" s="31" t="str">
        <x:v>Sky Legend</x:v>
      </x:c>
      <x:c r="D336" s="31" t="str">
        <x:v>SM10b</x:v>
      </x:c>
      <x:c r="E336" s="31" t="str">
        <x:v>reconciled_components</x:v>
      </x:c>
      <x:c r="F336" s="31" t="n">
        <x:v>69</x:v>
      </x:c>
      <x:c r="G336" s="31" t="str">
        <x:v>Numbered total equals the reconciled printed denominator + beyond-denominator identities + separately listed subset identities.</x:v>
      </x:c>
      <x:c r="H336" s="31" t="str"/>
      <x:c r="I336" s="31" t="n">
        <x:v>69</x:v>
      </x:c>
      <x:c r="J336" s="31" t="str"/>
    </x:row>
    <x:row r="337">
      <x:c r="A337" s="31" t="n">
        <x:v>340</x:v>
      </x:c>
      <x:c r="B337" s="31" t="str">
        <x:v>ja</x:v>
      </x:c>
      <x:c r="C337" s="31" t="str">
        <x:v>Miracle Twin</x:v>
      </x:c>
      <x:c r="D337" s="31" t="str">
        <x:v>SM11</x:v>
      </x:c>
      <x:c r="E337" s="31" t="str">
        <x:v>reconciled_components</x:v>
      </x:c>
      <x:c r="F337" s="31" t="n">
        <x:v>115</x:v>
      </x:c>
      <x:c r="G337" s="31" t="str">
        <x:v>Numbered total equals the reconciled printed denominator + beyond-denominator identities + separately listed subset identities.</x:v>
      </x:c>
      <x:c r="H337" s="31" t="str"/>
      <x:c r="I337" s="31" t="n">
        <x:v>115</x:v>
      </x:c>
      <x:c r="J337" s="31" t="str"/>
    </x:row>
    <x:row r="338">
      <x:c r="A338" s="31" t="n">
        <x:v>341</x:v>
      </x:c>
      <x:c r="B338" s="31" t="str">
        <x:v>ja</x:v>
      </x:c>
      <x:c r="C338" s="31" t="str">
        <x:v>Remix Bout</x:v>
      </x:c>
      <x:c r="D338" s="31" t="str">
        <x:v>SM11a</x:v>
      </x:c>
      <x:c r="E338" s="31" t="str">
        <x:v>reconciled_components</x:v>
      </x:c>
      <x:c r="F338" s="31" t="n">
        <x:v>80</x:v>
      </x:c>
      <x:c r="G338" s="31" t="str">
        <x:v>Numbered total equals the reconciled printed denominator + beyond-denominator identities + separately listed subset identities.</x:v>
      </x:c>
      <x:c r="H338" s="31" t="str"/>
      <x:c r="I338" s="31" t="n">
        <x:v>80</x:v>
      </x:c>
      <x:c r="J338" s="31" t="str"/>
    </x:row>
    <x:row r="339">
      <x:c r="A339" s="31" t="n">
        <x:v>342</x:v>
      </x:c>
      <x:c r="B339" s="31" t="str">
        <x:v>ja</x:v>
      </x:c>
      <x:c r="C339" s="31" t="str">
        <x:v>Dream League</x:v>
      </x:c>
      <x:c r="D339" s="31" t="str">
        <x:v>SM11b</x:v>
      </x:c>
      <x:c r="E339" s="31" t="str">
        <x:v>reconciled_components</x:v>
      </x:c>
      <x:c r="F339" s="31" t="n">
        <x:v>75</x:v>
      </x:c>
      <x:c r="G339" s="31" t="str">
        <x:v>Numbered total equals the reconciled printed denominator + beyond-denominator identities + separately listed subset identities.</x:v>
      </x:c>
      <x:c r="H339" s="31" t="str"/>
      <x:c r="I339" s="31" t="n">
        <x:v>75</x:v>
      </x:c>
      <x:c r="J339" s="31" t="str"/>
    </x:row>
    <x:row r="340">
      <x:c r="A340" s="31" t="n">
        <x:v>343</x:v>
      </x:c>
      <x:c r="B340" s="31" t="str">
        <x:v>ja</x:v>
      </x:c>
      <x:c r="C340" s="31" t="str">
        <x:v>Alter Genesis</x:v>
      </x:c>
      <x:c r="D340" s="31" t="str">
        <x:v>SM12</x:v>
      </x:c>
      <x:c r="E340" s="31" t="str">
        <x:v>reconciled_components</x:v>
      </x:c>
      <x:c r="F340" s="31" t="n">
        <x:v>117</x:v>
      </x:c>
      <x:c r="G340" s="31" t="str">
        <x:v>Numbered total equals the reconciled printed denominator + beyond-denominator identities + separately listed subset identities.</x:v>
      </x:c>
      <x:c r="H340" s="31" t="str"/>
      <x:c r="I340" s="31" t="n">
        <x:v>117</x:v>
      </x:c>
      <x:c r="J340" s="31" t="str"/>
    </x:row>
    <x:row r="341">
      <x:c r="A341" s="31" t="n">
        <x:v>344</x:v>
      </x:c>
      <x:c r="B341" s="31" t="str">
        <x:v>ja</x:v>
      </x:c>
      <x:c r="C341" s="31" t="str">
        <x:v>TAG TEAM GX: Tag All Stars</x:v>
      </x:c>
      <x:c r="D341" s="31" t="str">
        <x:v>SM12a</x:v>
      </x:c>
      <x:c r="E341" s="31" t="str">
        <x:v>reconciled_components</x:v>
      </x:c>
      <x:c r="F341" s="31" t="n">
        <x:v>226</x:v>
      </x:c>
      <x:c r="G341" s="31" t="str">
        <x:v>Numbered total equals the reconciled printed denominator + beyond-denominator identities + separately listed subset identities.</x:v>
      </x:c>
      <x:c r="H341" s="31" t="str"/>
      <x:c r="I341" s="31" t="n">
        <x:v>226</x:v>
      </x:c>
      <x:c r="J341" s="31" t="str"/>
    </x:row>
    <x:row r="342">
      <x:c r="A342" s="31" t="n">
        <x:v>345</x:v>
      </x:c>
      <x:c r="B342" s="31" t="str">
        <x:v>ja</x:v>
      </x:c>
      <x:c r="C342" s="31" t="str">
        <x:v>S-P Promotional cards</x:v>
      </x:c>
      <x:c r="D342" s="31" t="str">
        <x:v>S-P</x:v>
      </x:c>
      <x:c r="E342" s="31" t="str">
        <x:v>reconciled_components</x:v>
      </x:c>
      <x:c r="F342" s="31" t="n">
        <x:v>374</x:v>
      </x:c>
      <x:c r="G342" s="31" t="str">
        <x:v>Numbered total equals the reconciled printed denominator + beyond-denominator identities + separately listed subset identities.</x:v>
      </x:c>
      <x:c r="H342" s="31" t="str">
        <x:v>https://bulbapedia.bulbagarden.net/wiki/S-P</x:v>
      </x:c>
      <x:c r="I342" s="31" t="n">
        <x:v>374</x:v>
      </x:c>
      <x:c r="J342" s="31" t="str"/>
    </x:row>
    <x:row r="343">
      <x:c r="A343" s="31" t="n">
        <x:v>346</x:v>
      </x:c>
      <x:c r="B343" s="31" t="str">
        <x:v>ja</x:v>
      </x:c>
      <x:c r="C343" s="31" t="str">
        <x:v>Shield</x:v>
      </x:c>
      <x:c r="D343" s="31" t="str">
        <x:v>S1H</x:v>
      </x:c>
      <x:c r="E343" s="31" t="str">
        <x:v>reconciled_components</x:v>
      </x:c>
      <x:c r="F343" s="31" t="n">
        <x:v>75</x:v>
      </x:c>
      <x:c r="G343" s="31" t="str">
        <x:v>Numbered total equals the reconciled printed denominator + beyond-denominator identities + separately listed subset identities.</x:v>
      </x:c>
      <x:c r="H343" s="31" t="str"/>
      <x:c r="I343" s="31" t="n">
        <x:v>75</x:v>
      </x:c>
      <x:c r="J343" s="31" t="str"/>
    </x:row>
    <x:row r="344">
      <x:c r="A344" s="31" t="n">
        <x:v>347</x:v>
      </x:c>
      <x:c r="B344" s="31" t="str">
        <x:v>ja</x:v>
      </x:c>
      <x:c r="C344" s="31" t="str">
        <x:v>Sword</x:v>
      </x:c>
      <x:c r="D344" s="31" t="str">
        <x:v>S1W</x:v>
      </x:c>
      <x:c r="E344" s="31" t="str">
        <x:v>reconciled_components</x:v>
      </x:c>
      <x:c r="F344" s="31" t="n">
        <x:v>75</x:v>
      </x:c>
      <x:c r="G344" s="31" t="str">
        <x:v>Numbered total equals the reconciled printed denominator + beyond-denominator identities + separately listed subset identities.</x:v>
      </x:c>
      <x:c r="H344" s="31" t="str"/>
      <x:c r="I344" s="31" t="n">
        <x:v>75</x:v>
      </x:c>
      <x:c r="J344" s="31" t="str"/>
    </x:row>
    <x:row r="345">
      <x:c r="A345" s="31" t="n">
        <x:v>348</x:v>
      </x:c>
      <x:c r="B345" s="31" t="str">
        <x:v>ja</x:v>
      </x:c>
      <x:c r="C345" s="31" t="str">
        <x:v>VMAX Rising</x:v>
      </x:c>
      <x:c r="D345" s="31" t="str">
        <x:v>S1a</x:v>
      </x:c>
      <x:c r="E345" s="31" t="str">
        <x:v>reconciled_components</x:v>
      </x:c>
      <x:c r="F345" s="31" t="n">
        <x:v>86</x:v>
      </x:c>
      <x:c r="G345" s="31" t="str">
        <x:v>Numbered total equals the reconciled printed denominator + beyond-denominator identities + separately listed subset identities.</x:v>
      </x:c>
      <x:c r="H345" s="31" t="str"/>
      <x:c r="I345" s="31" t="n">
        <x:v>86</x:v>
      </x:c>
      <x:c r="J345" s="31" t="str"/>
    </x:row>
    <x:row r="346">
      <x:c r="A346" s="31" t="n">
        <x:v>349</x:v>
      </x:c>
      <x:c r="B346" s="31" t="str">
        <x:v>ja</x:v>
      </x:c>
      <x:c r="C346" s="31" t="str">
        <x:v>Rebellion Crash</x:v>
      </x:c>
      <x:c r="D346" s="31" t="str">
        <x:v>S2</x:v>
      </x:c>
      <x:c r="E346" s="31" t="str">
        <x:v>reconciled_components</x:v>
      </x:c>
      <x:c r="F346" s="31" t="n">
        <x:v>115</x:v>
      </x:c>
      <x:c r="G346" s="31" t="str">
        <x:v>Numbered total equals the reconciled printed denominator + beyond-denominator identities + separately listed subset identities.</x:v>
      </x:c>
      <x:c r="H346" s="31" t="str"/>
      <x:c r="I346" s="31" t="n">
        <x:v>115</x:v>
      </x:c>
      <x:c r="J346" s="31" t="str"/>
    </x:row>
    <x:row r="347">
      <x:c r="A347" s="31" t="n">
        <x:v>350</x:v>
      </x:c>
      <x:c r="B347" s="31" t="str">
        <x:v>ja</x:v>
      </x:c>
      <x:c r="C347" s="31" t="str">
        <x:v>Explosive Walker</x:v>
      </x:c>
      <x:c r="D347" s="31" t="str">
        <x:v>S2a</x:v>
      </x:c>
      <x:c r="E347" s="31" t="str">
        <x:v>reconciled_components</x:v>
      </x:c>
      <x:c r="F347" s="31" t="n">
        <x:v>86</x:v>
      </x:c>
      <x:c r="G347" s="31" t="str">
        <x:v>Numbered total equals the reconciled printed denominator + beyond-denominator identities + separately listed subset identities.</x:v>
      </x:c>
      <x:c r="H347" s="31" t="str"/>
      <x:c r="I347" s="31" t="n">
        <x:v>86</x:v>
      </x:c>
      <x:c r="J347" s="31" t="str"/>
    </x:row>
    <x:row r="348">
      <x:c r="A348" s="31" t="n">
        <x:v>351</x:v>
      </x:c>
      <x:c r="B348" s="31" t="str">
        <x:v>ja</x:v>
      </x:c>
      <x:c r="C348" s="31" t="str">
        <x:v>Infinity Zone</x:v>
      </x:c>
      <x:c r="D348" s="31" t="str">
        <x:v>S3</x:v>
      </x:c>
      <x:c r="E348" s="31" t="str">
        <x:v>reconciled_components</x:v>
      </x:c>
      <x:c r="F348" s="31" t="n">
        <x:v>119</x:v>
      </x:c>
      <x:c r="G348" s="31" t="str">
        <x:v>Numbered total equals the reconciled printed denominator + beyond-denominator identities + separately listed subset identities.</x:v>
      </x:c>
      <x:c r="H348" s="31" t="str"/>
      <x:c r="I348" s="31" t="n">
        <x:v>119</x:v>
      </x:c>
      <x:c r="J348" s="31" t="str"/>
    </x:row>
    <x:row r="349">
      <x:c r="A349" s="31" t="n">
        <x:v>352</x:v>
      </x:c>
      <x:c r="B349" s="31" t="str">
        <x:v>ja</x:v>
      </x:c>
      <x:c r="C349" s="31" t="str">
        <x:v>Legendary Heartbeat</x:v>
      </x:c>
      <x:c r="D349" s="31" t="str">
        <x:v>S3a</x:v>
      </x:c>
      <x:c r="E349" s="31" t="str">
        <x:v>reconciled_components</x:v>
      </x:c>
      <x:c r="F349" s="31" t="n">
        <x:v>94</x:v>
      </x:c>
      <x:c r="G349" s="31" t="str">
        <x:v>Numbered total equals the reconciled printed denominator + beyond-denominator identities + separately listed subset identities.</x:v>
      </x:c>
      <x:c r="H349" s="31" t="str"/>
      <x:c r="I349" s="31" t="n">
        <x:v>94</x:v>
      </x:c>
      <x:c r="J349" s="31" t="str"/>
    </x:row>
    <x:row r="350">
      <x:c r="A350" s="31" t="n">
        <x:v>353</x:v>
      </x:c>
      <x:c r="B350" s="31" t="str">
        <x:v>ja</x:v>
      </x:c>
      <x:c r="C350" s="31" t="str">
        <x:v>Amazing Volt Tackle</x:v>
      </x:c>
      <x:c r="D350" s="31" t="str">
        <x:v>S4</x:v>
      </x:c>
      <x:c r="E350" s="31" t="str">
        <x:v>reconciled_components</x:v>
      </x:c>
      <x:c r="F350" s="31" t="n">
        <x:v>121</x:v>
      </x:c>
      <x:c r="G350" s="31" t="str">
        <x:v>Numbered total equals the reconciled printed denominator + beyond-denominator identities + separately listed subset identities.</x:v>
      </x:c>
      <x:c r="H350" s="31" t="str"/>
      <x:c r="I350" s="31" t="n">
        <x:v>121</x:v>
      </x:c>
      <x:c r="J350" s="31" t="str"/>
    </x:row>
    <x:row r="351">
      <x:c r="A351" s="31" t="n">
        <x:v>354</x:v>
      </x:c>
      <x:c r="B351" s="31" t="str">
        <x:v>ja</x:v>
      </x:c>
      <x:c r="C351" s="31" t="str">
        <x:v>Shiny Star V</x:v>
      </x:c>
      <x:c r="D351" s="31" t="str">
        <x:v>S4a</x:v>
      </x:c>
      <x:c r="E351" s="31" t="str">
        <x:v>reconciled_components</x:v>
      </x:c>
      <x:c r="F351" s="31" t="n">
        <x:v>330</x:v>
      </x:c>
      <x:c r="G351" s="31" t="str">
        <x:v>Numbered total equals the reconciled printed denominator + beyond-denominator identities + separately listed subset identities.</x:v>
      </x:c>
      <x:c r="H351" s="31" t="str"/>
      <x:c r="I351" s="31" t="n">
        <x:v>330</x:v>
      </x:c>
      <x:c r="J351" s="31" t="str"/>
    </x:row>
    <x:row r="352">
      <x:c r="A352" s="31" t="n">
        <x:v>355</x:v>
      </x:c>
      <x:c r="B352" s="31" t="str">
        <x:v>ja</x:v>
      </x:c>
      <x:c r="C352" s="31" t="str">
        <x:v>Rapid Strike Master</x:v>
      </x:c>
      <x:c r="D352" s="31" t="str">
        <x:v>S5R</x:v>
      </x:c>
      <x:c r="E352" s="31" t="str">
        <x:v>reconciled_components</x:v>
      </x:c>
      <x:c r="F352" s="31" t="n">
        <x:v>91</x:v>
      </x:c>
      <x:c r="G352" s="31" t="str">
        <x:v>Numbered total equals the reconciled printed denominator + beyond-denominator identities + separately listed subset identities.</x:v>
      </x:c>
      <x:c r="H352" s="31" t="str"/>
      <x:c r="I352" s="31" t="n">
        <x:v>91</x:v>
      </x:c>
      <x:c r="J352" s="31" t="str"/>
    </x:row>
    <x:row r="353">
      <x:c r="A353" s="31" t="n">
        <x:v>356</x:v>
      </x:c>
      <x:c r="B353" s="31" t="str">
        <x:v>ja</x:v>
      </x:c>
      <x:c r="C353" s="31" t="str">
        <x:v>Single Strike Master</x:v>
      </x:c>
      <x:c r="D353" s="31" t="str">
        <x:v>S5I</x:v>
      </x:c>
      <x:c r="E353" s="31" t="str">
        <x:v>reconciled_components</x:v>
      </x:c>
      <x:c r="F353" s="31" t="n">
        <x:v>91</x:v>
      </x:c>
      <x:c r="G353" s="31" t="str">
        <x:v>Numbered total equals the reconciled printed denominator + beyond-denominator identities + separately listed subset identities.</x:v>
      </x:c>
      <x:c r="H353" s="31" t="str"/>
      <x:c r="I353" s="31" t="n">
        <x:v>91</x:v>
      </x:c>
      <x:c r="J353" s="31" t="str"/>
    </x:row>
    <x:row r="354">
      <x:c r="A354" s="31" t="n">
        <x:v>358</x:v>
      </x:c>
      <x:c r="B354" s="31" t="str">
        <x:v>ja</x:v>
      </x:c>
      <x:c r="C354" s="31" t="str">
        <x:v>Jet-Black Spirit</x:v>
      </x:c>
      <x:c r="D354" s="31" t="str">
        <x:v>S6K</x:v>
      </x:c>
      <x:c r="E354" s="31" t="str">
        <x:v>reconciled_components</x:v>
      </x:c>
      <x:c r="F354" s="31" t="n">
        <x:v>95</x:v>
      </x:c>
      <x:c r="G354" s="31" t="str">
        <x:v>Numbered total equals the reconciled printed denominator + beyond-denominator identities + separately listed subset identities.</x:v>
      </x:c>
      <x:c r="H354" s="31" t="str"/>
      <x:c r="I354" s="31" t="n">
        <x:v>95</x:v>
      </x:c>
      <x:c r="J354" s="31" t="str"/>
    </x:row>
    <x:row r="355">
      <x:c r="A355" s="31" t="n">
        <x:v>359</x:v>
      </x:c>
      <x:c r="B355" s="31" t="str">
        <x:v>ja</x:v>
      </x:c>
      <x:c r="C355" s="31" t="str">
        <x:v>Silver Lance</x:v>
      </x:c>
      <x:c r="D355" s="31" t="str">
        <x:v>S6H</x:v>
      </x:c>
      <x:c r="E355" s="31" t="str">
        <x:v>reconciled_components</x:v>
      </x:c>
      <x:c r="F355" s="31" t="n">
        <x:v>95</x:v>
      </x:c>
      <x:c r="G355" s="31" t="str">
        <x:v>Numbered total equals the reconciled printed denominator + beyond-denominator identities + separately listed subset identities.</x:v>
      </x:c>
      <x:c r="H355" s="31" t="str"/>
      <x:c r="I355" s="31" t="n">
        <x:v>95</x:v>
      </x:c>
      <x:c r="J355" s="31" t="str"/>
    </x:row>
    <x:row r="356">
      <x:c r="A356" s="31" t="n">
        <x:v>360</x:v>
      </x:c>
      <x:c r="B356" s="31" t="str">
        <x:v>ja</x:v>
      </x:c>
      <x:c r="C356" s="31" t="str">
        <x:v>Eevee Heroes</x:v>
      </x:c>
      <x:c r="D356" s="31" t="str">
        <x:v>S6a</x:v>
      </x:c>
      <x:c r="E356" s="31" t="str">
        <x:v>reconciled_components</x:v>
      </x:c>
      <x:c r="F356" s="31" t="n">
        <x:v>101</x:v>
      </x:c>
      <x:c r="G356" s="31" t="str">
        <x:v>Numbered total equals the reconciled printed denominator + beyond-denominator identities + separately listed subset identities.</x:v>
      </x:c>
      <x:c r="H356" s="31" t="str"/>
      <x:c r="I356" s="31" t="n">
        <x:v>101</x:v>
      </x:c>
      <x:c r="J356" s="31" t="str"/>
    </x:row>
    <x:row r="357">
      <x:c r="A357" s="31" t="n">
        <x:v>361</x:v>
      </x:c>
      <x:c r="B357" s="31" t="str">
        <x:v>ja</x:v>
      </x:c>
      <x:c r="C357" s="31" t="str">
        <x:v>Blue Sky Stream</x:v>
      </x:c>
      <x:c r="D357" s="31" t="str">
        <x:v>S7R</x:v>
      </x:c>
      <x:c r="E357" s="31" t="str">
        <x:v>reconciled_components</x:v>
      </x:c>
      <x:c r="F357" s="31" t="n">
        <x:v>90</x:v>
      </x:c>
      <x:c r="G357" s="31" t="str">
        <x:v>Numbered total equals the reconciled printed denominator + beyond-denominator identities + separately listed subset identities.</x:v>
      </x:c>
      <x:c r="H357" s="31" t="str"/>
      <x:c r="I357" s="31" t="n">
        <x:v>90</x:v>
      </x:c>
      <x:c r="J357" s="31" t="str"/>
    </x:row>
    <x:row r="358">
      <x:c r="A358" s="31" t="n">
        <x:v>362</x:v>
      </x:c>
      <x:c r="B358" s="31" t="str">
        <x:v>ja</x:v>
      </x:c>
      <x:c r="C358" s="31" t="str">
        <x:v>Skyscraping Perfection</x:v>
      </x:c>
      <x:c r="D358" s="31" t="str">
        <x:v>S7D</x:v>
      </x:c>
      <x:c r="E358" s="31" t="str">
        <x:v>reconciled_components</x:v>
      </x:c>
      <x:c r="F358" s="31" t="n">
        <x:v>90</x:v>
      </x:c>
      <x:c r="G358" s="31" t="str">
        <x:v>Numbered total equals the reconciled printed denominator + beyond-denominator identities + separately listed subset identities.</x:v>
      </x:c>
      <x:c r="H358" s="31" t="str"/>
      <x:c r="I358" s="31" t="n">
        <x:v>90</x:v>
      </x:c>
      <x:c r="J358" s="31" t="str"/>
    </x:row>
    <x:row r="359">
      <x:c r="A359" s="31" t="n">
        <x:v>363</x:v>
      </x:c>
      <x:c r="B359" s="31" t="str">
        <x:v>ja</x:v>
      </x:c>
      <x:c r="C359" s="31" t="str">
        <x:v>Fusion Arts</x:v>
      </x:c>
      <x:c r="D359" s="31" t="str">
        <x:v>S8</x:v>
      </x:c>
      <x:c r="E359" s="31" t="str">
        <x:v>reconciled_components</x:v>
      </x:c>
      <x:c r="F359" s="31" t="n">
        <x:v>129</x:v>
      </x:c>
      <x:c r="G359" s="31" t="str">
        <x:v>Numbered total equals the reconciled printed denominator + beyond-denominator identities + separately listed subset identities.</x:v>
      </x:c>
      <x:c r="H359" s="31" t="str"/>
      <x:c r="I359" s="31" t="n">
        <x:v>129</x:v>
      </x:c>
      <x:c r="J359" s="31" t="str"/>
    </x:row>
    <x:row r="360">
      <x:c r="A360" s="31" t="n">
        <x:v>364</x:v>
      </x:c>
      <x:c r="B360" s="31" t="str">
        <x:v>ja</x:v>
      </x:c>
      <x:c r="C360" s="31" t="str">
        <x:v>25th Anniversary Collection</x:v>
      </x:c>
      <x:c r="D360" s="31" t="str">
        <x:v>S8a</x:v>
      </x:c>
      <x:c r="E360" s="31" t="str">
        <x:v>reconciled_components</x:v>
      </x:c>
      <x:c r="F360" s="31" t="n">
        <x:v>30</x:v>
      </x:c>
      <x:c r="G360" s="31" t="str">
        <x:v>Numbered total equals the reconciled printed denominator + beyond-denominator identities + separately listed subset identities.</x:v>
      </x:c>
      <x:c r="H360" s="31" t="str"/>
      <x:c r="I360" s="31" t="n">
        <x:v>30</x:v>
      </x:c>
      <x:c r="J360" s="31" t="str"/>
    </x:row>
    <x:row r="361">
      <x:c r="A361" s="31" t="n">
        <x:v>365</x:v>
      </x:c>
      <x:c r="B361" s="31" t="str">
        <x:v>ja</x:v>
      </x:c>
      <x:c r="C361" s="31" t="str">
        <x:v>Promo Card Pack 25th Anniversary Edition</x:v>
      </x:c>
      <x:c r="D361" s="31" t="str">
        <x:v>S8aP</x:v>
      </x:c>
      <x:c r="E361" s="31" t="str">
        <x:v>reconciled_components</x:v>
      </x:c>
      <x:c r="F361" s="31" t="n">
        <x:v>25</x:v>
      </x:c>
      <x:c r="G361" s="31" t="str">
        <x:v>Numbered total equals the reconciled printed denominator + beyond-denominator identities + separately listed subset identities.</x:v>
      </x:c>
      <x:c r="H361" s="31" t="str">
        <x:v>https://bulbapedia.bulbagarden.net/wiki/S8aP</x:v>
      </x:c>
      <x:c r="I361" s="31" t="n">
        <x:v>25</x:v>
      </x:c>
      <x:c r="J361" s="31" t="str"/>
    </x:row>
    <x:row r="362">
      <x:c r="A362" s="31" t="n">
        <x:v>366</x:v>
      </x:c>
      <x:c r="B362" s="31" t="str">
        <x:v>ja</x:v>
      </x:c>
      <x:c r="C362" s="31" t="str">
        <x:v>VMAX Climax</x:v>
      </x:c>
      <x:c r="D362" s="31" t="str">
        <x:v>S8b</x:v>
      </x:c>
      <x:c r="E362" s="31" t="str">
        <x:v>reconciled_components</x:v>
      </x:c>
      <x:c r="F362" s="31" t="n">
        <x:v>285</x:v>
      </x:c>
      <x:c r="G362" s="31" t="str">
        <x:v>Numbered total equals the reconciled printed denominator + beyond-denominator identities + separately listed subset identities.</x:v>
      </x:c>
      <x:c r="H362" s="31" t="str"/>
      <x:c r="I362" s="31" t="n">
        <x:v>285</x:v>
      </x:c>
      <x:c r="J362" s="31" t="str"/>
    </x:row>
    <x:row r="363">
      <x:c r="A363" s="31" t="n">
        <x:v>367</x:v>
      </x:c>
      <x:c r="B363" s="31" t="str">
        <x:v>ja</x:v>
      </x:c>
      <x:c r="C363" s="31" t="str">
        <x:v>Star Birth</x:v>
      </x:c>
      <x:c r="D363" s="31" t="str">
        <x:v>S9</x:v>
      </x:c>
      <x:c r="E363" s="31" t="str">
        <x:v>reconciled_components</x:v>
      </x:c>
      <x:c r="F363" s="31" t="n">
        <x:v>127</x:v>
      </x:c>
      <x:c r="G363" s="31" t="str">
        <x:v>Numbered total equals the reconciled printed denominator + beyond-denominator identities + separately listed subset identities.</x:v>
      </x:c>
      <x:c r="H363" s="31" t="str"/>
      <x:c r="I363" s="31" t="n">
        <x:v>127</x:v>
      </x:c>
      <x:c r="J363" s="31" t="str"/>
    </x:row>
    <x:row r="364">
      <x:c r="A364" s="31" t="n">
        <x:v>368</x:v>
      </x:c>
      <x:c r="B364" s="31" t="str">
        <x:v>ja</x:v>
      </x:c>
      <x:c r="C364" s="31" t="str">
        <x:v>Battle Region</x:v>
      </x:c>
      <x:c r="D364" s="31" t="str">
        <x:v>S9a</x:v>
      </x:c>
      <x:c r="E364" s="31" t="str">
        <x:v>reconciled_components</x:v>
      </x:c>
      <x:c r="F364" s="31" t="n">
        <x:v>93</x:v>
      </x:c>
      <x:c r="G364" s="31" t="str">
        <x:v>Numbered total equals the reconciled printed denominator + beyond-denominator identities + separately listed subset identities.</x:v>
      </x:c>
      <x:c r="H364" s="31" t="str"/>
      <x:c r="I364" s="31" t="n">
        <x:v>93</x:v>
      </x:c>
      <x:c r="J364" s="31" t="str"/>
    </x:row>
    <x:row r="365">
      <x:c r="A365" s="31" t="n">
        <x:v>369</x:v>
      </x:c>
      <x:c r="B365" s="31" t="str">
        <x:v>ja</x:v>
      </x:c>
      <x:c r="C365" s="31" t="str">
        <x:v>Space Juggler</x:v>
      </x:c>
      <x:c r="D365" s="31" t="str">
        <x:v>S10P</x:v>
      </x:c>
      <x:c r="E365" s="31" t="str">
        <x:v>reconciled_components</x:v>
      </x:c>
      <x:c r="F365" s="31" t="n">
        <x:v>88</x:v>
      </x:c>
      <x:c r="G365" s="31" t="str">
        <x:v>Numbered total equals the reconciled printed denominator + beyond-denominator identities + separately listed subset identities.</x:v>
      </x:c>
      <x:c r="H365" s="31" t="str"/>
      <x:c r="I365" s="31" t="n">
        <x:v>88</x:v>
      </x:c>
      <x:c r="J365" s="31" t="str"/>
    </x:row>
    <x:row r="366">
      <x:c r="A366" s="31" t="n">
        <x:v>370</x:v>
      </x:c>
      <x:c r="B366" s="31" t="str">
        <x:v>ja</x:v>
      </x:c>
      <x:c r="C366" s="31" t="str">
        <x:v>Time Gazer</x:v>
      </x:c>
      <x:c r="D366" s="31" t="str">
        <x:v>S10D</x:v>
      </x:c>
      <x:c r="E366" s="31" t="str">
        <x:v>reconciled_components</x:v>
      </x:c>
      <x:c r="F366" s="31" t="n">
        <x:v>88</x:v>
      </x:c>
      <x:c r="G366" s="31" t="str">
        <x:v>Numbered total equals the reconciled printed denominator + beyond-denominator identities + separately listed subset identities.</x:v>
      </x:c>
      <x:c r="H366" s="31" t="str"/>
      <x:c r="I366" s="31" t="n">
        <x:v>88</x:v>
      </x:c>
      <x:c r="J366" s="31" t="str"/>
    </x:row>
    <x:row r="367">
      <x:c r="A367" s="31" t="n">
        <x:v>371</x:v>
      </x:c>
      <x:c r="B367" s="31" t="str">
        <x:v>ja</x:v>
      </x:c>
      <x:c r="C367" s="31" t="str">
        <x:v>Dark Phantasma</x:v>
      </x:c>
      <x:c r="D367" s="31" t="str">
        <x:v>S10a</x:v>
      </x:c>
      <x:c r="E367" s="31" t="str">
        <x:v>reconciled_components</x:v>
      </x:c>
      <x:c r="F367" s="31" t="n">
        <x:v>99</x:v>
      </x:c>
      <x:c r="G367" s="31" t="str">
        <x:v>Numbered total equals the reconciled printed denominator + beyond-denominator identities + separately listed subset identities.</x:v>
      </x:c>
      <x:c r="H367" s="31" t="str"/>
      <x:c r="I367" s="31" t="n">
        <x:v>99</x:v>
      </x:c>
      <x:c r="J367" s="31" t="str"/>
    </x:row>
    <x:row r="368">
      <x:c r="A368" s="31" t="n">
        <x:v>372</x:v>
      </x:c>
      <x:c r="B368" s="31" t="str">
        <x:v>ja</x:v>
      </x:c>
      <x:c r="C368" s="31" t="str">
        <x:v>Pokémon GO</x:v>
      </x:c>
      <x:c r="D368" s="31" t="str">
        <x:v>S10b</x:v>
      </x:c>
      <x:c r="E368" s="31" t="str">
        <x:v>reconciled_components</x:v>
      </x:c>
      <x:c r="F368" s="31" t="n">
        <x:v>93</x:v>
      </x:c>
      <x:c r="G368" s="31" t="str">
        <x:v>Numbered total equals the reconciled printed denominator + beyond-denominator identities + separately listed subset identities.</x:v>
      </x:c>
      <x:c r="H368" s="31" t="str"/>
      <x:c r="I368" s="31" t="n">
        <x:v>93</x:v>
      </x:c>
      <x:c r="J368" s="31" t="str"/>
    </x:row>
    <x:row r="369">
      <x:c r="A369" s="31" t="n">
        <x:v>373</x:v>
      </x:c>
      <x:c r="B369" s="31" t="str">
        <x:v>ja</x:v>
      </x:c>
      <x:c r="C369" s="31" t="str">
        <x:v>Lost Abyss</x:v>
      </x:c>
      <x:c r="D369" s="31" t="str">
        <x:v>S11</x:v>
      </x:c>
      <x:c r="E369" s="31" t="str">
        <x:v>reconciled_components</x:v>
      </x:c>
      <x:c r="F369" s="31" t="n">
        <x:v>127</x:v>
      </x:c>
      <x:c r="G369" s="31" t="str">
        <x:v>Numbered total equals the reconciled printed denominator + beyond-denominator identities + separately listed subset identities.</x:v>
      </x:c>
      <x:c r="H369" s="31" t="str"/>
      <x:c r="I369" s="31" t="n">
        <x:v>127</x:v>
      </x:c>
      <x:c r="J369" s="31" t="str"/>
    </x:row>
    <x:row r="370">
      <x:c r="A370" s="31" t="n">
        <x:v>374</x:v>
      </x:c>
      <x:c r="B370" s="31" t="str">
        <x:v>ja</x:v>
      </x:c>
      <x:c r="C370" s="31" t="str">
        <x:v>Incandescent Arcana</x:v>
      </x:c>
      <x:c r="D370" s="31" t="str">
        <x:v>S11a</x:v>
      </x:c>
      <x:c r="E370" s="31" t="str">
        <x:v>reconciled_components</x:v>
      </x:c>
      <x:c r="F370" s="31" t="n">
        <x:v>94</x:v>
      </x:c>
      <x:c r="G370" s="31" t="str">
        <x:v>Numbered total equals the reconciled printed denominator + beyond-denominator identities + separately listed subset identities.</x:v>
      </x:c>
      <x:c r="H370" s="31" t="str"/>
      <x:c r="I370" s="31" t="n">
        <x:v>94</x:v>
      </x:c>
      <x:c r="J370" s="31" t="str"/>
    </x:row>
    <x:row r="371">
      <x:c r="A371" s="31" t="n">
        <x:v>375</x:v>
      </x:c>
      <x:c r="B371" s="31" t="str">
        <x:v>ja</x:v>
      </x:c>
      <x:c r="C371" s="31" t="str">
        <x:v>Paradigm Trigger</x:v>
      </x:c>
      <x:c r="D371" s="31" t="str">
        <x:v>S12</x:v>
      </x:c>
      <x:c r="E371" s="31" t="str">
        <x:v>reconciled_components</x:v>
      </x:c>
      <x:c r="F371" s="31" t="n">
        <x:v>125</x:v>
      </x:c>
      <x:c r="G371" s="31" t="str">
        <x:v>Numbered total equals the reconciled printed denominator + beyond-denominator identities + separately listed subset identities.</x:v>
      </x:c>
      <x:c r="H371" s="31" t="str"/>
      <x:c r="I371" s="31" t="n">
        <x:v>125</x:v>
      </x:c>
      <x:c r="J371" s="31" t="str"/>
    </x:row>
    <x:row r="372">
      <x:c r="A372" s="31" t="n">
        <x:v>376</x:v>
      </x:c>
      <x:c r="B372" s="31" t="str">
        <x:v>ja</x:v>
      </x:c>
      <x:c r="C372" s="31" t="str">
        <x:v>SV-P Promotional cards</x:v>
      </x:c>
      <x:c r="D372" s="31" t="str">
        <x:v>SV-P</x:v>
      </x:c>
      <x:c r="E372" s="31" t="str">
        <x:v>reconciled_components</x:v>
      </x:c>
      <x:c r="F372" s="31" t="n">
        <x:v>303</x:v>
      </x:c>
      <x:c r="G372" s="31" t="str">
        <x:v>Numbered total equals the reconciled printed denominator + beyond-denominator identities + separately listed subset identities.</x:v>
      </x:c>
      <x:c r="H372" s="31" t="str">
        <x:v>https://bulbapedia.bulbagarden.net/wiki/SV-P</x:v>
      </x:c>
      <x:c r="I372" s="31" t="n">
        <x:v>303</x:v>
      </x:c>
      <x:c r="J372" s="31" t="str"/>
    </x:row>
    <x:row r="373">
      <x:c r="A373" s="31" t="n">
        <x:v>377</x:v>
      </x:c>
      <x:c r="B373" s="31" t="str">
        <x:v>ja</x:v>
      </x:c>
      <x:c r="C373" s="31" t="str">
        <x:v>VSTAR Universe</x:v>
      </x:c>
      <x:c r="D373" s="31" t="str">
        <x:v>S12a</x:v>
      </x:c>
      <x:c r="E373" s="31" t="str">
        <x:v>reconciled_components</x:v>
      </x:c>
      <x:c r="F373" s="31" t="n">
        <x:v>262</x:v>
      </x:c>
      <x:c r="G373" s="31" t="str">
        <x:v>Numbered total equals the reconciled printed denominator + beyond-denominator identities + separately listed subset identities.</x:v>
      </x:c>
      <x:c r="H373" s="31" t="str"/>
      <x:c r="I373" s="31" t="n">
        <x:v>262</x:v>
      </x:c>
      <x:c r="J373" s="31" t="str"/>
    </x:row>
    <x:row r="374">
      <x:c r="A374" s="31" t="n">
        <x:v>378</x:v>
      </x:c>
      <x:c r="B374" s="31" t="str">
        <x:v>ja</x:v>
      </x:c>
      <x:c r="C374" s="31" t="str">
        <x:v>Scarlet ex</x:v>
      </x:c>
      <x:c r="D374" s="31" t="str">
        <x:v>SV1S</x:v>
      </x:c>
      <x:c r="E374" s="31" t="str">
        <x:v>reconciled_components</x:v>
      </x:c>
      <x:c r="F374" s="31" t="n">
        <x:v>108</x:v>
      </x:c>
      <x:c r="G374" s="31" t="str">
        <x:v>Numbered total equals the reconciled printed denominator + beyond-denominator identities + separately listed subset identities.</x:v>
      </x:c>
      <x:c r="H374" s="31" t="str"/>
      <x:c r="I374" s="31" t="n">
        <x:v>108</x:v>
      </x:c>
      <x:c r="J374" s="31" t="str"/>
    </x:row>
    <x:row r="375">
      <x:c r="A375" s="31" t="n">
        <x:v>379</x:v>
      </x:c>
      <x:c r="B375" s="31" t="str">
        <x:v>ja</x:v>
      </x:c>
      <x:c r="C375" s="31" t="str">
        <x:v>Violet ex</x:v>
      </x:c>
      <x:c r="D375" s="31" t="str">
        <x:v>SV1V</x:v>
      </x:c>
      <x:c r="E375" s="31" t="str">
        <x:v>reconciled_components</x:v>
      </x:c>
      <x:c r="F375" s="31" t="n">
        <x:v>108</x:v>
      </x:c>
      <x:c r="G375" s="31" t="str">
        <x:v>Numbered total equals the reconciled printed denominator + beyond-denominator identities + separately listed subset identities.</x:v>
      </x:c>
      <x:c r="H375" s="31" t="str"/>
      <x:c r="I375" s="31" t="n">
        <x:v>108</x:v>
      </x:c>
      <x:c r="J375" s="31" t="str"/>
    </x:row>
    <x:row r="376">
      <x:c r="A376" s="31" t="n">
        <x:v>380</x:v>
      </x:c>
      <x:c r="B376" s="31" t="str">
        <x:v>ja</x:v>
      </x:c>
      <x:c r="C376" s="31" t="str">
        <x:v>Triplet Beat</x:v>
      </x:c>
      <x:c r="D376" s="31" t="str">
        <x:v>SV1a</x:v>
      </x:c>
      <x:c r="E376" s="31" t="str">
        <x:v>reconciled_components</x:v>
      </x:c>
      <x:c r="F376" s="31" t="n">
        <x:v>103</x:v>
      </x:c>
      <x:c r="G376" s="31" t="str">
        <x:v>Numbered total equals the reconciled printed denominator + beyond-denominator identities + separately listed subset identities.</x:v>
      </x:c>
      <x:c r="H376" s="31" t="str"/>
      <x:c r="I376" s="31" t="n">
        <x:v>103</x:v>
      </x:c>
      <x:c r="J376" s="31" t="str"/>
    </x:row>
    <x:row r="377">
      <x:c r="A377" s="31" t="n">
        <x:v>381</x:v>
      </x:c>
      <x:c r="B377" s="31" t="str">
        <x:v>ja</x:v>
      </x:c>
      <x:c r="C377" s="31" t="str">
        <x:v>Clay Burst</x:v>
      </x:c>
      <x:c r="D377" s="31" t="str">
        <x:v>SV2D</x:v>
      </x:c>
      <x:c r="E377" s="31" t="str">
        <x:v>reconciled_components</x:v>
      </x:c>
      <x:c r="F377" s="31" t="n">
        <x:v>99</x:v>
      </x:c>
      <x:c r="G377" s="31" t="str">
        <x:v>Numbered total equals the reconciled printed denominator + beyond-denominator identities + separately listed subset identities.</x:v>
      </x:c>
      <x:c r="H377" s="31" t="str"/>
      <x:c r="I377" s="31" t="n">
        <x:v>99</x:v>
      </x:c>
      <x:c r="J377" s="31" t="str"/>
    </x:row>
    <x:row r="378">
      <x:c r="A378" s="31" t="n">
        <x:v>382</x:v>
      </x:c>
      <x:c r="B378" s="31" t="str">
        <x:v>ja</x:v>
      </x:c>
      <x:c r="C378" s="31" t="str">
        <x:v>Snow Hazard</x:v>
      </x:c>
      <x:c r="D378" s="31" t="str">
        <x:v>SV2P</x:v>
      </x:c>
      <x:c r="E378" s="31" t="str">
        <x:v>reconciled_components</x:v>
      </x:c>
      <x:c r="F378" s="31" t="n">
        <x:v>99</x:v>
      </x:c>
      <x:c r="G378" s="31" t="str">
        <x:v>Numbered total equals the reconciled printed denominator + beyond-denominator identities + separately listed subset identities.</x:v>
      </x:c>
      <x:c r="H378" s="31" t="str"/>
      <x:c r="I378" s="31" t="n">
        <x:v>99</x:v>
      </x:c>
      <x:c r="J378" s="31" t="str"/>
    </x:row>
    <x:row r="379">
      <x:c r="A379" s="31" t="n">
        <x:v>383</x:v>
      </x:c>
      <x:c r="B379" s="31" t="str">
        <x:v>ja</x:v>
      </x:c>
      <x:c r="C379" s="31" t="str">
        <x:v>Pokémon Card 151</x:v>
      </x:c>
      <x:c r="D379" s="31" t="str">
        <x:v>SV2a</x:v>
      </x:c>
      <x:c r="E379" s="31" t="str">
        <x:v>reconciled_components</x:v>
      </x:c>
      <x:c r="F379" s="31" t="n">
        <x:v>210</x:v>
      </x:c>
      <x:c r="G379" s="31" t="str">
        <x:v>Numbered total equals the reconciled printed denominator + beyond-denominator identities + separately listed subset identities.</x:v>
      </x:c>
      <x:c r="H379" s="31" t="str"/>
      <x:c r="I379" s="31" t="n">
        <x:v>210</x:v>
      </x:c>
      <x:c r="J379" s="31" t="str"/>
    </x:row>
    <x:row r="380">
      <x:c r="A380" s="31" t="n">
        <x:v>384</x:v>
      </x:c>
      <x:c r="B380" s="31" t="str">
        <x:v>ja</x:v>
      </x:c>
      <x:c r="C380" s="31" t="str">
        <x:v>Ruler of the Black Flame</x:v>
      </x:c>
      <x:c r="D380" s="31" t="str">
        <x:v>SV3</x:v>
      </x:c>
      <x:c r="E380" s="31" t="str">
        <x:v>reconciled_components</x:v>
      </x:c>
      <x:c r="F380" s="31" t="n">
        <x:v>141</x:v>
      </x:c>
      <x:c r="G380" s="31" t="str">
        <x:v>Numbered total equals the reconciled printed denominator + beyond-denominator identities + separately listed subset identities.</x:v>
      </x:c>
      <x:c r="H380" s="31" t="str"/>
      <x:c r="I380" s="31" t="n">
        <x:v>141</x:v>
      </x:c>
      <x:c r="J380" s="31" t="str"/>
    </x:row>
    <x:row r="381">
      <x:c r="A381" s="31" t="n">
        <x:v>385</x:v>
      </x:c>
      <x:c r="B381" s="31" t="str">
        <x:v>ja</x:v>
      </x:c>
      <x:c r="C381" s="31" t="str">
        <x:v>Raging Surf</x:v>
      </x:c>
      <x:c r="D381" s="31" t="str">
        <x:v>SV3a</x:v>
      </x:c>
      <x:c r="E381" s="31" t="str">
        <x:v>reconciled_components</x:v>
      </x:c>
      <x:c r="F381" s="31" t="n">
        <x:v>92</x:v>
      </x:c>
      <x:c r="G381" s="31" t="str">
        <x:v>Numbered total equals the reconciled printed denominator + beyond-denominator identities + separately listed subset identities.</x:v>
      </x:c>
      <x:c r="H381" s="31" t="str"/>
      <x:c r="I381" s="31" t="n">
        <x:v>92</x:v>
      </x:c>
      <x:c r="J381" s="31" t="str"/>
    </x:row>
    <x:row r="382">
      <x:c r="A382" s="31" t="n">
        <x:v>386</x:v>
      </x:c>
      <x:c r="B382" s="31" t="str">
        <x:v>ja</x:v>
      </x:c>
      <x:c r="C382" s="31" t="str">
        <x:v>Ancient Roar</x:v>
      </x:c>
      <x:c r="D382" s="31" t="str">
        <x:v>SV4K</x:v>
      </x:c>
      <x:c r="E382" s="31" t="str">
        <x:v>reconciled_components</x:v>
      </x:c>
      <x:c r="F382" s="31" t="n">
        <x:v>95</x:v>
      </x:c>
      <x:c r="G382" s="31" t="str">
        <x:v>Numbered total equals the reconciled printed denominator + beyond-denominator identities + separately listed subset identities.</x:v>
      </x:c>
      <x:c r="H382" s="31" t="str"/>
      <x:c r="I382" s="31" t="n">
        <x:v>95</x:v>
      </x:c>
      <x:c r="J382" s="31" t="str"/>
    </x:row>
    <x:row r="383">
      <x:c r="A383" s="31" t="n">
        <x:v>387</x:v>
      </x:c>
      <x:c r="B383" s="31" t="str">
        <x:v>ja</x:v>
      </x:c>
      <x:c r="C383" s="31" t="str">
        <x:v>Future Flash</x:v>
      </x:c>
      <x:c r="D383" s="31" t="str">
        <x:v>SV4M</x:v>
      </x:c>
      <x:c r="E383" s="31" t="str">
        <x:v>reconciled_components</x:v>
      </x:c>
      <x:c r="F383" s="31" t="n">
        <x:v>95</x:v>
      </x:c>
      <x:c r="G383" s="31" t="str">
        <x:v>Numbered total equals the reconciled printed denominator + beyond-denominator identities + separately listed subset identities.</x:v>
      </x:c>
      <x:c r="H383" s="31" t="str"/>
      <x:c r="I383" s="31" t="n">
        <x:v>95</x:v>
      </x:c>
      <x:c r="J383" s="31" t="str"/>
    </x:row>
    <x:row r="384">
      <x:c r="A384" s="31" t="n">
        <x:v>388</x:v>
      </x:c>
      <x:c r="B384" s="31" t="str">
        <x:v>ja</x:v>
      </x:c>
      <x:c r="C384" s="31" t="str">
        <x:v>Shiny Treasure ex</x:v>
      </x:c>
      <x:c r="D384" s="31" t="str">
        <x:v>SV4a</x:v>
      </x:c>
      <x:c r="E384" s="31" t="str">
        <x:v>reconciled_components</x:v>
      </x:c>
      <x:c r="F384" s="31" t="n">
        <x:v>360</x:v>
      </x:c>
      <x:c r="G384" s="31" t="str">
        <x:v>Numbered total equals the reconciled printed denominator + beyond-denominator identities + separately listed subset identities.</x:v>
      </x:c>
      <x:c r="H384" s="31" t="str"/>
      <x:c r="I384" s="31" t="n">
        <x:v>360</x:v>
      </x:c>
      <x:c r="J384" s="31" t="str"/>
    </x:row>
    <x:row r="385">
      <x:c r="A385" s="31" t="n">
        <x:v>389</x:v>
      </x:c>
      <x:c r="B385" s="31" t="str">
        <x:v>ja</x:v>
      </x:c>
      <x:c r="C385" s="31" t="str">
        <x:v>Cyber Judge</x:v>
      </x:c>
      <x:c r="D385" s="31" t="str">
        <x:v>SV5M</x:v>
      </x:c>
      <x:c r="E385" s="31" t="str">
        <x:v>reconciled_components</x:v>
      </x:c>
      <x:c r="F385" s="31" t="n">
        <x:v>100</x:v>
      </x:c>
      <x:c r="G385" s="31" t="str">
        <x:v>Numbered total equals the reconciled printed denominator + beyond-denominator identities + separately listed subset identities.</x:v>
      </x:c>
      <x:c r="H385" s="31" t="str"/>
      <x:c r="I385" s="31" t="n">
        <x:v>100</x:v>
      </x:c>
      <x:c r="J385" s="31" t="str"/>
    </x:row>
    <x:row r="386">
      <x:c r="A386" s="31" t="n">
        <x:v>390</x:v>
      </x:c>
      <x:c r="B386" s="31" t="str">
        <x:v>ja</x:v>
      </x:c>
      <x:c r="C386" s="31" t="str">
        <x:v>Wild Force</x:v>
      </x:c>
      <x:c r="D386" s="31" t="str">
        <x:v>SV5K</x:v>
      </x:c>
      <x:c r="E386" s="31" t="str">
        <x:v>reconciled_components</x:v>
      </x:c>
      <x:c r="F386" s="31" t="n">
        <x:v>100</x:v>
      </x:c>
      <x:c r="G386" s="31" t="str">
        <x:v>Numbered total equals the reconciled printed denominator + beyond-denominator identities + separately listed subset identities.</x:v>
      </x:c>
      <x:c r="H386" s="31" t="str"/>
      <x:c r="I386" s="31" t="n">
        <x:v>100</x:v>
      </x:c>
      <x:c r="J386" s="31" t="str"/>
    </x:row>
    <x:row r="387">
      <x:c r="A387" s="31" t="n">
        <x:v>391</x:v>
      </x:c>
      <x:c r="B387" s="31" t="str">
        <x:v>ja</x:v>
      </x:c>
      <x:c r="C387" s="31" t="str">
        <x:v>Crimson Haze</x:v>
      </x:c>
      <x:c r="D387" s="31" t="str">
        <x:v>SV5a</x:v>
      </x:c>
      <x:c r="E387" s="31" t="str">
        <x:v>reconciled_components</x:v>
      </x:c>
      <x:c r="F387" s="31" t="n">
        <x:v>96</x:v>
      </x:c>
      <x:c r="G387" s="31" t="str">
        <x:v>Numbered total equals the reconciled printed denominator + beyond-denominator identities + separately listed subset identities.</x:v>
      </x:c>
      <x:c r="H387" s="31" t="str"/>
      <x:c r="I387" s="31" t="n">
        <x:v>96</x:v>
      </x:c>
      <x:c r="J387" s="31" t="str"/>
    </x:row>
    <x:row r="388">
      <x:c r="A388" s="31" t="n">
        <x:v>392</x:v>
      </x:c>
      <x:c r="B388" s="31" t="str">
        <x:v>ja</x:v>
      </x:c>
      <x:c r="C388" s="31" t="str">
        <x:v>Transformation Mask</x:v>
      </x:c>
      <x:c r="D388" s="31" t="str">
        <x:v>SV6</x:v>
      </x:c>
      <x:c r="E388" s="31" t="str">
        <x:v>reconciled_components</x:v>
      </x:c>
      <x:c r="F388" s="31" t="n">
        <x:v>133</x:v>
      </x:c>
      <x:c r="G388" s="31" t="str">
        <x:v>Numbered total equals the reconciled printed denominator + beyond-denominator identities + separately listed subset identities.</x:v>
      </x:c>
      <x:c r="H388" s="31" t="str"/>
      <x:c r="I388" s="31" t="n">
        <x:v>133</x:v>
      </x:c>
      <x:c r="J388" s="31" t="str"/>
    </x:row>
    <x:row r="389">
      <x:c r="A389" s="31" t="n">
        <x:v>393</x:v>
      </x:c>
      <x:c r="B389" s="31" t="str">
        <x:v>ja</x:v>
      </x:c>
      <x:c r="C389" s="31" t="str">
        <x:v>Night Wanderer</x:v>
      </x:c>
      <x:c r="D389" s="31" t="str">
        <x:v>SV6a</x:v>
      </x:c>
      <x:c r="E389" s="31" t="str">
        <x:v>reconciled_components</x:v>
      </x:c>
      <x:c r="F389" s="31" t="n">
        <x:v>94</x:v>
      </x:c>
      <x:c r="G389" s="31" t="str">
        <x:v>Numbered total equals the reconciled printed denominator + beyond-denominator identities + separately listed subset identities.</x:v>
      </x:c>
      <x:c r="H389" s="31" t="str"/>
      <x:c r="I389" s="31" t="n">
        <x:v>94</x:v>
      </x:c>
      <x:c r="J389" s="31" t="str"/>
    </x:row>
    <x:row r="390">
      <x:c r="A390" s="31" t="n">
        <x:v>394</x:v>
      </x:c>
      <x:c r="B390" s="31" t="str">
        <x:v>ja</x:v>
      </x:c>
      <x:c r="C390" s="31" t="str">
        <x:v>Stellar Miracle</x:v>
      </x:c>
      <x:c r="D390" s="31" t="str">
        <x:v>SV7</x:v>
      </x:c>
      <x:c r="E390" s="31" t="str">
        <x:v>reconciled_components</x:v>
      </x:c>
      <x:c r="F390" s="31" t="n">
        <x:v>135</x:v>
      </x:c>
      <x:c r="G390" s="31" t="str">
        <x:v>Numbered total equals the reconciled printed denominator + beyond-denominator identities + separately listed subset identities.</x:v>
      </x:c>
      <x:c r="H390" s="31" t="str"/>
      <x:c r="I390" s="31" t="n">
        <x:v>135</x:v>
      </x:c>
      <x:c r="J390" s="31" t="str"/>
    </x:row>
    <x:row r="391">
      <x:c r="A391" s="31" t="n">
        <x:v>395</x:v>
      </x:c>
      <x:c r="B391" s="31" t="str">
        <x:v>ja</x:v>
      </x:c>
      <x:c r="C391" s="31" t="str">
        <x:v>Paradise Dragona</x:v>
      </x:c>
      <x:c r="D391" s="31" t="str">
        <x:v>SV7a</x:v>
      </x:c>
      <x:c r="E391" s="31" t="str">
        <x:v>reconciled_components</x:v>
      </x:c>
      <x:c r="F391" s="31" t="n">
        <x:v>94</x:v>
      </x:c>
      <x:c r="G391" s="31" t="str">
        <x:v>Numbered total equals the reconciled printed denominator + beyond-denominator identities + separately listed subset identities.</x:v>
      </x:c>
      <x:c r="H391" s="31" t="str"/>
      <x:c r="I391" s="31" t="n">
        <x:v>94</x:v>
      </x:c>
      <x:c r="J391" s="31" t="str"/>
    </x:row>
    <x:row r="392">
      <x:c r="A392" s="31" t="n">
        <x:v>396</x:v>
      </x:c>
      <x:c r="B392" s="31" t="str">
        <x:v>ja</x:v>
      </x:c>
      <x:c r="C392" s="31" t="str">
        <x:v>Super Electric Breaker</x:v>
      </x:c>
      <x:c r="D392" s="31" t="str">
        <x:v>SV8</x:v>
      </x:c>
      <x:c r="E392" s="31" t="str">
        <x:v>reconciled_components</x:v>
      </x:c>
      <x:c r="F392" s="31" t="n">
        <x:v>138</x:v>
      </x:c>
      <x:c r="G392" s="31" t="str">
        <x:v>Numbered total equals the reconciled printed denominator + beyond-denominator identities + separately listed subset identities.</x:v>
      </x:c>
      <x:c r="H392" s="31" t="str"/>
      <x:c r="I392" s="31" t="n">
        <x:v>138</x:v>
      </x:c>
      <x:c r="J392" s="31" t="str"/>
    </x:row>
    <x:row r="393">
      <x:c r="A393" s="31" t="n">
        <x:v>397</x:v>
      </x:c>
      <x:c r="B393" s="31" t="str">
        <x:v>ja</x:v>
      </x:c>
      <x:c r="C393" s="31" t="str">
        <x:v>Terastal Fest ex</x:v>
      </x:c>
      <x:c r="D393" s="31" t="str">
        <x:v>SV8a</x:v>
      </x:c>
      <x:c r="E393" s="31" t="str">
        <x:v>reconciled_components</x:v>
      </x:c>
      <x:c r="F393" s="31" t="n">
        <x:v>237</x:v>
      </x:c>
      <x:c r="G393" s="31" t="str">
        <x:v>Numbered total equals the reconciled printed denominator + beyond-denominator identities + separately listed subset identities.</x:v>
      </x:c>
      <x:c r="H393" s="31" t="str"/>
      <x:c r="I393" s="31" t="n">
        <x:v>237</x:v>
      </x:c>
      <x:c r="J393" s="31" t="str"/>
    </x:row>
    <x:row r="394">
      <x:c r="A394" s="31" t="n">
        <x:v>398</x:v>
      </x:c>
      <x:c r="B394" s="31" t="str">
        <x:v>ja</x:v>
      </x:c>
      <x:c r="C394" s="31" t="str">
        <x:v>Battle Partners</x:v>
      </x:c>
      <x:c r="D394" s="31" t="str">
        <x:v>SV9</x:v>
      </x:c>
      <x:c r="E394" s="31" t="str">
        <x:v>reconciled_components</x:v>
      </x:c>
      <x:c r="F394" s="31" t="n">
        <x:v>132</x:v>
      </x:c>
      <x:c r="G394" s="31" t="str">
        <x:v>Numbered total equals the reconciled printed denominator + beyond-denominator identities + separately listed subset identities.</x:v>
      </x:c>
      <x:c r="H394" s="31" t="str"/>
      <x:c r="I394" s="31" t="n">
        <x:v>132</x:v>
      </x:c>
      <x:c r="J394" s="31" t="str"/>
    </x:row>
    <x:row r="395">
      <x:c r="A395" s="31" t="n">
        <x:v>399</x:v>
      </x:c>
      <x:c r="B395" s="31" t="str">
        <x:v>ja</x:v>
      </x:c>
      <x:c r="C395" s="31" t="str">
        <x:v>Hot Wind Arena</x:v>
      </x:c>
      <x:c r="D395" s="31" t="str">
        <x:v>SV9a</x:v>
      </x:c>
      <x:c r="E395" s="31" t="str">
        <x:v>reconciled_components</x:v>
      </x:c>
      <x:c r="F395" s="31" t="n">
        <x:v>92</x:v>
      </x:c>
      <x:c r="G395" s="31" t="str">
        <x:v>Numbered total equals the reconciled printed denominator + beyond-denominator identities + separately listed subset identities.</x:v>
      </x:c>
      <x:c r="H395" s="31" t="str"/>
      <x:c r="I395" s="31" t="n">
        <x:v>92</x:v>
      </x:c>
      <x:c r="J395" s="31" t="str"/>
    </x:row>
    <x:row r="396">
      <x:c r="A396" s="31" t="n">
        <x:v>400</x:v>
      </x:c>
      <x:c r="B396" s="31" t="str">
        <x:v>ja</x:v>
      </x:c>
      <x:c r="C396" s="31" t="str">
        <x:v>Glory of the Rocket Gang</x:v>
      </x:c>
      <x:c r="D396" s="31" t="str">
        <x:v>SV10</x:v>
      </x:c>
      <x:c r="E396" s="31" t="str">
        <x:v>reconciled_components</x:v>
      </x:c>
      <x:c r="F396" s="31" t="n">
        <x:v>132</x:v>
      </x:c>
      <x:c r="G396" s="31" t="str">
        <x:v>Numbered total equals the reconciled printed denominator + beyond-denominator identities + separately listed subset identities.</x:v>
      </x:c>
      <x:c r="H396" s="31" t="str"/>
      <x:c r="I396" s="31" t="n">
        <x:v>132</x:v>
      </x:c>
      <x:c r="J396" s="31" t="str"/>
    </x:row>
    <x:row r="397">
      <x:c r="A397" s="31" t="n">
        <x:v>401</x:v>
      </x:c>
      <x:c r="B397" s="31" t="str">
        <x:v>ja</x:v>
      </x:c>
      <x:c r="C397" s="31" t="str">
        <x:v>Black Bolt</x:v>
      </x:c>
      <x:c r="D397" s="31" t="str">
        <x:v>SV11B</x:v>
      </x:c>
      <x:c r="E397" s="31" t="str">
        <x:v>reconciled_components</x:v>
      </x:c>
      <x:c r="F397" s="31" t="n">
        <x:v>174</x:v>
      </x:c>
      <x:c r="G397" s="31" t="str">
        <x:v>Numbered total equals the reconciled printed denominator + beyond-denominator identities + separately listed subset identities.</x:v>
      </x:c>
      <x:c r="H397" s="31" t="str"/>
      <x:c r="I397" s="31" t="n">
        <x:v>174</x:v>
      </x:c>
      <x:c r="J397" s="31" t="str"/>
    </x:row>
    <x:row r="398">
      <x:c r="A398" s="31" t="n">
        <x:v>402</x:v>
      </x:c>
      <x:c r="B398" s="31" t="str">
        <x:v>ja</x:v>
      </x:c>
      <x:c r="C398" s="31" t="str">
        <x:v>White Flare</x:v>
      </x:c>
      <x:c r="D398" s="31" t="str">
        <x:v>SV11W</x:v>
      </x:c>
      <x:c r="E398" s="31" t="str">
        <x:v>reconciled_components</x:v>
      </x:c>
      <x:c r="F398" s="31" t="n">
        <x:v>174</x:v>
      </x:c>
      <x:c r="G398" s="31" t="str">
        <x:v>Numbered total equals the reconciled printed denominator + beyond-denominator identities + separately listed subset identities.</x:v>
      </x:c>
      <x:c r="H398" s="31" t="str"/>
      <x:c r="I398" s="31" t="n">
        <x:v>174</x:v>
      </x:c>
      <x:c r="J398" s="31" t="str"/>
    </x:row>
    <x:row r="399">
      <x:c r="A399" s="31" t="n">
        <x:v>403</x:v>
      </x:c>
      <x:c r="B399" s="31" t="str">
        <x:v>ja</x:v>
      </x:c>
      <x:c r="C399" s="31" t="str">
        <x:v>M-P Promotional cards</x:v>
      </x:c>
      <x:c r="D399" s="31" t="str">
        <x:v>M-P</x:v>
      </x:c>
      <x:c r="E399" s="31" t="str">
        <x:v>reference_bridge_promo_numbering_extent</x:v>
      </x:c>
      <x:c r="F399" s="31" t="n">
        <x:v>145</x:v>
      </x:c>
      <x:c r="G399" s="31" t="str">
        <x:v>Numbered total bridged from the sourced reference-count checklist for this exact row scope. Current M-P promotional catalogue numbering extent in the source snapshot; ongoing promo series.</x:v>
      </x:c>
      <x:c r="H399" s="31" t="str">
        <x:v>https://bulbapedia.bulbagarden.net/wiki/M-P_Promotional_cards_(TCG)</x:v>
      </x:c>
      <x:c r="I399" s="31" t="n">
        <x:v>145</x:v>
      </x:c>
      <x:c r="J399" s="31" t="str">
        <x:v>numbered_total_provisional_snapshot</x:v>
      </x:c>
    </x:row>
    <x:row r="400">
      <x:c r="A400" s="31" t="n">
        <x:v>404</x:v>
      </x:c>
      <x:c r="B400" s="31" t="str">
        <x:v>ja</x:v>
      </x:c>
      <x:c r="C400" s="31" t="str">
        <x:v>Mega Brave</x:v>
      </x:c>
      <x:c r="D400" s="31" t="str">
        <x:v>M1L</x:v>
      </x:c>
      <x:c r="E400" s="31" t="str">
        <x:v>reconciled_components</x:v>
      </x:c>
      <x:c r="F400" s="31" t="n">
        <x:v>92</x:v>
      </x:c>
      <x:c r="G400" s="31" t="str">
        <x:v>Numbered total equals the reconciled printed denominator + beyond-denominator identities + separately listed subset identities.</x:v>
      </x:c>
      <x:c r="H400" s="31" t="str"/>
      <x:c r="I400" s="31" t="n">
        <x:v>92</x:v>
      </x:c>
      <x:c r="J400" s="31" t="str"/>
    </x:row>
    <x:row r="401">
      <x:c r="A401" s="31" t="n">
        <x:v>405</x:v>
      </x:c>
      <x:c r="B401" s="31" t="str">
        <x:v>ja</x:v>
      </x:c>
      <x:c r="C401" s="31" t="str">
        <x:v>Mega Symphonia</x:v>
      </x:c>
      <x:c r="D401" s="31" t="str">
        <x:v>M1S</x:v>
      </x:c>
      <x:c r="E401" s="31" t="str">
        <x:v>reconciled_components</x:v>
      </x:c>
      <x:c r="F401" s="31" t="n">
        <x:v>92</x:v>
      </x:c>
      <x:c r="G401" s="31" t="str">
        <x:v>Numbered total equals the reconciled printed denominator + beyond-denominator identities + separately listed subset identities.</x:v>
      </x:c>
      <x:c r="H401" s="31" t="str"/>
      <x:c r="I401" s="31" t="n">
        <x:v>92</x:v>
      </x:c>
      <x:c r="J401" s="31" t="str"/>
    </x:row>
    <x:row r="402">
      <x:c r="A402" s="31" t="n">
        <x:v>406</x:v>
      </x:c>
      <x:c r="B402" s="31" t="str">
        <x:v>ja</x:v>
      </x:c>
      <x:c r="C402" s="31" t="str">
        <x:v>Inferno X</x:v>
      </x:c>
      <x:c r="D402" s="31" t="str">
        <x:v>M2</x:v>
      </x:c>
      <x:c r="E402" s="31" t="str">
        <x:v>reconciled_components</x:v>
      </x:c>
      <x:c r="F402" s="31" t="n">
        <x:v>116</x:v>
      </x:c>
      <x:c r="G402" s="31" t="str">
        <x:v>Numbered total equals the reconciled printed denominator + beyond-denominator identities + separately listed subset identities.</x:v>
      </x:c>
      <x:c r="H402" s="31" t="str"/>
      <x:c r="I402" s="31" t="n">
        <x:v>116</x:v>
      </x:c>
      <x:c r="J402" s="31" t="str"/>
    </x:row>
    <x:row r="403">
      <x:c r="A403" s="31" t="n">
        <x:v>407</x:v>
      </x:c>
      <x:c r="B403" s="31" t="str">
        <x:v>ja</x:v>
      </x:c>
      <x:c r="C403" s="31" t="str">
        <x:v>MEGA Dream ex</x:v>
      </x:c>
      <x:c r="D403" s="31" t="str">
        <x:v>M2a</x:v>
      </x:c>
      <x:c r="E403" s="31" t="str">
        <x:v>reconciled_components</x:v>
      </x:c>
      <x:c r="F403" s="31" t="n">
        <x:v>250</x:v>
      </x:c>
      <x:c r="G403" s="31" t="str">
        <x:v>Numbered total equals the reconciled printed denominator + beyond-denominator identities + separately listed subset identities.</x:v>
      </x:c>
      <x:c r="H403" s="31" t="str"/>
      <x:c r="I403" s="31" t="n">
        <x:v>250</x:v>
      </x:c>
      <x:c r="J403" s="31" t="str"/>
    </x:row>
    <x:row r="404">
      <x:c r="A404" s="31" t="n">
        <x:v>408</x:v>
      </x:c>
      <x:c r="B404" s="31" t="str">
        <x:v>ja</x:v>
      </x:c>
      <x:c r="C404" s="31" t="str">
        <x:v>Nihil Zero</x:v>
      </x:c>
      <x:c r="D404" s="31" t="str">
        <x:v>M3</x:v>
      </x:c>
      <x:c r="E404" s="31" t="str">
        <x:v>reconciled_components</x:v>
      </x:c>
      <x:c r="F404" s="31" t="n">
        <x:v>117</x:v>
      </x:c>
      <x:c r="G404" s="31" t="str">
        <x:v>Numbered total equals the reconciled printed denominator + beyond-denominator identities + separately listed subset identities.</x:v>
      </x:c>
      <x:c r="H404" s="31" t="str"/>
      <x:c r="I404" s="31" t="n">
        <x:v>117</x:v>
      </x:c>
      <x:c r="J404" s="31" t="str"/>
    </x:row>
    <x:row r="405">
      <x:c r="A405" s="31" t="n">
        <x:v>409</x:v>
      </x:c>
      <x:c r="B405" s="31" t="str">
        <x:v>ja</x:v>
      </x:c>
      <x:c r="C405" s="31" t="str">
        <x:v>Ninja Spinner</x:v>
      </x:c>
      <x:c r="D405" s="31" t="str">
        <x:v>M4</x:v>
      </x:c>
      <x:c r="E405" s="31" t="str">
        <x:v>reconciled_components</x:v>
      </x:c>
      <x:c r="F405" s="31" t="n">
        <x:v>120</x:v>
      </x:c>
      <x:c r="G405" s="31" t="str">
        <x:v>Numbered total equals the reconciled printed denominator + beyond-denominator identities + separately listed subset identities.</x:v>
      </x:c>
      <x:c r="H405" s="31" t="str"/>
      <x:c r="I405" s="31" t="n">
        <x:v>120</x:v>
      </x:c>
      <x:c r="J405" s="31" t="str"/>
    </x:row>
    <x:row r="406">
      <x:c r="A406" s="31" t="n">
        <x:v>410</x:v>
      </x:c>
      <x:c r="B406" s="31" t="str">
        <x:v>ja</x:v>
      </x:c>
      <x:c r="C406" s="31" t="str">
        <x:v>Abyss Eye</x:v>
      </x:c>
      <x:c r="D406" s="31" t="str">
        <x:v>M5</x:v>
      </x:c>
      <x:c r="E406" s="31" t="str">
        <x:v>reconciled_components</x:v>
      </x:c>
      <x:c r="F406" s="31" t="n">
        <x:v>118</x:v>
      </x:c>
      <x:c r="G406" s="31" t="str">
        <x:v>Numbered total equals the reconciled printed denominator + beyond-denominator identities + separately listed subset identities.</x:v>
      </x:c>
      <x:c r="H406" s="31" t="str"/>
      <x:c r="I406" s="31" t="n">
        <x:v>118</x:v>
      </x:c>
      <x:c r="J406" s="31" t="str"/>
    </x:row>
    <x:row r="407">
      <x:c r="A407" s="31" t="n">
        <x:v>411</x:v>
      </x:c>
      <x:c r="B407" s="31" t="str">
        <x:v>ja</x:v>
      </x:c>
      <x:c r="C407" s="31" t="str">
        <x:v>Storm Emeralda</x:v>
      </x:c>
      <x:c r="D407" s="31" t="str">
        <x:v>M6</x:v>
      </x:c>
      <x:c r="E407" s="31" t="str">
        <x:v>reconciled_components</x:v>
      </x:c>
      <x:c r="F407" s="31" t="n">
        <x:v>113</x:v>
      </x:c>
      <x:c r="G407" s="31" t="str">
        <x:v>Numbered total equals the reconciled printed denominator + beyond-denominator identities + separately listed subset identities.</x:v>
      </x:c>
      <x:c r="H407" s="31" t="str"/>
      <x:c r="I407" s="31" t="n">
        <x:v>113</x:v>
      </x:c>
      <x:c r="J407" s="31" t="str"/>
    </x:row>
    <x:row r="408">
      <x:c r="A408" s="31" t="n">
        <x:v>412</x:v>
      </x:c>
      <x:c r="B408" s="31" t="str">
        <x:v>ja</x:v>
      </x:c>
      <x:c r="C408" s="31" t="str">
        <x:v>30th Celebration</x:v>
      </x:c>
      <x:c r="D408" s="31" t="str">
        <x:v>M6a</x:v>
      </x:c>
      <x:c r="E408" s="31" t="str">
        <x:v>current_numbered_checklist</x:v>
      </x:c>
      <x:c r="F408" s="31" t="n">
        <x:v>165</x:v>
      </x:c>
      <x:c r="G408" s="31" t="str">
        <x:v>Current Japanese M6a numbered list runs through 165/103. Eight Basic Energy identities sit outside that numbered run.</x:v>
      </x:c>
      <x:c r="H408" s="31" t="str">
        <x:v>https://tokyocardreport.com/articles/30th-celebration-card-list-chase-cards/</x:v>
      </x:c>
      <x:c r="I408" s="31" t="n">
        <x:v>173</x:v>
      </x:c>
      <x:c r="J408" s="31" t="str"/>
    </x:row>
    <x:row r="409">
      <x:c r="A409" s="31" t="n">
        <x:v>413</x:v>
      </x:c>
      <x:c r="B409" s="31" t="str">
        <x:v>ja</x:v>
      </x:c>
      <x:c r="C409" s="31" t="str">
        <x:v>Ash vs Team Rocket Battle Set</x:v>
      </x:c>
      <x:c r="D409" s="31" t="str">
        <x:v>SMD</x:v>
      </x:c>
      <x:c r="E409" s="31" t="str">
        <x:v>reference_bridge_inherited</x:v>
      </x:c>
      <x:c r="F409" s="31" t="n">
        <x:v>30</x:v>
      </x:c>
      <x:c r="G409" s="31" t="str">
        <x:v>Numbered total bridged from the existing sourced reference count. This is populated for catalogue completeness but remains derived rather than independently re-counted card-by-card in this pass.</x:v>
      </x:c>
      <x:c r="H409" s="31" t="str">
        <x:v>https://www.pokemon-card.com/products/sm/smd.html</x:v>
      </x:c>
      <x:c r="I409" s="31" t="n">
        <x:v>30</x:v>
      </x:c>
      <x:c r="J409" s="31" t="str"/>
    </x:row>
    <x:row r="410">
      <x:c r="A410" s="31" t="n">
        <x:v>414</x:v>
      </x:c>
      <x:c r="B410" s="31" t="str">
        <x:v>ja</x:v>
      </x:c>
      <x:c r="C410" s="31" t="str">
        <x:v>Aura Seeker</x:v>
      </x:c>
      <x:c r="D410" s="31" t="str">
        <x:v>JA-AURA</x:v>
      </x:c>
      <x:c r="E410" s="31" t="str">
        <x:v>pending</x:v>
      </x:c>
      <x:c r="F410" s="31"/>
      <x:c r="G410" s="31" t="str">
        <x:v>No official/source checklist exists yet from which to establish a numbered-card total.</x:v>
      </x:c>
      <x:c r="H410" s="31" t="str">
        <x:v>https://bulbapedia.bulbagarden.net/wiki/Aura_Seeker_%28TCG%29 ; https://bulbapedia.bulbagarden.net/wiki/Aura_Seeker_(TCG)</x:v>
      </x:c>
      <x:c r="I410" s="31"/>
      <x:c r="J410" s="31" t="str">
        <x:v>release_date, official_set_code_pending, official_release_date_pending, reference_count_pending_official_checklist, numbered_total_pending_official_checklist</x:v>
      </x:c>
    </x:row>
    <x:row r="411">
      <x:c r="A411" s="31" t="n">
        <x:v>415</x:v>
      </x:c>
      <x:c r="B411" s="31" t="str">
        <x:v>ja</x:v>
      </x:c>
      <x:c r="C411" s="31" t="str">
        <x:v>Blastoise &amp; Kyurem Combo Deck</x:v>
      </x:c>
      <x:c r="D411" s="31" t="str">
        <x:v>K+K</x:v>
      </x:c>
      <x:c r="E411" s="31" t="str">
        <x:v>reference_bridge_inherited</x:v>
      </x:c>
      <x:c r="F411" s="31" t="n">
        <x:v>19</x:v>
      </x:c>
      <x:c r="G411" s="31" t="str">
        <x:v>Numbered total bridged from the existing sourced reference count. This is populated for catalogue completeness but remains derived rather than independently re-counted card-by-card in this pass.</x:v>
      </x:c>
      <x:c r="H411" s="31" t="str">
        <x:v>https://www.pokemon-card.com/card-search/details.php/card/28659/</x:v>
      </x:c>
      <x:c r="I411" s="31" t="n">
        <x:v>19</x:v>
      </x:c>
      <x:c r="J411" s="31" t="str"/>
    </x:row>
    <x:row r="412">
      <x:c r="A412" s="31" t="n">
        <x:v>416</x:v>
      </x:c>
      <x:c r="B412" s="31" t="str">
        <x:v>ja</x:v>
      </x:c>
      <x:c r="C412" s="31" t="str">
        <x:v>Eevee Heroes VMAX Special Set</x:v>
      </x:c>
      <x:c r="D412" s="31" t="str">
        <x:v>SP4</x:v>
      </x:c>
      <x:c r="E412" s="31" t="str">
        <x:v>reference_bridge_inherited</x:v>
      </x:c>
      <x:c r="F412" s="31" t="n">
        <x:v>8</x:v>
      </x:c>
      <x:c r="G412" s="31" t="str">
        <x:v>Numbered total bridged from the existing sourced reference count. This is populated for catalogue completeness but remains derived rather than independently re-counted card-by-card in this pass.</x:v>
      </x:c>
      <x:c r="H412" s="31" t="str">
        <x:v>https://www.pokemon-card.com/products/s/sp4.html</x:v>
      </x:c>
      <x:c r="I412" s="31" t="n">
        <x:v>8</x:v>
      </x:c>
      <x:c r="J412" s="31" t="str"/>
    </x:row>
    <x:row r="413">
      <x:c r="A413" s="31" t="n">
        <x:v>417</x:v>
      </x:c>
      <x:c r="B413" s="31" t="str">
        <x:v>ja</x:v>
      </x:c>
      <x:c r="C413" s="31" t="str">
        <x:v>Exciting Battle for Everyone</x:v>
      </x:c>
      <x:c r="D413" s="31" t="str">
        <x:v>WAK</x:v>
      </x:c>
      <x:c r="E413" s="31" t="str">
        <x:v>reference_bridge_inherited</x:v>
      </x:c>
      <x:c r="F413" s="31" t="n">
        <x:v>55</x:v>
      </x:c>
      <x:c r="G413" s="31" t="str">
        <x:v>Numbered total bridged from the existing sourced reference count. This is populated for catalogue completeness but remains derived rather than independently re-counted card-by-card in this pass.</x:v>
      </x:c>
      <x:c r="H413" s="31" t="str">
        <x:v>https://www.pokemon-card.com/card-search/details.php/card/28455</x:v>
      </x:c>
      <x:c r="I413" s="31" t="n">
        <x:v>55</x:v>
      </x:c>
      <x:c r="J413" s="31" t="str"/>
    </x:row>
    <x:row r="414">
      <x:c r="A414" s="31" t="n">
        <x:v>418</x:v>
      </x:c>
      <x:c r="B414" s="31" t="str">
        <x:v>ja</x:v>
      </x:c>
      <x:c r="C414" s="31" t="str">
        <x:v>Garchomp Half Deck</x:v>
      </x:c>
      <x:c r="D414" s="31" t="str">
        <x:v>GBR</x:v>
      </x:c>
      <x:c r="E414" s="31" t="str">
        <x:v>reference_bridge_inherited</x:v>
      </x:c>
      <x:c r="F414" s="31" t="n">
        <x:v>18</x:v>
      </x:c>
      <x:c r="G414" s="31" t="str">
        <x:v>Numbered total bridged from the existing sourced reference count. This is populated for catalogue completeness but remains derived rather than independently re-counted card-by-card in this pass.</x:v>
      </x:c>
      <x:c r="H414" s="31" t="str">
        <x:v>https://www.pokemon-card.com/card-search/details.php/card/27982</x:v>
      </x:c>
      <x:c r="I414" s="31" t="n">
        <x:v>18</x:v>
      </x:c>
      <x:c r="J414" s="31" t="str"/>
    </x:row>
    <x:row r="415">
      <x:c r="A415" s="31" t="n">
        <x:v>419</x:v>
      </x:c>
      <x:c r="B415" s="31" t="str">
        <x:v>ja</x:v>
      </x:c>
      <x:c r="C415" s="31" t="str">
        <x:v>Genesect Half Deck (Mewtwo vs Genesect)</x:v>
      </x:c>
      <x:c r="D415" s="31" t="str">
        <x:v>MG</x:v>
      </x:c>
      <x:c r="E415" s="31" t="str">
        <x:v>reference_bridge_inherited</x:v>
      </x:c>
      <x:c r="F415" s="31" t="n">
        <x:v>17</x:v>
      </x:c>
      <x:c r="G415" s="31" t="str">
        <x:v>Numbered total bridged from the existing sourced reference count. This is populated for catalogue completeness but remains derived rather than independently re-counted card-by-card in this pass.</x:v>
      </x:c>
      <x:c r="H415" s="31" t="str">
        <x:v>https://bulbapedia.bulbagarden.net/wiki/Genesect_Half_Deck_%28TCG%29</x:v>
      </x:c>
      <x:c r="I415" s="31" t="n">
        <x:v>17</x:v>
      </x:c>
      <x:c r="J415" s="31" t="str"/>
    </x:row>
    <x:row r="416">
      <x:c r="A416" s="31" t="n">
        <x:v>420</x:v>
      </x:c>
      <x:c r="B416" s="31" t="str">
        <x:v>ja</x:v>
      </x:c>
      <x:c r="C416" s="31" t="str">
        <x:v>Golduck BREAK &amp; Palkia-EX Combo Deck</x:v>
      </x:c>
      <x:c r="D416" s="31" t="str">
        <x:v>XYF</x:v>
      </x:c>
      <x:c r="E416" s="31" t="str">
        <x:v>reference_bridge_inherited</x:v>
      </x:c>
      <x:c r="F416" s="31" t="n">
        <x:v>17</x:v>
      </x:c>
      <x:c r="G416" s="31" t="str">
        <x:v>Numbered total bridged from the existing sourced reference count. This is populated for catalogue completeness but remains derived rather than independently re-counted card-by-card in this pass.</x:v>
      </x:c>
      <x:c r="H416" s="31" t="str">
        <x:v>https://www.pokemon-card.com/products/xy/xyf.html</x:v>
      </x:c>
      <x:c r="I416" s="31" t="n">
        <x:v>17</x:v>
      </x:c>
      <x:c r="J416" s="31" t="str"/>
    </x:row>
    <x:row r="417">
      <x:c r="A417" s="31" t="n">
        <x:v>421</x:v>
      </x:c>
      <x:c r="B417" s="31" t="str">
        <x:v>ja</x:v>
      </x:c>
      <x:c r="C417" s="31" t="str">
        <x:v>Hydreigon Half Deck</x:v>
      </x:c>
      <x:c r="D417" s="31" t="str">
        <x:v>SZD</x:v>
      </x:c>
      <x:c r="E417" s="31" t="str">
        <x:v>reference_bridge_inherited</x:v>
      </x:c>
      <x:c r="F417" s="31" t="n">
        <x:v>18</x:v>
      </x:c>
      <x:c r="G417" s="31" t="str">
        <x:v>Numbered total bridged from the existing sourced reference count. This is populated for catalogue completeness but remains derived rather than independently re-counted card-by-card in this pass.</x:v>
      </x:c>
      <x:c r="H417" s="31" t="str">
        <x:v>https://www.pokemon-card.com/ex/25th/chronicle/</x:v>
      </x:c>
      <x:c r="I417" s="31" t="n">
        <x:v>18</x:v>
      </x:c>
      <x:c r="J417" s="31" t="str"/>
    </x:row>
    <x:row r="418">
      <x:c r="A418" s="31" t="n">
        <x:v>422</x:v>
      </x:c>
      <x:c r="B418" s="31" t="str">
        <x:v>ja</x:v>
      </x:c>
      <x:c r="C418" s="31" t="str">
        <x:v>Hyper Metal Chain Deck</x:v>
      </x:c>
      <x:c r="D418" s="31" t="str">
        <x:v>XYB</x:v>
      </x:c>
      <x:c r="E418" s="31" t="str">
        <x:v>reference_bridge_inherited</x:v>
      </x:c>
      <x:c r="F418" s="31" t="n">
        <x:v>20</x:v>
      </x:c>
      <x:c r="G418" s="31" t="str">
        <x:v>Numbered total bridged from the existing sourced reference count. This is populated for catalogue completeness but remains derived rather than independently re-counted card-by-card in this pass.</x:v>
      </x:c>
      <x:c r="H418" s="31" t="str">
        <x:v>https://www.pokemon-card.com/products/xy/metal60.html</x:v>
      </x:c>
      <x:c r="I418" s="31" t="n">
        <x:v>20</x:v>
      </x:c>
      <x:c r="J418" s="31" t="str"/>
    </x:row>
    <x:row r="419">
      <x:c r="A419" s="31" t="n">
        <x:v>423</x:v>
      </x:c>
      <x:c r="B419" s="31" t="str">
        <x:v>ja</x:v>
      </x:c>
      <x:c r="C419" s="31" t="str">
        <x:v>Keldeo Battle Strength Deck</x:v>
      </x:c>
      <x:c r="D419" s="31" t="str">
        <x:v>KLD</x:v>
      </x:c>
      <x:c r="E419" s="31" t="str">
        <x:v>reference_bridge_inherited</x:v>
      </x:c>
      <x:c r="F419" s="31" t="n">
        <x:v>18</x:v>
      </x:c>
      <x:c r="G419" s="31" t="str">
        <x:v>Numbered total bridged from the existing sourced reference count. This is populated for catalogue completeness but remains derived rather than independently re-counted card-by-card in this pass.</x:v>
      </x:c>
      <x:c r="H419" s="31" t="str">
        <x:v>https://www.pokemon-card.com/ex/25th/chronicle/</x:v>
      </x:c>
      <x:c r="I419" s="31" t="n">
        <x:v>18</x:v>
      </x:c>
      <x:c r="J419" s="31" t="str"/>
    </x:row>
    <x:row r="420">
      <x:c r="A420" s="31" t="n">
        <x:v>424</x:v>
      </x:c>
      <x:c r="B420" s="31" t="str">
        <x:v>ja</x:v>
      </x:c>
      <x:c r="C420" s="31" t="str">
        <x:v>M Charizard-EX Mega Battle Deck</x:v>
      </x:c>
      <x:c r="D420" s="31" t="str">
        <x:v>XYA</x:v>
      </x:c>
      <x:c r="E420" s="31" t="str">
        <x:v>reference_bridge_inherited</x:v>
      </x:c>
      <x:c r="F420" s="31" t="n">
        <x:v>23</x:v>
      </x:c>
      <x:c r="G420" s="31" t="str">
        <x:v>Numbered total bridged from the existing sourced reference count. This is populated for catalogue completeness but remains derived rather than independently re-counted card-by-card in this pass.</x:v>
      </x:c>
      <x:c r="H420" s="31" t="str">
        <x:v>https://www.pokemon-card.com/products/xy/xy2.html</x:v>
      </x:c>
      <x:c r="I420" s="31" t="n">
        <x:v>23</x:v>
      </x:c>
      <x:c r="J420" s="31" t="str"/>
    </x:row>
    <x:row r="421">
      <x:c r="A421" s="31" t="n">
        <x:v>425</x:v>
      </x:c>
      <x:c r="B421" s="31" t="str">
        <x:v>ja</x:v>
      </x:c>
      <x:c r="C421" s="31" t="str">
        <x:v>Mega Audino-EX Mega Battle Deck</x:v>
      </x:c>
      <x:c r="D421" s="31" t="str">
        <x:v>XYH</x:v>
      </x:c>
      <x:c r="E421" s="31" t="str">
        <x:v>reference_bridge_inherited</x:v>
      </x:c>
      <x:c r="F421" s="31" t="n">
        <x:v>27</x:v>
      </x:c>
      <x:c r="G421" s="31" t="str">
        <x:v>Numbered total bridged from the existing sourced reference count. This is populated for catalogue completeness but remains derived rather than independently re-counted card-by-card in this pass.</x:v>
      </x:c>
      <x:c r="H421" s="31" t="str">
        <x:v>https://www.pokemon-card.com/products/xy/xygh.html</x:v>
      </x:c>
      <x:c r="I421" s="31" t="n">
        <x:v>27</x:v>
      </x:c>
      <x:c r="J421" s="31" t="str"/>
    </x:row>
    <x:row r="422">
      <x:c r="A422" s="31" t="n">
        <x:v>426</x:v>
      </x:c>
      <x:c r="B422" s="31" t="str">
        <x:v>ja</x:v>
      </x:c>
      <x:c r="C422" s="31" t="str">
        <x:v>Mega Rayquaza-EX Battle Deck</x:v>
      </x:c>
      <x:c r="D422" s="31" t="str">
        <x:v>XYD</x:v>
      </x:c>
      <x:c r="E422" s="31" t="str">
        <x:v>reference_bridge_inherited</x:v>
      </x:c>
      <x:c r="F422" s="31" t="n">
        <x:v>20</x:v>
      </x:c>
      <x:c r="G422" s="31" t="str">
        <x:v>Numbered total bridged from the existing sourced reference count. This is populated for catalogue completeness but remains derived rather than independently re-counted card-by-card in this pass.</x:v>
      </x:c>
      <x:c r="H422" s="31" t="str">
        <x:v>https://www.pokemon-card.com/products/xy/xyd.html</x:v>
      </x:c>
      <x:c r="I422" s="31" t="n">
        <x:v>20</x:v>
      </x:c>
      <x:c r="J422" s="31" t="str"/>
    </x:row>
    <x:row r="423">
      <x:c r="A423" s="31" t="n">
        <x:v>427</x:v>
      </x:c>
      <x:c r="B423" s="31" t="str">
        <x:v>ja</x:v>
      </x:c>
      <x:c r="C423" s="31" t="str">
        <x:v>Mewtwo Half Deck (Mewtwo vs Genesect)</x:v>
      </x:c>
      <x:c r="D423" s="31" t="str">
        <x:v>MG</x:v>
      </x:c>
      <x:c r="E423" s="31" t="str">
        <x:v>reference_bridge_inherited</x:v>
      </x:c>
      <x:c r="F423" s="31" t="n">
        <x:v>17</x:v>
      </x:c>
      <x:c r="G423" s="31" t="str">
        <x:v>Numbered total bridged from the existing sourced reference count. This is populated for catalogue completeness but remains derived rather than independently re-counted card-by-card in this pass.</x:v>
      </x:c>
      <x:c r="H423" s="31" t="str">
        <x:v>https://bulbapedia.bulbagarden.net/wiki/Mewtwo_Half_Deck_%28TCG%29</x:v>
      </x:c>
      <x:c r="I423" s="31" t="n">
        <x:v>17</x:v>
      </x:c>
      <x:c r="J423" s="31" t="str"/>
    </x:row>
    <x:row r="424">
      <x:c r="A424" s="31" t="n">
        <x:v>428</x:v>
      </x:c>
      <x:c r="B424" s="31" t="str">
        <x:v>ja</x:v>
      </x:c>
      <x:c r="C424" s="31" t="str">
        <x:v>Noivern BREAK Evolution Pack</x:v>
      </x:c>
      <x:c r="D424" s="31" t="str">
        <x:v>SNPo</x:v>
      </x:c>
      <x:c r="E424" s="31" t="str">
        <x:v>reference_bridge_inherited</x:v>
      </x:c>
      <x:c r="F424" s="31" t="n">
        <x:v>10</x:v>
      </x:c>
      <x:c r="G424" s="31" t="str">
        <x:v>Numbered total bridged from the existing sourced reference count. This is populated for catalogue completeness but remains derived rather than independently re-counted card-by-card in this pass.</x:v>
      </x:c>
      <x:c r="H424" s="31" t="str">
        <x:v>https://www.pokemon-card.com/products/xy/snp.html</x:v>
      </x:c>
      <x:c r="I424" s="31" t="n">
        <x:v>10</x:v>
      </x:c>
      <x:c r="J424" s="31" t="str"/>
    </x:row>
    <x:row r="425">
      <x:c r="A425" s="31" t="n">
        <x:v>429</x:v>
      </x:c>
      <x:c r="B425" s="31" t="str">
        <x:v>ja</x:v>
      </x:c>
      <x:c r="C425" s="31" t="str">
        <x:v>Premium Trainer Box</x:v>
      </x:c>
      <x:c r="D425" s="31" t="str">
        <x:v>SMB</x:v>
      </x:c>
      <x:c r="E425" s="31" t="str">
        <x:v>reference_bridge_inherited</x:v>
      </x:c>
      <x:c r="F425" s="31" t="n">
        <x:v>18</x:v>
      </x:c>
      <x:c r="G425" s="31" t="str">
        <x:v>Numbered total bridged from the existing sourced reference count. This is populated for catalogue completeness but remains derived rather than independently re-counted card-by-card in this pass.</x:v>
      </x:c>
      <x:c r="H425" s="31" t="str">
        <x:v>https://www.pokemon-card.com/products/sm/pt-box.html</x:v>
      </x:c>
      <x:c r="I425" s="31" t="n">
        <x:v>18</x:v>
      </x:c>
      <x:c r="J425" s="31" t="str"/>
    </x:row>
    <x:row r="426">
      <x:c r="A426" s="31" t="n">
        <x:v>430</x:v>
      </x:c>
      <x:c r="B426" s="31" t="str">
        <x:v>ja</x:v>
      </x:c>
      <x:c r="C426" s="31" t="str">
        <x:v>Raichu BREAK Evolution Pack</x:v>
      </x:c>
      <x:c r="D426" s="31" t="str">
        <x:v>SNPr</x:v>
      </x:c>
      <x:c r="E426" s="31" t="str">
        <x:v>reference_bridge_inherited</x:v>
      </x:c>
      <x:c r="F426" s="31" t="n">
        <x:v>10</x:v>
      </x:c>
      <x:c r="G426" s="31" t="str">
        <x:v>Numbered total bridged from the existing sourced reference count. This is populated for catalogue completeness but remains derived rather than independently re-counted card-by-card in this pass.</x:v>
      </x:c>
      <x:c r="H426" s="31" t="str">
        <x:v>https://www.pokemon-card.com/products/xy/snp.html</x:v>
      </x:c>
      <x:c r="I426" s="31" t="n">
        <x:v>10</x:v>
      </x:c>
      <x:c r="J426" s="31" t="str"/>
    </x:row>
    <x:row r="427">
      <x:c r="A427" s="31" t="n">
        <x:v>431</x:v>
      </x:c>
      <x:c r="B427" s="31" t="str">
        <x:v>ja</x:v>
      </x:c>
      <x:c r="C427" s="31" t="str">
        <x:v>Rockruff Full Power Deck</x:v>
      </x:c>
      <x:c r="D427" s="31" t="str">
        <x:v>SMP1</x:v>
      </x:c>
      <x:c r="E427" s="31" t="str">
        <x:v>reference_bridge_inherited</x:v>
      </x:c>
      <x:c r="F427" s="31" t="n">
        <x:v>13</x:v>
      </x:c>
      <x:c r="G427" s="31" t="str">
        <x:v>Numbered total bridged from the existing sourced reference count. This is populated for catalogue completeness but remains derived rather than independently re-counted card-by-card in this pass.</x:v>
      </x:c>
      <x:c r="H427" s="31" t="str">
        <x:v>https://bulbapedia.bulbagarden.net/wiki/SMP1</x:v>
      </x:c>
      <x:c r="I427" s="31" t="n">
        <x:v>13</x:v>
      </x:c>
      <x:c r="J427" s="31" t="str"/>
    </x:row>
    <x:row r="428">
      <x:c r="A428" s="31" t="n">
        <x:v>432</x:v>
      </x:c>
      <x:c r="B428" s="31" t="str">
        <x:v>ja</x:v>
      </x:c>
      <x:c r="C428" s="31" t="str">
        <x:v>Shaymin LV.X Collection Pack</x:v>
      </x:c>
      <x:c r="D428" s="31" t="str">
        <x:v>DPtS</x:v>
      </x:c>
      <x:c r="E428" s="31" t="str">
        <x:v>reference_bridge_inherited</x:v>
      </x:c>
      <x:c r="F428" s="31" t="n">
        <x:v>12</x:v>
      </x:c>
      <x:c r="G428" s="31" t="str">
        <x:v>Numbered total bridged from the existing sourced reference count. This is populated for catalogue completeness but remains derived rather than independently re-counted card-by-card in this pass.</x:v>
      </x:c>
      <x:c r="H428" s="31" t="str">
        <x:v>https://www.pokemon-card.com/ex/25th/chronicle/</x:v>
      </x:c>
      <x:c r="I428" s="31" t="n">
        <x:v>12</x:v>
      </x:c>
      <x:c r="J428" s="31" t="str"/>
    </x:row>
    <x:row r="429">
      <x:c r="A429" s="31" t="n">
        <x:v>434</x:v>
      </x:c>
      <x:c r="B429" s="31" t="str">
        <x:v>ja</x:v>
      </x:c>
      <x:c r="C429" s="31" t="str">
        <x:v>Start Deck 100</x:v>
      </x:c>
      <x:c r="D429" s="31" t="str">
        <x:v>SI</x:v>
      </x:c>
      <x:c r="E429" s="31" t="str">
        <x:v>reference_bridge_secondary_numbered_checklist</x:v>
      </x:c>
      <x:c r="F429" s="31" t="n">
        <x:v>422</x:v>
      </x:c>
      <x:c r="G429" s="31" t="str">
        <x:v>Numbered total bridged from the sourced reference-count checklist for this exact row scope. Distinct Start Deck 100 catalogue identities: 414-number denominator plus documented beyond-denominator identities; not 100×60 physical deck cards.</x:v>
      </x:c>
      <x:c r="H429" s="31" t="str">
        <x:v>https://bulbapedia.bulbagarden.net/wiki/Start_Deck_100_(TCG)</x:v>
      </x:c>
      <x:c r="I429" s="31" t="n">
        <x:v>422</x:v>
      </x:c>
      <x:c r="J429" s="31" t="str"/>
    </x:row>
    <x:row r="430">
      <x:c r="A430" s="31" t="n">
        <x:v>435</x:v>
      </x:c>
      <x:c r="B430" s="31" t="str">
        <x:v>ja</x:v>
      </x:c>
      <x:c r="C430" s="31" t="str">
        <x:v>Tapu Bulu-GX Enhanced Starter Set</x:v>
      </x:c>
      <x:c r="D430" s="31" t="str">
        <x:v>SMC</x:v>
      </x:c>
      <x:c r="E430" s="31" t="str">
        <x:v>reference_bridge_inherited</x:v>
      </x:c>
      <x:c r="F430" s="31" t="n">
        <x:v>21</x:v>
      </x:c>
      <x:c r="G430" s="31" t="str">
        <x:v>Numbered total bridged from the existing sourced reference count. This is populated for catalogue completeness but remains derived rather than independently re-counted card-by-card in this pass.</x:v>
      </x:c>
      <x:c r="H430" s="31" t="str">
        <x:v>https://www.pokemon-card.com/products/sm/smc.html</x:v>
      </x:c>
      <x:c r="I430" s="31" t="n">
        <x:v>21</x:v>
      </x:c>
      <x:c r="J430" s="31" t="str"/>
    </x:row>
    <x:row r="431">
      <x:c r="A431" s="31" t="n">
        <x:v>436</x:v>
      </x:c>
      <x:c r="B431" s="31" t="str">
        <x:v>ja</x:v>
      </x:c>
      <x:c r="C431" s="31" t="str">
        <x:v>Team Plasma Battle Gift Set</x:v>
      </x:c>
      <x:c r="D431" s="31" t="str">
        <x:v>PBG</x:v>
      </x:c>
      <x:c r="E431" s="31" t="str">
        <x:v>reference_bridge_inherited</x:v>
      </x:c>
      <x:c r="F431" s="31" t="n">
        <x:v>18</x:v>
      </x:c>
      <x:c r="G431" s="31" t="str">
        <x:v>Numbered total bridged from the existing sourced reference count. This is populated for catalogue completeness but remains derived rather than independently re-counted card-by-card in this pass.</x:v>
      </x:c>
      <x:c r="H431" s="31" t="str">
        <x:v>https://www.pokemon-card.com/ex/25th/chronicle/</x:v>
      </x:c>
      <x:c r="I431" s="31" t="n">
        <x:v>18</x:v>
      </x:c>
      <x:c r="J431" s="31" t="str"/>
    </x:row>
    <x:row r="432">
      <x:c r="A432" s="31" t="n">
        <x:v>437</x:v>
      </x:c>
      <x:c r="B432" s="31" t="str">
        <x:v>ja</x:v>
      </x:c>
      <x:c r="C432" s="31" t="str">
        <x:v>Unnumbered Promotional cards</x:v>
      </x:c>
      <x:c r="D432" s="31" t="str">
        <x:v>JA-PROMO-UN</x:v>
      </x:c>
      <x:c r="E432" s="31" t="str">
        <x:v>reference_bridge_secondary_catalogue_snapshot</x:v>
      </x:c>
      <x:c r="F432" s="31" t="n">
        <x:v>150</x:v>
      </x:c>
      <x:c r="G432" s="31" t="str">
        <x:v>Numbered total bridged from the sourced reference-count checklist for this exact row scope. Current secondary catalogue snapshot of distinct Japanese unnumbered promotional-card identities; ongoing open-ended promo scope.</x:v>
      </x:c>
      <x:c r="H432" s="31" t="str">
        <x:v>https://www.cardtrader.com/en/pokemon/expansions</x:v>
      </x:c>
      <x:c r="I432" s="31" t="n">
        <x:v>150</x:v>
      </x:c>
      <x:c r="J432" s="31" t="str">
        <x:v>numbered_total_provisional_snapshot</x:v>
      </x:c>
    </x:row>
    <x:row r="433">
      <x:c r="A433" s="31" t="n">
        <x:v>438</x:v>
      </x:c>
      <x:c r="B433" s="31" t="str">
        <x:v>ja</x:v>
      </x:c>
      <x:c r="C433" s="31" t="str">
        <x:v>VMAX Special Set</x:v>
      </x:c>
      <x:c r="D433" s="31" t="str">
        <x:v>SP2</x:v>
      </x:c>
      <x:c r="E433" s="31" t="str">
        <x:v>reference_bridge_inherited</x:v>
      </x:c>
      <x:c r="F433" s="31" t="n">
        <x:v>8</x:v>
      </x:c>
      <x:c r="G433" s="31" t="str">
        <x:v>Numbered total bridged from the existing sourced reference count. This is populated for catalogue completeness but remains derived rather than independently re-counted card-by-card in this pass.</x:v>
      </x:c>
      <x:c r="H433" s="31" t="str">
        <x:v>https://www.pokemon-card.com/products/s/sp2.html</x:v>
      </x:c>
      <x:c r="I433" s="31" t="n">
        <x:v>8</x:v>
      </x:c>
      <x:c r="J433" s="31" t="str"/>
    </x:row>
    <x:row r="434">
      <x:c r="A434" s="31" t="n">
        <x:v>439</x:v>
      </x:c>
      <x:c r="B434" s="31" t="str">
        <x:v>ja</x:v>
      </x:c>
      <x:c r="C434" s="31" t="str">
        <x:v>XY Beginning Set</x:v>
      </x:c>
      <x:c r="D434" s="31" t="str">
        <x:v>HXY</x:v>
      </x:c>
      <x:c r="E434" s="31" t="str">
        <x:v>reference_bridge_inherited</x:v>
      </x:c>
      <x:c r="F434" s="31" t="n">
        <x:v>45</x:v>
      </x:c>
      <x:c r="G434" s="31" t="str">
        <x:v>Numbered total bridged from the existing sourced reference count. This is populated for catalogue completeness but remains derived rather than independently re-counted card-by-card in this pass.</x:v>
      </x:c>
      <x:c r="H434" s="31" t="str">
        <x:v>https://www.pokemon-card.com/products/xy/hs.html</x:v>
      </x:c>
      <x:c r="I434" s="31" t="n">
        <x:v>45</x:v>
      </x:c>
      <x:c r="J434" s="31" t="str"/>
    </x:row>
    <x:row r="435">
      <x:c r="A435" s="31" t="n">
        <x:v>440</x:v>
      </x:c>
      <x:c r="B435" s="31" t="str">
        <x:v>ja</x:v>
      </x:c>
      <x:c r="C435" s="31" t="str">
        <x:v>Xerneas Half Deck</x:v>
      </x:c>
      <x:c r="D435" s="31" t="str">
        <x:v>X30</x:v>
      </x:c>
      <x:c r="E435" s="31" t="str">
        <x:v>reference_bridge_inherited</x:v>
      </x:c>
      <x:c r="F435" s="31" t="n">
        <x:v>15</x:v>
      </x:c>
      <x:c r="G435" s="31" t="str">
        <x:v>Numbered total bridged from the existing sourced reference count. This is populated for catalogue completeness but remains derived rather than independently re-counted card-by-card in this pass.</x:v>
      </x:c>
      <x:c r="H435" s="31" t="str">
        <x:v>https://www.pokemon-card.com/products/xy/x30y30/x30y30_000282.html</x:v>
      </x:c>
      <x:c r="I435" s="31" t="n">
        <x:v>15</x:v>
      </x:c>
      <x:c r="J435" s="31" t="str"/>
    </x:row>
    <x:row r="436">
      <x:c r="A436" s="31" t="n">
        <x:v>441</x:v>
      </x:c>
      <x:c r="B436" s="31" t="str">
        <x:v>ja</x:v>
      </x:c>
      <x:c r="C436" s="31" t="str">
        <x:v>Yveltal Half Deck</x:v>
      </x:c>
      <x:c r="D436" s="31" t="str">
        <x:v>Y30</x:v>
      </x:c>
      <x:c r="E436" s="31" t="str">
        <x:v>reference_bridge_inherited</x:v>
      </x:c>
      <x:c r="F436" s="31" t="n">
        <x:v>15</x:v>
      </x:c>
      <x:c r="G436" s="31" t="str">
        <x:v>Numbered total bridged from the existing sourced reference count. This is populated for catalogue completeness but remains derived rather than independently re-counted card-by-card in this pass.</x:v>
      </x:c>
      <x:c r="H436" s="31" t="str">
        <x:v>https://www.pokemon-card.com/products/xy/x30y30/x30y30_000282.html</x:v>
      </x:c>
      <x:c r="I436" s="31" t="n">
        <x:v>15</x:v>
      </x:c>
      <x:c r="J436" s="31" t="str"/>
    </x:row>
    <x:row r="437">
      <x:c r="A437" s="31" t="n">
        <x:v>442</x:v>
      </x:c>
      <x:c r="B437" s="31" t="str">
        <x:v>ja</x:v>
      </x:c>
      <x:c r="C437" s="31" t="str">
        <x:v>Zygarde-EX Perfect Battle Deck</x:v>
      </x:c>
      <x:c r="D437" s="31" t="str">
        <x:v>XYG</x:v>
      </x:c>
      <x:c r="E437" s="31" t="str">
        <x:v>reference_bridge_inherited</x:v>
      </x:c>
      <x:c r="F437" s="31" t="n">
        <x:v>20</x:v>
      </x:c>
      <x:c r="G437" s="31" t="str">
        <x:v>Numbered total bridged from the existing sourced reference count. This is populated for catalogue completeness but remains derived rather than independently re-counted card-by-card in this pass.</x:v>
      </x:c>
      <x:c r="H437" s="31" t="str">
        <x:v>https://www.pokemon-card.com/products/xy/xygh.html</x:v>
      </x:c>
      <x:c r="I437" s="31" t="n">
        <x:v>20</x:v>
      </x:c>
      <x:c r="J437" s="31" t="str"/>
    </x:row>
    <x:row r="438">
      <x:c r="A438" s="31" t="n">
        <x:v>446</x:v>
      </x:c>
      <x:c r="B438" s="31" t="str">
        <x:v>zh-CN</x:v>
      </x:c>
      <x:c r="C438" s="31" t="str">
        <x:v>Battle Elite</x:v>
      </x:c>
      <x:c r="D438" s="31" t="str">
        <x:v>CSM1.5</x:v>
      </x:c>
      <x:c r="E438" s="31" t="str">
        <x:v>reconciled_components</x:v>
      </x:c>
      <x:c r="F438" s="31" t="n">
        <x:v>88</x:v>
      </x:c>
      <x:c r="G438" s="31" t="str">
        <x:v>Numbered total equals the reconciled printed denominator + beyond-denominator identities + separately listed subset identities.</x:v>
      </x:c>
      <x:c r="H438" s="31" t="str"/>
      <x:c r="I438" s="31" t="n">
        <x:v>88</x:v>
      </x:c>
      <x:c r="J438" s="31" t="str"/>
    </x:row>
    <x:row r="439">
      <x:c r="A439" s="31" t="n">
        <x:v>450</x:v>
      </x:c>
      <x:c r="B439" s="31" t="str">
        <x:v>zh-CN</x:v>
      </x:c>
      <x:c r="C439" s="31" t="str">
        <x:v>Striking Competition</x:v>
      </x:c>
      <x:c r="D439" s="31" t="str">
        <x:v>CSM2.5C</x:v>
      </x:c>
      <x:c r="E439" s="31" t="str">
        <x:v>reconciled_components</x:v>
      </x:c>
      <x:c r="F439" s="31" t="n">
        <x:v>99</x:v>
      </x:c>
      <x:c r="G439" s="31" t="str">
        <x:v>Numbered total equals the reconciled printed denominator + beyond-denominator identities + separately listed subset identities.</x:v>
      </x:c>
      <x:c r="H439" s="31" t="str"/>
      <x:c r="I439" s="31" t="n">
        <x:v>99</x:v>
      </x:c>
      <x:c r="J439" s="31" t="str"/>
    </x:row>
    <x:row r="440">
      <x:c r="A440" s="31" t="n">
        <x:v>453</x:v>
      </x:c>
      <x:c r="B440" s="31" t="str">
        <x:v>zh-CN</x:v>
      </x:c>
      <x:c r="C440" s="31" t="str">
        <x:v>Dynamax Tactics</x:v>
      </x:c>
      <x:c r="D440" s="31" t="str">
        <x:v>CS1.5</x:v>
      </x:c>
      <x:c r="E440" s="31" t="str">
        <x:v>reconciled_components</x:v>
      </x:c>
      <x:c r="F440" s="31" t="n">
        <x:v>96</x:v>
      </x:c>
      <x:c r="G440" s="31" t="str">
        <x:v>Numbered total equals the reconciled printed denominator + beyond-denominator identities + separately listed subset identities.</x:v>
      </x:c>
      <x:c r="H440" s="31" t="str"/>
      <x:c r="I440" s="31" t="n">
        <x:v>96</x:v>
      </x:c>
      <x:c r="J440" s="31" t="str"/>
    </x:row>
    <x:row r="441">
      <x:c r="A441" s="31" t="n">
        <x:v>456</x:v>
      </x:c>
      <x:c r="B441" s="31" t="str">
        <x:v>zh-CN</x:v>
      </x:c>
      <x:c r="C441" s="31" t="str">
        <x:v>Brilliant Counterattack</x:v>
      </x:c>
      <x:c r="D441" s="31" t="str">
        <x:v>CS2.5</x:v>
      </x:c>
      <x:c r="E441" s="31" t="str">
        <x:v>reconciled_components</x:v>
      </x:c>
      <x:c r="F441" s="31" t="n">
        <x:v>79</x:v>
      </x:c>
      <x:c r="G441" s="31" t="str">
        <x:v>Numbered total equals the reconciled printed denominator + beyond-denominator identities + separately listed subset identities.</x:v>
      </x:c>
      <x:c r="H441" s="31" t="str"/>
      <x:c r="I441" s="31" t="n">
        <x:v>79</x:v>
      </x:c>
      <x:c r="J441" s="31" t="str"/>
    </x:row>
    <x:row r="442">
      <x:c r="A442" s="31" t="n">
        <x:v>457</x:v>
      </x:c>
      <x:c r="B442" s="31" t="str">
        <x:v>zh-CN</x:v>
      </x:c>
      <x:c r="C442" s="31" t="str">
        <x:v>Primordial Arts: Overgrow</x:v>
      </x:c>
      <x:c r="D442" s="31" t="str">
        <x:v>CS3a</x:v>
      </x:c>
      <x:c r="E442" s="31" t="str">
        <x:v>reference_bridge_inherited</x:v>
      </x:c>
      <x:c r="F442" s="31" t="n">
        <x:v>184</x:v>
      </x:c>
      <x:c r="G442" s="31" t="str">
        <x:v>Numbered total bridged from the existing sourced reference count. This is populated for catalogue completeness but remains derived rather than independently re-counted card-by-card in this pass.</x:v>
      </x:c>
      <x:c r="H442" s="31" t="str"/>
      <x:c r="I442" s="31" t="n">
        <x:v>184</x:v>
      </x:c>
      <x:c r="J442" s="31" t="str"/>
    </x:row>
    <x:row r="443">
      <x:c r="A443" s="31" t="n">
        <x:v>458</x:v>
      </x:c>
      <x:c r="B443" s="31" t="str">
        <x:v>zh-CN</x:v>
      </x:c>
      <x:c r="C443" s="31" t="str">
        <x:v>Primordial Arts: Torrent</x:v>
      </x:c>
      <x:c r="D443" s="31" t="str">
        <x:v>CS3b</x:v>
      </x:c>
      <x:c r="E443" s="31" t="str">
        <x:v>reference_bridge_inherited</x:v>
      </x:c>
      <x:c r="F443" s="31" t="n">
        <x:v>179</x:v>
      </x:c>
      <x:c r="G443" s="31" t="str">
        <x:v>Numbered total bridged from the existing sourced reference count. This is populated for catalogue completeness but remains derived rather than independently re-counted card-by-card in this pass.</x:v>
      </x:c>
      <x:c r="H443" s="31" t="str"/>
      <x:c r="I443" s="31" t="n">
        <x:v>179</x:v>
      </x:c>
      <x:c r="J443" s="31" t="str"/>
    </x:row>
    <x:row r="444">
      <x:c r="A444" s="31" t="n">
        <x:v>459</x:v>
      </x:c>
      <x:c r="B444" s="31" t="str">
        <x:v>zh-CN</x:v>
      </x:c>
      <x:c r="C444" s="31" t="str">
        <x:v>Scorching Skies</x:v>
      </x:c>
      <x:c r="D444" s="31" t="str">
        <x:v>CS3.5</x:v>
      </x:c>
      <x:c r="E444" s="31" t="str">
        <x:v>reconciled_components</x:v>
      </x:c>
      <x:c r="F444" s="31" t="n">
        <x:v>90</x:v>
      </x:c>
      <x:c r="G444" s="31" t="str">
        <x:v>Numbered total equals the reconciled printed denominator + beyond-denominator identities + separately listed subset identities.</x:v>
      </x:c>
      <x:c r="H444" s="31" t="str"/>
      <x:c r="I444" s="31" t="n">
        <x:v>90</x:v>
      </x:c>
      <x:c r="J444" s="31" t="str"/>
    </x:row>
    <x:row r="445">
      <x:c r="A445" s="31" t="n">
        <x:v>462</x:v>
      </x:c>
      <x:c r="B445" s="31" t="str">
        <x:v>zh-CN</x:v>
      </x:c>
      <x:c r="C445" s="31" t="str">
        <x:v>Flame Dance of the End</x:v>
      </x:c>
      <x:c r="D445" s="31" t="str">
        <x:v>CS4.5</x:v>
      </x:c>
      <x:c r="E445" s="31" t="str">
        <x:v>reconciled_components</x:v>
      </x:c>
      <x:c r="F445" s="31" t="n">
        <x:v>83</x:v>
      </x:c>
      <x:c r="G445" s="31" t="str">
        <x:v>Numbered total equals the reconciled printed denominator + beyond-denominator identities + separately listed subset identities.</x:v>
      </x:c>
      <x:c r="H445" s="31" t="str"/>
      <x:c r="I445" s="31" t="n">
        <x:v>83</x:v>
      </x:c>
      <x:c r="J445" s="31" t="str"/>
    </x:row>
    <x:row r="446">
      <x:c r="A446" s="31" t="n">
        <x:v>465</x:v>
      </x:c>
      <x:c r="B446" s="31" t="str">
        <x:v>zh-CN</x:v>
      </x:c>
      <x:c r="C446" s="31" t="str">
        <x:v>Overshadowed Radiance</x:v>
      </x:c>
      <x:c r="D446" s="31" t="str">
        <x:v>CS5.5</x:v>
      </x:c>
      <x:c r="E446" s="31" t="str">
        <x:v>reconciled_components</x:v>
      </x:c>
      <x:c r="F446" s="31" t="n">
        <x:v>89</x:v>
      </x:c>
      <x:c r="G446" s="31" t="str">
        <x:v>Numbered total equals the reconciled printed denominator + beyond-denominator identities + separately listed subset identities.</x:v>
      </x:c>
      <x:c r="H446" s="31" t="str"/>
      <x:c r="I446" s="31" t="n">
        <x:v>89</x:v>
      </x:c>
      <x:c r="J446" s="31" t="str"/>
    </x:row>
    <x:row r="447">
      <x:c r="A447" s="31" t="n">
        <x:v>466</x:v>
      </x:c>
      <x:c r="B447" s="31" t="str">
        <x:v>zh-CN</x:v>
      </x:c>
      <x:c r="C447" s="31" t="str">
        <x:v>Marine Shadow: Banish</x:v>
      </x:c>
      <x:c r="D447" s="31" t="str">
        <x:v>CS6b</x:v>
      </x:c>
      <x:c r="E447" s="31" t="str">
        <x:v>reference_bridge_secondary_checklist</x:v>
      </x:c>
      <x:c r="F447" s="31" t="n">
        <x:v>173</x:v>
      </x:c>
      <x:c r="G447" s="31" t="str">
        <x:v>Numbered total bridged from the sourced reference-count checklist for this exact row scope. Distinct numbered identities for Marine Shadow: Banish in the named Simplified Chinese set scope.</x:v>
      </x:c>
      <x:c r="H447" s="31" t="str">
        <x:v>https://bulbapedia.bulbagarden.net/wiki/Template:Simplified_Chinese_Releases</x:v>
      </x:c>
      <x:c r="I447" s="31" t="n">
        <x:v>173</x:v>
      </x:c>
      <x:c r="J447" s="31" t="str"/>
    </x:row>
    <x:row r="448">
      <x:c r="A448" s="31" t="n">
        <x:v>467</x:v>
      </x:c>
      <x:c r="B448" s="31" t="str">
        <x:v>zh-CN</x:v>
      </x:c>
      <x:c r="C448" s="31" t="str">
        <x:v>Marine Shadow: Roar</x:v>
      </x:c>
      <x:c r="D448" s="31" t="str">
        <x:v>CS6a</x:v>
      </x:c>
      <x:c r="E448" s="31" t="str">
        <x:v>reference_bridge_secondary_checklist</x:v>
      </x:c>
      <x:c r="F448" s="31" t="n">
        <x:v>170</x:v>
      </x:c>
      <x:c r="G448" s="31" t="str">
        <x:v>Numbered total bridged from the sourced reference-count checklist for this exact row scope. Distinct numbered identities for Marine Shadow: Roar in the named Simplified Chinese set scope.</x:v>
      </x:c>
      <x:c r="H448" s="31" t="str">
        <x:v>https://bulbapedia.bulbagarden.net/wiki/Template:Simplified_Chinese_Releases</x:v>
      </x:c>
      <x:c r="I448" s="31" t="n">
        <x:v>170</x:v>
      </x:c>
      <x:c r="J448" s="31" t="str"/>
    </x:row>
    <x:row r="449">
      <x:c r="A449" s="31" t="n">
        <x:v>468</x:v>
      </x:c>
      <x:c r="B449" s="31" t="str">
        <x:v>zh-CN</x:v>
      </x:c>
      <x:c r="C449" s="31" t="str">
        <x:v>Victory Lodestar</x:v>
      </x:c>
      <x:c r="D449" s="31" t="str">
        <x:v>CS6.5</x:v>
      </x:c>
      <x:c r="E449" s="31" t="str">
        <x:v>reconciled_components</x:v>
      </x:c>
      <x:c r="F449" s="31" t="n">
        <x:v>72</x:v>
      </x:c>
      <x:c r="G449" s="31" t="str">
        <x:v>Numbered total equals the reconciled printed denominator + beyond-denominator identities + separately listed subset identities.</x:v>
      </x:c>
      <x:c r="H449" s="31" t="str">
        <x:v>https://bulbapedia.bulbagarden.net/wiki/Template:Simplified_Chinese_Releases</x:v>
      </x:c>
      <x:c r="I449" s="31" t="n">
        <x:v>72</x:v>
      </x:c>
      <x:c r="J449" s="31" t="str"/>
    </x:row>
    <x:row r="450">
      <x:c r="A450" s="31" t="n">
        <x:v>469</x:v>
      </x:c>
      <x:c r="B450" s="31" t="str">
        <x:v>zh-CN</x:v>
      </x:c>
      <x:c r="C450" s="31" t="str">
        <x:v>Ancient Times, Future Progress</x:v>
      </x:c>
      <x:c r="D450" s="31" t="str">
        <x:v>CSV1</x:v>
      </x:c>
      <x:c r="E450" s="31" t="str">
        <x:v>reconciled_components</x:v>
      </x:c>
      <x:c r="F450" s="31" t="n">
        <x:v>167</x:v>
      </x:c>
      <x:c r="G450" s="31" t="str">
        <x:v>Numbered total equals the reconciled printed denominator + beyond-denominator identities + separately listed subset identities.</x:v>
      </x:c>
      <x:c r="H450" s="31" t="str"/>
      <x:c r="I450" s="31" t="n">
        <x:v>167</x:v>
      </x:c>
      <x:c r="J450" s="31" t="str"/>
    </x:row>
    <x:row r="451">
      <x:c r="A451" s="31" t="n">
        <x:v>470</x:v>
      </x:c>
      <x:c r="B451" s="31" t="str">
        <x:v>zh-CN</x:v>
      </x:c>
      <x:c r="C451" s="31" t="str">
        <x:v>Collection 151 — shared numbered catalogue</x:v>
      </x:c>
      <x:c r="D451" s="31" t="str">
        <x:v>151C</x:v>
      </x:c>
      <x:c r="E451" s="31" t="str">
        <x:v>reconciled_components</x:v>
      </x:c>
      <x:c r="F451" s="31" t="n">
        <x:v>192</x:v>
      </x:c>
      <x:c r="G451" s="31" t="str">
        <x:v>Numbered total equals the reconciled printed denominator + beyond-denominator identities + separately listed subset identities.</x:v>
      </x:c>
      <x:c r="H451" s="31" t="str">
        <x:v>https://excaliburtcg.co.uk/products ; https://www.pokemon.cn/tcg/product/15486.html</x:v>
      </x:c>
      <x:c r="I451" s="31" t="n">
        <x:v>192</x:v>
      </x:c>
      <x:c r="J451" s="31" t="str"/>
    </x:row>
    <x:row r="452">
      <x:c r="A452" s="31" t="n">
        <x:v>471</x:v>
      </x:c>
      <x:c r="B452" s="31" t="str">
        <x:v>zh-CN</x:v>
      </x:c>
      <x:c r="C452" s="31" t="str">
        <x:v>Collection 151: Journey</x:v>
      </x:c>
      <x:c r="D452" s="31" t="str">
        <x:v>151C1</x:v>
      </x:c>
      <x:c r="E452" s="31" t="str">
        <x:v>reference_bridge_shared_catalogue</x:v>
      </x:c>
      <x:c r="F452" s="31" t="n">
        <x:v>192</x:v>
      </x:c>
      <x:c r="G452" s="31" t="str">
        <x:v>Numbered total bridged from the sourced reference-count checklist for this exact row scope. Shared Collection 151 numbered catalogue count; Journey is a pack edition and overlaps the same 192-identity catalogue.</x:v>
      </x:c>
      <x:c r="H452" s="31" t="str">
        <x:v>https://bulbapedia.bulbagarden.net/wiki/Template:Simplified_Chinese_Releases</x:v>
      </x:c>
      <x:c r="I452" s="31" t="n">
        <x:v>192</x:v>
      </x:c>
      <x:c r="J452" s="31" t="str"/>
    </x:row>
    <x:row r="453">
      <x:c r="A453" s="31" t="n">
        <x:v>472</x:v>
      </x:c>
      <x:c r="B453" s="31" t="str">
        <x:v>zh-CN</x:v>
      </x:c>
      <x:c r="C453" s="31" t="str">
        <x:v>Gem Pack Vol. 1</x:v>
      </x:c>
      <x:c r="D453" s="31" t="str">
        <x:v>CBB1</x:v>
      </x:c>
      <x:c r="E453" s="31" t="str">
        <x:v>reference_bridge_inherited</x:v>
      </x:c>
      <x:c r="F453" s="31" t="n">
        <x:v>114</x:v>
      </x:c>
      <x:c r="G453" s="31" t="str">
        <x:v>Numbered total bridged from the existing sourced reference count. This is populated for catalogue completeness but remains derived rather than independently re-counted card-by-card in this pass.</x:v>
      </x:c>
      <x:c r="H453" s="31" t="str"/>
      <x:c r="I453" s="31" t="n">
        <x:v>114</x:v>
      </x:c>
      <x:c r="J453" s="31" t="str"/>
    </x:row>
    <x:row r="454">
      <x:c r="A454" s="31" t="n">
        <x:v>473</x:v>
      </x:c>
      <x:c r="B454" s="31" t="str">
        <x:v>zh-CN</x:v>
      </x:c>
      <x:c r="C454" s="31" t="str">
        <x:v>Miracle Journey</x:v>
      </x:c>
      <x:c r="D454" s="31" t="str">
        <x:v>CSV2</x:v>
      </x:c>
      <x:c r="E454" s="31" t="str">
        <x:v>reconciled_components</x:v>
      </x:c>
      <x:c r="F454" s="31" t="n">
        <x:v>163</x:v>
      </x:c>
      <x:c r="G454" s="31" t="str">
        <x:v>Numbered total equals the reconciled printed denominator + beyond-denominator identities + separately listed subset identities.</x:v>
      </x:c>
      <x:c r="H454" s="31" t="str"/>
      <x:c r="I454" s="31" t="n">
        <x:v>163</x:v>
      </x:c>
      <x:c r="J454" s="31" t="str"/>
    </x:row>
    <x:row r="455">
      <x:c r="A455" s="31" t="n">
        <x:v>474</x:v>
      </x:c>
      <x:c r="B455" s="31" t="str">
        <x:v>zh-CN</x:v>
      </x:c>
      <x:c r="C455" s="31" t="str">
        <x:v>Collection 151: Hope</x:v>
      </x:c>
      <x:c r="D455" s="31" t="str">
        <x:v>151C2</x:v>
      </x:c>
      <x:c r="E455" s="31" t="str">
        <x:v>reference_bridge_shared_catalogue</x:v>
      </x:c>
      <x:c r="F455" s="31" t="n">
        <x:v>192</x:v>
      </x:c>
      <x:c r="G455" s="31" t="str">
        <x:v>Numbered total bridged from the sourced reference-count checklist for this exact row scope. Shared Collection 151 numbered catalogue count; Hope is a pack edition and overlaps the same 192-identity catalogue.</x:v>
      </x:c>
      <x:c r="H455" s="31" t="str">
        <x:v>https://bulbapedia.bulbagarden.net/wiki/Template:Simplified_Chinese_Releases</x:v>
      </x:c>
      <x:c r="I455" s="31" t="n">
        <x:v>192</x:v>
      </x:c>
      <x:c r="J455" s="31" t="str"/>
    </x:row>
    <x:row r="456">
      <x:c r="A456" s="31" t="n">
        <x:v>475</x:v>
      </x:c>
      <x:c r="B456" s="31" t="str">
        <x:v>zh-CN</x:v>
      </x:c>
      <x:c r="C456" s="31" t="str">
        <x:v>Fearless Terastal</x:v>
      </x:c>
      <x:c r="D456" s="31" t="str">
        <x:v>CSV3</x:v>
      </x:c>
      <x:c r="E456" s="31" t="str">
        <x:v>reconciled_components</x:v>
      </x:c>
      <x:c r="F456" s="31" t="n">
        <x:v>165</x:v>
      </x:c>
      <x:c r="G456" s="31" t="str">
        <x:v>Numbered total equals the reconciled printed denominator + beyond-denominator identities + separately listed subset identities.</x:v>
      </x:c>
      <x:c r="H456" s="31" t="str"/>
      <x:c r="I456" s="31" t="n">
        <x:v>165</x:v>
      </x:c>
      <x:c r="J456" s="31" t="str"/>
    </x:row>
    <x:row r="457">
      <x:c r="A457" s="31" t="n">
        <x:v>476</x:v>
      </x:c>
      <x:c r="B457" s="31" t="str">
        <x:v>zh-CN</x:v>
      </x:c>
      <x:c r="C457" s="31" t="str">
        <x:v>Gem Pack Vol. 2</x:v>
      </x:c>
      <x:c r="D457" s="31" t="str">
        <x:v>CBB2</x:v>
      </x:c>
      <x:c r="E457" s="31" t="str">
        <x:v>reference_bridge_inherited</x:v>
      </x:c>
      <x:c r="F457" s="31" t="n">
        <x:v>140</x:v>
      </x:c>
      <x:c r="G457" s="31" t="str">
        <x:v>Numbered total bridged from the existing sourced reference count. This is populated for catalogue completeness but remains derived rather than independently re-counted card-by-card in this pass.</x:v>
      </x:c>
      <x:c r="H457" s="31" t="str"/>
      <x:c r="I457" s="31" t="n">
        <x:v>140</x:v>
      </x:c>
      <x:c r="J457" s="31" t="str"/>
    </x:row>
    <x:row r="458">
      <x:c r="A458" s="31" t="n">
        <x:v>477</x:v>
      </x:c>
      <x:c r="B458" s="31" t="str">
        <x:v>zh-CN</x:v>
      </x:c>
      <x:c r="C458" s="31" t="str">
        <x:v>Journey Theme Pack</x:v>
      </x:c>
      <x:c r="D458" s="31" t="str">
        <x:v>CSVL1</x:v>
      </x:c>
      <x:c r="E458" s="31" t="str">
        <x:v>complete_secondary_checklist</x:v>
      </x:c>
      <x:c r="F458" s="31" t="n">
        <x:v>141</x:v>
      </x:c>
      <x:c r="G458" s="31" t="str">
        <x:v>Journey Theme Pack contains 141 distinct catalogue cards: 49 within the printed denominator plus 92 additional identities.</x:v>
      </x:c>
      <x:c r="H458" s="31" t="str">
        <x:v>https://wiki.52poke.com/wiki/%E5%90%AF%E7%A8%8B%E4%B8%93%E9%A2%98%E5%8C%85%EF%BC%88TCG%EF%BC%89</x:v>
      </x:c>
      <x:c r="I458" s="31" t="n">
        <x:v>141</x:v>
      </x:c>
      <x:c r="J458" s="31" t="str"/>
    </x:row>
    <x:row r="459">
      <x:c r="A459" s="31" t="n">
        <x:v>478</x:v>
      </x:c>
      <x:c r="B459" s="31" t="str">
        <x:v>zh-CN</x:v>
      </x:c>
      <x:c r="C459" s="31" t="str">
        <x:v>Bonus Round</x:v>
      </x:c>
      <x:c r="D459" s="31" t="str">
        <x:v>CSV4</x:v>
      </x:c>
      <x:c r="E459" s="31" t="str">
        <x:v>reconciled_components</x:v>
      </x:c>
      <x:c r="F459" s="31" t="n">
        <x:v>165</x:v>
      </x:c>
      <x:c r="G459" s="31" t="str">
        <x:v>Numbered total equals the reconciled printed denominator + beyond-denominator identities + separately listed subset identities.</x:v>
      </x:c>
      <x:c r="H459" s="31" t="str"/>
      <x:c r="I459" s="31" t="n">
        <x:v>165</x:v>
      </x:c>
      <x:c r="J459" s="31" t="str"/>
    </x:row>
    <x:row r="460">
      <x:c r="A460" s="31" t="n">
        <x:v>479</x:v>
      </x:c>
      <x:c r="B460" s="31" t="str">
        <x:v>zh-CN</x:v>
      </x:c>
      <x:c r="C460" s="31" t="str">
        <x:v>Collection 151: Scare</x:v>
      </x:c>
      <x:c r="D460" s="31" t="str">
        <x:v>151C3</x:v>
      </x:c>
      <x:c r="E460" s="31" t="str">
        <x:v>reference_bridge_shared_catalogue</x:v>
      </x:c>
      <x:c r="F460" s="31" t="n">
        <x:v>192</x:v>
      </x:c>
      <x:c r="G460" s="31" t="str">
        <x:v>Numbered total bridged from the sourced reference-count checklist for this exact row scope. Shared Collection 151 numbered catalogue count; Scare is a pack edition and overlaps the same 192-identity catalogue.</x:v>
      </x:c>
      <x:c r="H460" s="31" t="str">
        <x:v>https://bulbapedia.bulbagarden.net/wiki/Template:Simplified_Chinese_Releases</x:v>
      </x:c>
      <x:c r="I460" s="31" t="n">
        <x:v>192</x:v>
      </x:c>
      <x:c r="J460" s="31" t="str"/>
    </x:row>
    <x:row r="461">
      <x:c r="A461" s="31" t="n">
        <x:v>480</x:v>
      </x:c>
      <x:c r="B461" s="31" t="str">
        <x:v>zh-CN</x:v>
      </x:c>
      <x:c r="C461" s="31" t="str">
        <x:v>Ardent Obsidian</x:v>
      </x:c>
      <x:c r="D461" s="31" t="str">
        <x:v>CSV5</x:v>
      </x:c>
      <x:c r="E461" s="31" t="str">
        <x:v>reconciled_components</x:v>
      </x:c>
      <x:c r="F461" s="31" t="n">
        <x:v>164</x:v>
      </x:c>
      <x:c r="G461" s="31" t="str">
        <x:v>Numbered total equals the reconciled printed denominator + beyond-denominator identities + separately listed subset identities.</x:v>
      </x:c>
      <x:c r="H461" s="31" t="str"/>
      <x:c r="I461" s="31" t="n">
        <x:v>164</x:v>
      </x:c>
      <x:c r="J461" s="31" t="str"/>
    </x:row>
    <x:row r="462">
      <x:c r="A462" s="31" t="n">
        <x:v>481</x:v>
      </x:c>
      <x:c r="B462" s="31" t="str">
        <x:v>zh-CN</x:v>
      </x:c>
      <x:c r="C462" s="31" t="str">
        <x:v>Gem Pack Vol. 3</x:v>
      </x:c>
      <x:c r="D462" s="31" t="str">
        <x:v>CBB3</x:v>
      </x:c>
      <x:c r="E462" s="31" t="str">
        <x:v>reference_bridge_inherited</x:v>
      </x:c>
      <x:c r="F462" s="31" t="n">
        <x:v>136</x:v>
      </x:c>
      <x:c r="G462" s="31" t="str">
        <x:v>Numbered total bridged from the existing sourced reference count. This is populated for catalogue completeness but remains derived rather than independently re-counted card-by-card in this pass.</x:v>
      </x:c>
      <x:c r="H462" s="31" t="str"/>
      <x:c r="I462" s="31" t="n">
        <x:v>136</x:v>
      </x:c>
      <x:c r="J462" s="31" t="str"/>
    </x:row>
    <x:row r="463">
      <x:c r="A463" s="31" t="n">
        <x:v>482</x:v>
      </x:c>
      <x:c r="B463" s="31" t="str">
        <x:v>zh-CN</x:v>
      </x:c>
      <x:c r="C463" s="31" t="str">
        <x:v>Collection 151: Gather</x:v>
      </x:c>
      <x:c r="D463" s="31" t="str">
        <x:v>151C4</x:v>
      </x:c>
      <x:c r="E463" s="31" t="str">
        <x:v>reference_bridge_shared_catalogue</x:v>
      </x:c>
      <x:c r="F463" s="31" t="n">
        <x:v>192</x:v>
      </x:c>
      <x:c r="G463" s="31" t="str">
        <x:v>Numbered total bridged from the sourced reference-count checklist for this exact row scope. Shared Collection 151 numbered catalogue count; Gather is a pack edition and overlaps the same 192-identity catalogue.</x:v>
      </x:c>
      <x:c r="H463" s="31" t="str">
        <x:v>https://bulbapedia.bulbagarden.net/wiki/Template:Simplified_Chinese_Releases</x:v>
      </x:c>
      <x:c r="I463" s="31" t="n">
        <x:v>192</x:v>
      </x:c>
      <x:c r="J463" s="31" t="str"/>
    </x:row>
    <x:row r="464">
      <x:c r="A464" s="31" t="n">
        <x:v>483</x:v>
      </x:c>
      <x:c r="B464" s="31" t="str">
        <x:v>zh-CN</x:v>
      </x:c>
      <x:c r="C464" s="31" t="str">
        <x:v>Arcane Truth</x:v>
      </x:c>
      <x:c r="D464" s="31" t="str">
        <x:v>CSV6</x:v>
      </x:c>
      <x:c r="E464" s="31" t="str">
        <x:v>reconciled_components</x:v>
      </x:c>
      <x:c r="F464" s="31" t="n">
        <x:v>163</x:v>
      </x:c>
      <x:c r="G464" s="31" t="str">
        <x:v>Numbered total equals the reconciled printed denominator + beyond-denominator identities + separately listed subset identities.</x:v>
      </x:c>
      <x:c r="H464" s="31" t="str"/>
      <x:c r="I464" s="31" t="n">
        <x:v>163</x:v>
      </x:c>
      <x:c r="J464" s="31" t="str"/>
    </x:row>
    <x:row r="465">
      <x:c r="A465" s="31" t="n">
        <x:v>484</x:v>
      </x:c>
      <x:c r="B465" s="31" t="str">
        <x:v>zh-CN</x:v>
      </x:c>
      <x:c r="C465" s="31" t="str">
        <x:v>Travel Theme Pack</x:v>
      </x:c>
      <x:c r="D465" s="31" t="str">
        <x:v>CSVL2</x:v>
      </x:c>
      <x:c r="E465" s="31" t="str">
        <x:v>complete_secondary_checklist</x:v>
      </x:c>
      <x:c r="F465" s="31" t="n">
        <x:v>147</x:v>
      </x:c>
      <x:c r="G465" s="31" t="str">
        <x:v>Travel Theme Pack source lists 147 cards in set; printed denominator is 52, giving 95 additional identities.</x:v>
      </x:c>
      <x:c r="H465" s="31" t="str">
        <x:v>https://bulbapedia.bulbagarden.net/wiki/Travel_Theme_Pack_%28ATCG%29</x:v>
      </x:c>
      <x:c r="I465" s="31" t="n">
        <x:v>147</x:v>
      </x:c>
      <x:c r="J465" s="31" t="str"/>
    </x:row>
    <x:row r="466">
      <x:c r="A466" s="31" t="n">
        <x:v>485</x:v>
      </x:c>
      <x:c r="B466" s="31" t="str">
        <x:v>zh-CN</x:v>
      </x:c>
      <x:c r="C466" s="31" t="str">
        <x:v>Blade Awakening</x:v>
      </x:c>
      <x:c r="D466" s="31" t="str">
        <x:v>CSV7</x:v>
      </x:c>
      <x:c r="E466" s="31" t="str">
        <x:v>reconciled_components</x:v>
      </x:c>
      <x:c r="F466" s="31" t="n">
        <x:v>259</x:v>
      </x:c>
      <x:c r="G466" s="31" t="str">
        <x:v>Numbered total equals the reconciled printed denominator + beyond-denominator identities + separately listed subset identities.</x:v>
      </x:c>
      <x:c r="H466" s="31" t="str"/>
      <x:c r="I466" s="31" t="n">
        <x:v>259</x:v>
      </x:c>
      <x:c r="J466" s="31" t="str"/>
    </x:row>
    <x:row r="467">
      <x:c r="A467" s="31" t="n">
        <x:v>486</x:v>
      </x:c>
      <x:c r="B467" s="31" t="str">
        <x:v>zh-CN</x:v>
      </x:c>
      <x:c r="C467" s="31" t="str">
        <x:v>Gem Pack Vol. 4</x:v>
      </x:c>
      <x:c r="D467" s="31" t="str">
        <x:v>CBB4</x:v>
      </x:c>
      <x:c r="E467" s="31" t="str">
        <x:v>reference_bridge_inherited</x:v>
      </x:c>
      <x:c r="F467" s="31" t="n">
        <x:v>196</x:v>
      </x:c>
      <x:c r="G467" s="31" t="str">
        <x:v>Numbered total bridged from the existing sourced reference count. This is populated for catalogue completeness but remains derived rather than independently re-counted card-by-card in this pass.</x:v>
      </x:c>
      <x:c r="H467" s="31" t="str"/>
      <x:c r="I467" s="31" t="n">
        <x:v>196</x:v>
      </x:c>
      <x:c r="J467" s="31" t="str"/>
    </x:row>
    <x:row r="468">
      <x:c r="A468" s="31" t="n">
        <x:v>487</x:v>
      </x:c>
      <x:c r="B468" s="31" t="str">
        <x:v>zh-CN</x:v>
      </x:c>
      <x:c r="C468" s="31" t="str">
        <x:v>Sparkling Fable</x:v>
      </x:c>
      <x:c r="D468" s="31" t="str">
        <x:v>CSV8</x:v>
      </x:c>
      <x:c r="E468" s="31" t="str">
        <x:v>reconciled_components</x:v>
      </x:c>
      <x:c r="F468" s="31" t="n">
        <x:v>264</x:v>
      </x:c>
      <x:c r="G468" s="31" t="str">
        <x:v>Numbered total equals the reconciled printed denominator + beyond-denominator identities + separately listed subset identities.</x:v>
      </x:c>
      <x:c r="H468" s="31" t="str"/>
      <x:c r="I468" s="31" t="n">
        <x:v>264</x:v>
      </x:c>
      <x:c r="J468" s="31" t="str"/>
    </x:row>
    <x:row r="469">
      <x:c r="A469" s="31" t="n">
        <x:v>488</x:v>
      </x:c>
      <x:c r="B469" s="31" t="str">
        <x:v>zh-CN</x:v>
      </x:c>
      <x:c r="C469" s="31" t="str">
        <x:v>Gem Pack Vol. 5</x:v>
      </x:c>
      <x:c r="D469" s="31" t="str">
        <x:v>CBB5</x:v>
      </x:c>
      <x:c r="E469" s="31" t="str">
        <x:v>reference_bridge_inherited</x:v>
      </x:c>
      <x:c r="F469" s="31" t="n">
        <x:v>196</x:v>
      </x:c>
      <x:c r="G469" s="31" t="str">
        <x:v>Numbered total bridged from the existing sourced reference count. This is populated for catalogue completeness but remains derived rather than independently re-counted card-by-card in this pass.</x:v>
      </x:c>
      <x:c r="H469" s="31" t="str"/>
      <x:c r="I469" s="31" t="n">
        <x:v>196</x:v>
      </x:c>
      <x:c r="J469" s="31" t="str"/>
    </x:row>
    <x:row r="470">
      <x:c r="A470" s="31" t="n">
        <x:v>489</x:v>
      </x:c>
      <x:c r="B470" s="31" t="str">
        <x:v>zh-CN</x:v>
      </x:c>
      <x:c r="C470" s="31" t="str">
        <x:v>Kitakami Theme Pack</x:v>
      </x:c>
      <x:c r="D470" s="31" t="str">
        <x:v>CSVN</x:v>
      </x:c>
      <x:c r="E470" s="31" t="str">
        <x:v>complete_secondary_checklist</x:v>
      </x:c>
      <x:c r="F470" s="31" t="n">
        <x:v>141</x:v>
      </x:c>
      <x:c r="G470" s="31" t="str">
        <x:v>Kitakami Theme Pack source lists 141 cards in set; printed denominator is 52, giving 89 additional identities.</x:v>
      </x:c>
      <x:c r="H470" s="31" t="str">
        <x:v>https://bulbapedia.bulbagarden.net/wiki/Kitakami_Theme_Pack_%28ATCG%29</x:v>
      </x:c>
      <x:c r="I470" s="31" t="n">
        <x:v>141</x:v>
      </x:c>
      <x:c r="J470" s="31" t="str"/>
    </x:row>
    <x:row r="471">
      <x:c r="A471" s="31" t="n">
        <x:v>490</x:v>
      </x:c>
      <x:c r="B471" s="31" t="str">
        <x:v>zh-CN</x:v>
      </x:c>
      <x:c r="C471" s="31" t="str">
        <x:v>Stellar Crystal</x:v>
      </x:c>
      <x:c r="D471" s="31" t="str">
        <x:v>CSV9</x:v>
      </x:c>
      <x:c r="E471" s="31" t="str">
        <x:v>reconciled_components</x:v>
      </x:c>
      <x:c r="F471" s="31" t="n">
        <x:v>266</x:v>
      </x:c>
      <x:c r="G471" s="31" t="str">
        <x:v>Numbered total equals the reconciled printed denominator + beyond-denominator identities + separately listed subset identities.</x:v>
      </x:c>
      <x:c r="H471" s="31" t="str"/>
      <x:c r="I471" s="31" t="n">
        <x:v>266</x:v>
      </x:c>
      <x:c r="J471" s="31" t="str"/>
    </x:row>
    <x:row r="472">
      <x:c r="A472" s="31" t="n">
        <x:v>491</x:v>
      </x:c>
      <x:c r="B472" s="31" t="str">
        <x:v>zh-CN</x:v>
      </x:c>
      <x:c r="C472" s="31" t="str">
        <x:v>Terastal Gathering</x:v>
      </x:c>
      <x:c r="D472" s="31" t="str">
        <x:v>CSV9.5</x:v>
      </x:c>
      <x:c r="E472" s="31" t="str">
        <x:v>reconciled_components</x:v>
      </x:c>
      <x:c r="F472" s="31" t="n">
        <x:v>259</x:v>
      </x:c>
      <x:c r="G472" s="31" t="str">
        <x:v>Numbered total equals the reconciled printed denominator + beyond-denominator identities + separately listed subset identities.</x:v>
      </x:c>
      <x:c r="H472" s="31" t="str"/>
      <x:c r="I472" s="31" t="n">
        <x:v>259</x:v>
      </x:c>
      <x:c r="J472" s="31" t="str"/>
    </x:row>
    <x:row r="473">
      <x:c r="A473" s="31" t="n">
        <x:v>492</x:v>
      </x:c>
      <x:c r="B473" s="31" t="str">
        <x:v>zh-CN</x:v>
      </x:c>
      <x:c r="C473" s="31" t="str">
        <x:v>Together in Pursuit of Glory</x:v>
      </x:c>
      <x:c r="D473" s="31" t="str">
        <x:v>CSV10</x:v>
      </x:c>
      <x:c r="E473" s="31" t="str">
        <x:v>reconciled_components</x:v>
      </x:c>
      <x:c r="F473" s="31" t="n">
        <x:v>287</x:v>
      </x:c>
      <x:c r="G473" s="31" t="str">
        <x:v>Numbered total equals the reconciled printed denominator + beyond-denominator identities + separately listed subset identities.</x:v>
      </x:c>
      <x:c r="H473" s="31" t="str"/>
      <x:c r="I473" s="31" t="n">
        <x:v>287</x:v>
      </x:c>
      <x:c r="J473" s="31" t="str"/>
    </x:row>
    <x:row r="474">
      <x:c r="A474" s="31" t="n">
        <x:v>493</x:v>
      </x:c>
      <x:c r="B474" s="31" t="str">
        <x:v>zh-CN</x:v>
      </x:c>
      <x:c r="C474" s="31" t="str">
        <x:v>Gem Pack Vol. 6</x:v>
      </x:c>
      <x:c r="D474" s="31" t="str">
        <x:v>CBB6</x:v>
      </x:c>
      <x:c r="E474" s="31" t="str">
        <x:v>reference_bridge_secondary_checklist</x:v>
      </x:c>
      <x:c r="F474" s="31" t="n">
        <x:v>196</x:v>
      </x:c>
      <x:c r="G474" s="31" t="str">
        <x:v>Numbered total bridged from the sourced reference-count checklist for this exact row scope. Gem Pack Vol. 6 catalogue identities in the source checklist scope.</x:v>
      </x:c>
      <x:c r="H474" s="31" t="str">
        <x:v>https://bulbapedia.bulbagarden.net/wiki/Template:Simplified_Chinese_Releases</x:v>
      </x:c>
      <x:c r="I474" s="31" t="n">
        <x:v>196</x:v>
      </x:c>
      <x:c r="J474" s="31" t="str"/>
    </x:row>
    <x:row r="475">
      <x:c r="A475" s="31" t="n">
        <x:v>494</x:v>
      </x:c>
      <x:c r="B475" s="31" t="str">
        <x:v>zh-CN</x:v>
      </x:c>
      <x:c r="C475" s="31" t="str">
        <x:v>30th Celebration</x:v>
      </x:c>
      <x:c r="D475" s="31" t="str">
        <x:v>30thC</x:v>
      </x:c>
      <x:c r="E475" s="31" t="str">
        <x:v>current_complete_checklist</x:v>
      </x:c>
      <x:c r="F475" s="31" t="n">
        <x:v>169</x:v>
      </x:c>
      <x:c r="G475" s="31" t="str">
        <x:v>Current Simplified Chinese 30th Celebration checklist contains 169 catalogue cards.</x:v>
      </x:c>
      <x:c r="H475" s="31" t="str">
        <x:v>https://grokachu.fr/en/collections/30thc</x:v>
      </x:c>
      <x:c r="I475" s="31" t="n">
        <x:v>169</x:v>
      </x:c>
      <x:c r="J475" s="31" t="str"/>
    </x:row>
    <x:row r="476">
      <x:c r="A476" s="31" t="n">
        <x:v>495</x:v>
      </x:c>
      <x:c r="B476" s="31" t="str">
        <x:v>zh-CN</x:v>
      </x:c>
      <x:c r="C476" s="31" t="str">
        <x:v>30th-P Promotional cards</x:v>
      </x:c>
      <x:c r="D476" s="31" t="str">
        <x:v>30th-P</x:v>
      </x:c>
      <x:c r="E476" s="31" t="str">
        <x:v>reference_bridge_secondary_checklist</x:v>
      </x:c>
      <x:c r="F476" s="31" t="n">
        <x:v>31</x:v>
      </x:c>
      <x:c r="G476" s="31" t="str">
        <x:v>Numbered total bridged from the sourced reference-count checklist for this exact row scope. Current 30th-P promotional catalogue identities in source scope.</x:v>
      </x:c>
      <x:c r="H476" s="31" t="str">
        <x:v>https://bulbapedia.bulbagarden.net/wiki/Template:Simplified_Chinese_Releases</x:v>
      </x:c>
      <x:c r="I476" s="31" t="n">
        <x:v>31</x:v>
      </x:c>
      <x:c r="J476" s="31" t="str"/>
    </x:row>
    <x:row r="477">
      <x:c r="A477" s="31" t="n">
        <x:v>496</x:v>
      </x:c>
      <x:c r="B477" s="31" t="str">
        <x:v>zh-CN</x:v>
      </x:c>
      <x:c r="C477" s="31" t="str">
        <x:v>Dynamax Clash V Starter Decks</x:v>
      </x:c>
      <x:c r="D477" s="31" t="str">
        <x:v>CS1D</x:v>
      </x:c>
      <x:c r="E477" s="31" t="str">
        <x:v>reference_bridge_secondary_checklist</x:v>
      </x:c>
      <x:c r="F477" s="31" t="n">
        <x:v>222</x:v>
      </x:c>
      <x:c r="G477" s="31" t="str">
        <x:v>Numbered total bridged from the sourced reference-count checklist for this exact row scope. Dynamax Clash V Starter Deck catalogue pool: numbered identities through the documented set extent; not physical deck-card quantity.</x:v>
      </x:c>
      <x:c r="H477" s="31" t="str">
        <x:v>https://bulbapedia.bulbagarden.net/wiki/Template:Simplified_Chinese_Releases</x:v>
      </x:c>
      <x:c r="I477" s="31" t="n">
        <x:v>222</x:v>
      </x:c>
      <x:c r="J477" s="31" t="str"/>
    </x:row>
    <x:row r="478">
      <x:c r="A478" s="31" t="n">
        <x:v>497</x:v>
      </x:c>
      <x:c r="B478" s="31" t="str">
        <x:v>zh-CN</x:v>
      </x:c>
      <x:c r="C478" s="31" t="str">
        <x:v>Gallant Galaxy V Starter Decks</x:v>
      </x:c>
      <x:c r="D478" s="31" t="str">
        <x:v>CS5D</x:v>
      </x:c>
      <x:c r="E478" s="31" t="str">
        <x:v>reference_bridge_secondary_checklist</x:v>
      </x:c>
      <x:c r="F478" s="31" t="n">
        <x:v>163</x:v>
      </x:c>
      <x:c r="G478" s="31" t="str">
        <x:v>Numbered total bridged from the sourced reference-count checklist for this exact row scope. Gallant Galaxy V Starter Deck catalogue pool; not physical deck-card quantity.</x:v>
      </x:c>
      <x:c r="H478" s="31" t="str">
        <x:v>https://bulbapedia.bulbagarden.net/wiki/Template:Simplified_Chinese_Releases</x:v>
      </x:c>
      <x:c r="I478" s="31" t="n">
        <x:v>163</x:v>
      </x:c>
      <x:c r="J478" s="31" t="str"/>
    </x:row>
    <x:row r="479">
      <x:c r="A479" s="31" t="n">
        <x:v>498</x:v>
      </x:c>
      <x:c r="B479" s="31" t="str">
        <x:v>zh-CN</x:v>
      </x:c>
      <x:c r="C479" s="31" t="str">
        <x:v>M-P Promotional cards</x:v>
      </x:c>
      <x:c r="D479" s="31" t="str">
        <x:v>M-P</x:v>
      </x:c>
      <x:c r="E479" s="31" t="str">
        <x:v>reference_bridge_secondary_checklist</x:v>
      </x:c>
      <x:c r="F479" s="31" t="n">
        <x:v>1</x:v>
      </x:c>
      <x:c r="G479" s="31" t="str">
        <x:v>Numbered total bridged from the sourced reference-count checklist for this exact row scope. Current released M-P Simplified Chinese promotional identity in the source snapshot; ongoing promo series.</x:v>
      </x:c>
      <x:c r="H479" s="31" t="str">
        <x:v>https://bulbapedia.bulbagarden.net/wiki/Template:Simplified_Chinese_Releases</x:v>
      </x:c>
      <x:c r="I479" s="31" t="n">
        <x:v>1</x:v>
      </x:c>
      <x:c r="J479" s="31" t="str"/>
    </x:row>
    <x:row r="480">
      <x:c r="A480" s="31" t="n">
        <x:v>499</x:v>
      </x:c>
      <x:c r="B480" s="31" t="str">
        <x:v>zh-CN</x:v>
      </x:c>
      <x:c r="C480" s="31" t="str">
        <x:v>Pokémon Card Game Battle Academy</x:v>
      </x:c>
      <x:c r="D480" s="31" t="str">
        <x:v>CSVS</x:v>
      </x:c>
      <x:c r="E480" s="31" t="str">
        <x:v>reference_bridge_secondary_checklist</x:v>
      </x:c>
      <x:c r="F480" s="31" t="n">
        <x:v>98</x:v>
      </x:c>
      <x:c r="G480" s="31" t="str">
        <x:v>Numbered total bridged from the sourced reference-count checklist for this exact row scope. Battle Academy product-specific catalogue identities; separate from the 240 physical cards across four constructed decks.</x:v>
      </x:c>
      <x:c r="H480" s="31" t="str">
        <x:v>https://bulbapedia.bulbagarden.net/wiki/Template:Simplified_Chinese_Releases ; https://www.pokemon.cn/tcg/</x:v>
      </x:c>
      <x:c r="I480" s="31" t="n">
        <x:v>98</x:v>
      </x:c>
      <x:c r="J480" s="31" t="str"/>
    </x:row>
    <x:row r="481">
      <x:c r="A481" s="31" t="n">
        <x:v>500</x:v>
      </x:c>
      <x:c r="B481" s="31" t="str">
        <x:v>zh-CN</x:v>
      </x:c>
      <x:c r="C481" s="31" t="str">
        <x:v>Primordial Arts V Starter Decks</x:v>
      </x:c>
      <x:c r="D481" s="31" t="str">
        <x:v>CS3D</x:v>
      </x:c>
      <x:c r="E481" s="31" t="str">
        <x:v>reference_bridge_secondary_checklist</x:v>
      </x:c>
      <x:c r="F481" s="31" t="n">
        <x:v>183</x:v>
      </x:c>
      <x:c r="G481" s="31" t="str">
        <x:v>Numbered total bridged from the sourced reference-count checklist for this exact row scope. Primordial Arts V Starter Deck catalogue pool; not physical deck-card quantity.</x:v>
      </x:c>
      <x:c r="H481" s="31" t="str">
        <x:v>https://bulbapedia.bulbagarden.net/wiki/Template:Simplified_Chinese_Releases</x:v>
      </x:c>
      <x:c r="I481" s="31" t="n">
        <x:v>183</x:v>
      </x:c>
      <x:c r="J481" s="31" t="str"/>
    </x:row>
    <x:row r="482">
      <x:c r="A482" s="31" t="n">
        <x:v>501</x:v>
      </x:c>
      <x:c r="B482" s="31" t="str">
        <x:v>zh-CN</x:v>
      </x:c>
      <x:c r="C482" s="31" t="str">
        <x:v>S-P Promotional cards</x:v>
      </x:c>
      <x:c r="D482" s="31" t="str">
        <x:v>S-P</x:v>
      </x:c>
      <x:c r="E482" s="31" t="str">
        <x:v>reference_bridge_secondary_checklist</x:v>
      </x:c>
      <x:c r="F482" s="31" t="n">
        <x:v>180</x:v>
      </x:c>
      <x:c r="G482" s="31" t="str">
        <x:v>Numbered total bridged from the sourced reference-count checklist for this exact row scope. Current S-P Simplified Chinese promotional numbering extent; ongoing promo catalogue.</x:v>
      </x:c>
      <x:c r="H482" s="31" t="str">
        <x:v>https://bulbapedia.bulbagarden.net/wiki/Template:Simplified_Chinese_Releases</x:v>
      </x:c>
      <x:c r="I482" s="31" t="n">
        <x:v>180</x:v>
      </x:c>
      <x:c r="J482" s="31" t="str"/>
    </x:row>
    <x:row r="483">
      <x:c r="A483" s="31" t="n">
        <x:v>502</x:v>
      </x:c>
      <x:c r="B483" s="31" t="str">
        <x:v>zh-CN</x:v>
      </x:c>
      <x:c r="C483" s="31" t="str">
        <x:v>SM-P Promotional cards</x:v>
      </x:c>
      <x:c r="D483" s="31" t="str">
        <x:v>SM-P</x:v>
      </x:c>
      <x:c r="E483" s="31" t="str">
        <x:v>reference_bridge_secondary_checklist</x:v>
      </x:c>
      <x:c r="F483" s="31" t="n">
        <x:v>74</x:v>
      </x:c>
      <x:c r="G483" s="31" t="str">
        <x:v>Numbered total bridged from the sourced reference-count checklist for this exact row scope. Current SM-P Simplified Chinese promotional catalogue identities in source scope.</x:v>
      </x:c>
      <x:c r="H483" s="31" t="str">
        <x:v>https://bulbapedia.bulbagarden.net/wiki/Template:Simplified_Chinese_Releases</x:v>
      </x:c>
      <x:c r="I483" s="31" t="n">
        <x:v>74</x:v>
      </x:c>
      <x:c r="J483" s="31" t="str"/>
    </x:row>
    <x:row r="484">
      <x:c r="A484" s="31" t="n">
        <x:v>503</x:v>
      </x:c>
      <x:c r="B484" s="31" t="str">
        <x:v>zh-CN</x:v>
      </x:c>
      <x:c r="C484" s="31" t="str">
        <x:v>SV-P Promotional cards</x:v>
      </x:c>
      <x:c r="D484" s="31" t="str">
        <x:v>SV-P</x:v>
      </x:c>
      <x:c r="E484" s="31" t="str">
        <x:v>reference_bridge_secondary_checklist</x:v>
      </x:c>
      <x:c r="F484" s="31" t="n">
        <x:v>434</x:v>
      </x:c>
      <x:c r="G484" s="31" t="str">
        <x:v>Numbered total bridged from the sourced reference-count checklist for this exact row scope. Current SV-P promotional numbering extent; ongoing catalogue, so this is an extent/snapshot rather than a closed-set total.</x:v>
      </x:c>
      <x:c r="H484" s="31" t="str">
        <x:v>https://bulbapedia.bulbagarden.net/wiki/Template:Simplified_Chinese_Releases</x:v>
      </x:c>
      <x:c r="I484" s="31" t="n">
        <x:v>434</x:v>
      </x:c>
      <x:c r="J484" s="31" t="str"/>
    </x:row>
    <x:row r="485">
      <x:c r="A485" s="31" t="n">
        <x:v>504</x:v>
      </x:c>
      <x:c r="B485" s="31" t="str">
        <x:v>zh-CN</x:v>
      </x:c>
      <x:c r="C485" s="31" t="str">
        <x:v>Shining Synergy GX Starter Decks</x:v>
      </x:c>
      <x:c r="D485" s="31" t="str">
        <x:v>CSM2D</x:v>
      </x:c>
      <x:c r="E485" s="31" t="str">
        <x:v>reference_bridge_secondary_checklist</x:v>
      </x:c>
      <x:c r="F485" s="31" t="n">
        <x:v>357</x:v>
      </x:c>
      <x:c r="G485" s="31" t="str">
        <x:v>Numbered total bridged from the sourced reference-count checklist for this exact row scope. Shining Synergy GX Starter Deck distinct numbered identities, including beyond-denominator entries.</x:v>
      </x:c>
      <x:c r="H485" s="31" t="str">
        <x:v>https://bulbapedia.bulbagarden.net/wiki/Template:Simplified_Chinese_Releases</x:v>
      </x:c>
      <x:c r="I485" s="31" t="n">
        <x:v>357</x:v>
      </x:c>
      <x:c r="J485" s="31" t="str"/>
    </x:row>
    <x:row r="486">
      <x:c r="A486" s="31" t="n">
        <x:v>505</x:v>
      </x:c>
      <x:c r="B486" s="31" t="str">
        <x:v>zh-CN</x:v>
      </x:c>
      <x:c r="C486" s="31" t="str">
        <x:v>Start Deck 100</x:v>
      </x:c>
      <x:c r="D486" s="31" t="str">
        <x:v>CS4Da</x:v>
      </x:c>
      <x:c r="E486" s="31" t="str">
        <x:v>reference_bridge_secondary_checklist</x:v>
      </x:c>
      <x:c r="F486" s="31" t="n">
        <x:v>433</x:v>
      </x:c>
      <x:c r="G486" s="31" t="str">
        <x:v>Numbered total bridged from the sourced reference-count checklist for this exact row scope. Start Deck 100 Simplified Chinese catalogue identities; distinct checklist pool, not the 60-card physical deck quantity.</x:v>
      </x:c>
      <x:c r="H486" s="31" t="str">
        <x:v>https://bulbapedia.bulbagarden.net/wiki/Template:Simplified_Chinese_Releases ; https://www.pokemon.cn/tcg/</x:v>
      </x:c>
      <x:c r="I486" s="31" t="n">
        <x:v>433</x:v>
      </x:c>
      <x:c r="J486" s="31" t="str"/>
    </x:row>
    <x:row r="487">
      <x:c r="A487" s="31" t="n">
        <x:v>506</x:v>
      </x:c>
      <x:c r="B487" s="31" t="str">
        <x:v>zh-CN</x:v>
      </x:c>
      <x:c r="C487" s="31" t="str">
        <x:v>Storming Emergence GX Starter Decks</x:v>
      </x:c>
      <x:c r="D487" s="31" t="str">
        <x:v>CSM1D</x:v>
      </x:c>
      <x:c r="E487" s="31" t="str">
        <x:v>reference_bridge_secondary_checklist</x:v>
      </x:c>
      <x:c r="F487" s="31" t="n">
        <x:v>336</x:v>
      </x:c>
      <x:c r="G487" s="31" t="str">
        <x:v>Numbered total bridged from the sourced reference-count checklist for this exact row scope. Storming Emergence GX Starter Deck distinct numbered catalogue identities.</x:v>
      </x:c>
      <x:c r="H487" s="31" t="str">
        <x:v>https://bulbapedia.bulbagarden.net/wiki/Template:Simplified_Chinese_Releases ; https://www.pokemon.cn/tcg/</x:v>
      </x:c>
      <x:c r="I487" s="31" t="n">
        <x:v>336</x:v>
      </x:c>
      <x:c r="J487" s="31" t="str"/>
    </x:row>
    <x:row r="488">
      <x:c r="A488" s="31" t="n">
        <x:v>507</x:v>
      </x:c>
      <x:c r="B488" s="31" t="str">
        <x:v>zh-TW</x:v>
      </x:c>
      <x:c r="C488" s="31" t="str">
        <x:v>Base Set</x:v>
      </x:c>
      <x:c r="D488" s="31" t="str">
        <x:v>TW-BASE</x:v>
      </x:c>
      <x:c r="E488" s="31" t="str">
        <x:v>reference_bridge_regional_set_checklist</x:v>
      </x:c>
      <x:c r="F488" s="31" t="n">
        <x:v>102</x:v>
      </x:c>
      <x:c r="G488" s="31" t="str">
        <x:v>Numbered total bridged from the sourced reference-count checklist for this exact row scope. Historical Traditional Chinese Base Set catalogue identities.</x:v>
      </x:c>
      <x:c r="H488" s="31" t="str">
        <x:v>https://asia.pokemon-card.com/tw/card-search/ ; https://bulbapedia.bulbagarden.net/wiki/Pok%C3%A9mon_in_Taiwan</x:v>
      </x:c>
      <x:c r="I488" s="31" t="n">
        <x:v>102</x:v>
      </x:c>
      <x:c r="J488" s="31" t="str"/>
    </x:row>
    <x:row r="489">
      <x:c r="A489" s="31" t="n">
        <x:v>508</x:v>
      </x:c>
      <x:c r="B489" s="31" t="str">
        <x:v>zh-TW</x:v>
      </x:c>
      <x:c r="C489" s="31" t="str">
        <x:v>Pikachu World Collection — Traditional Chinese card</x:v>
      </x:c>
      <x:c r="D489" s="31" t="str">
        <x:v>TW-PWC</x:v>
      </x:c>
      <x:c r="E489" s="31" t="str">
        <x:v>reference_bridge_product_numbered_checklist</x:v>
      </x:c>
      <x:c r="F489" s="31" t="n">
        <x:v>1</x:v>
      </x:c>
      <x:c r="G489" s="31" t="str">
        <x:v>Numbered total bridged from the sourced reference-count checklist for this exact row scope. Single Traditional Chinese Pikachu World Collection card identity in this row scope.</x:v>
      </x:c>
      <x:c r="H489" s="31" t="str">
        <x:v>https://asia.pokemon-card.com/tw/card-search/ ; https://bulbapedia.bulbagarden.net/wiki/Pok%C3%A9mon_in_Taiwan</x:v>
      </x:c>
      <x:c r="I489" s="31" t="n">
        <x:v>1</x:v>
      </x:c>
      <x:c r="J489" s="31" t="str"/>
    </x:row>
    <x:row r="490">
      <x:c r="A490" s="31" t="n">
        <x:v>509</x:v>
      </x:c>
      <x:c r="B490" s="31" t="str">
        <x:v>zh-TW</x:v>
      </x:c>
      <x:c r="C490" s="31" t="str">
        <x:v>EX Legend Maker</x:v>
      </x:c>
      <x:c r="D490" s="31" t="str">
        <x:v>TW-EXLM</x:v>
      </x:c>
      <x:c r="E490" s="31" t="str">
        <x:v>reference_bridge_regional_set_checklist</x:v>
      </x:c>
      <x:c r="F490" s="31" t="n">
        <x:v>93</x:v>
      </x:c>
      <x:c r="G490" s="31" t="str">
        <x:v>Numbered total bridged from the sourced reference-count checklist for this exact row scope. Traditional Chinese EX Legend Maker set identities, including the documented secret card.</x:v>
      </x:c>
      <x:c r="H490" s="31" t="str">
        <x:v>https://asia.pokemon-card.com/tw/card-search/ ; https://bulbapedia.bulbagarden.net/wiki/Pok%C3%A9mon_in_Taiwan</x:v>
      </x:c>
      <x:c r="I490" s="31" t="n">
        <x:v>93</x:v>
      </x:c>
      <x:c r="J490" s="31" t="str"/>
    </x:row>
    <x:row r="491">
      <x:c r="A491" s="31" t="n">
        <x:v>510</x:v>
      </x:c>
      <x:c r="B491" s="31" t="str">
        <x:v>zh-TW</x:v>
      </x:c>
      <x:c r="C491" s="31" t="str">
        <x:v>EX Trainer Kit 2</x:v>
      </x:c>
      <x:c r="D491" s="31" t="str">
        <x:v>TW-EXTK2</x:v>
      </x:c>
      <x:c r="E491" s="31" t="str">
        <x:v>reference_bridge_product_numbered_checklist</x:v>
      </x:c>
      <x:c r="F491" s="31" t="n">
        <x:v>24</x:v>
      </x:c>
      <x:c r="G491" s="31" t="str">
        <x:v>Numbered total bridged from the sourced reference-count checklist for this exact row scope. Two 12-card Trainer Kit 2 numbered half-deck checklists; not physical repeated cards.</x:v>
      </x:c>
      <x:c r="H491" s="31" t="str">
        <x:v>https://asia.pokemon-card.com/tw/card-search/ ; https://bulbapedia.bulbagarden.net/wiki/Pok%C3%A9mon_in_Taiwan</x:v>
      </x:c>
      <x:c r="I491" s="31" t="n">
        <x:v>24</x:v>
      </x:c>
      <x:c r="J491" s="31" t="str"/>
    </x:row>
    <x:row r="492">
      <x:c r="A492" s="31" t="n">
        <x:v>513</x:v>
      </x:c>
      <x:c r="B492" s="31" t="str">
        <x:v>zh-TW</x:v>
      </x:c>
      <x:c r="C492" s="31" t="str">
        <x:v>All Stars GX Starter Deck</x:v>
      </x:c>
      <x:c r="D492" s="31" t="str">
        <x:v>TW-GXSD-AS</x:v>
      </x:c>
      <x:c r="E492" s="31" t="str">
        <x:v>reference_bridge_product_numbered_checklist</x:v>
      </x:c>
      <x:c r="F492" s="31" t="n">
        <x:v>157</x:v>
      </x:c>
      <x:c r="G492" s="31" t="str">
        <x:v>Numbered total bridged from the sourced reference-count checklist for this exact row scope. All Stars GX Starter Deck product-specific distinct catalogue pool; not the physical 60-card deck size.</x:v>
      </x:c>
      <x:c r="H492" s="31" t="str">
        <x:v>https://asia.pokemon-card.com/tw/card-search/ ; https://bulbapedia.bulbagarden.net/wiki/Pok%C3%A9mon_in_Taiwan</x:v>
      </x:c>
      <x:c r="I492" s="31" t="n">
        <x:v>157</x:v>
      </x:c>
      <x:c r="J492" s="31" t="str"/>
    </x:row>
    <x:row r="493">
      <x:c r="A493" s="31" t="n">
        <x:v>514</x:v>
      </x:c>
      <x:c r="B493" s="31" t="str">
        <x:v>zh-TW</x:v>
      </x:c>
      <x:c r="C493" s="31" t="str">
        <x:v>Dreams Come True Collection: Set A</x:v>
      </x:c>
      <x:c r="D493" s="31" t="str">
        <x:v>AC2a</x:v>
      </x:c>
      <x:c r="E493" s="31" t="str">
        <x:v>reference_bridge_regional_set_checklist</x:v>
      </x:c>
      <x:c r="F493" s="31" t="n">
        <x:v>226</x:v>
      </x:c>
      <x:c r="G493" s="31" t="str">
        <x:v>Numbered total bridged from the sourced reference-count checklist for this exact row scope. Dreams Come True Collection Set A distinct numbered identities; regional catch-up checklist.</x:v>
      </x:c>
      <x:c r="H493" s="31" t="str">
        <x:v>https://asia.pokemon-card.com/tw/card-search/ ; https://bulbapedia.bulbagarden.net/wiki/Pok%C3%A9mon_in_Taiwan</x:v>
      </x:c>
      <x:c r="I493" s="31" t="n">
        <x:v>226</x:v>
      </x:c>
      <x:c r="J493" s="31" t="str"/>
    </x:row>
    <x:row r="494">
      <x:c r="A494" s="31" t="n">
        <x:v>515</x:v>
      </x:c>
      <x:c r="B494" s="31" t="str">
        <x:v>zh-TW</x:v>
      </x:c>
      <x:c r="C494" s="31" t="str">
        <x:v>Dreams Come True Collection: Set B</x:v>
      </x:c>
      <x:c r="D494" s="31" t="str">
        <x:v>AC2b</x:v>
      </x:c>
      <x:c r="E494" s="31" t="str">
        <x:v>reference_bridge_regional_set_checklist</x:v>
      </x:c>
      <x:c r="F494" s="31" t="n">
        <x:v>225</x:v>
      </x:c>
      <x:c r="G494" s="31" t="str">
        <x:v>Numbered total bridged from the sourced reference-count checklist for this exact row scope. Dreams Come True Collection Set B distinct numbered identities; regional catch-up checklist.</x:v>
      </x:c>
      <x:c r="H494" s="31" t="str">
        <x:v>https://asia.pokemon-card.com/tw/card-search/ ; https://bulbapedia.bulbagarden.net/wiki/Pok%C3%A9mon_in_Taiwan</x:v>
      </x:c>
      <x:c r="I494" s="31" t="n">
        <x:v>225</x:v>
      </x:c>
      <x:c r="J494" s="31" t="str"/>
    </x:row>
    <x:row r="495">
      <x:c r="A495" s="31" t="n">
        <x:v>516</x:v>
      </x:c>
      <x:c r="B495" s="31" t="str">
        <x:v>zh-TW</x:v>
      </x:c>
      <x:c r="C495" s="31" t="str">
        <x:v>Dreams Come True GX Starter Deck</x:v>
      </x:c>
      <x:c r="D495" s="31" t="str">
        <x:v>TW-GXSD-DCT</x:v>
      </x:c>
      <x:c r="E495" s="31" t="str">
        <x:v>reference_bridge_product_numbered_checklist</x:v>
      </x:c>
      <x:c r="F495" s="31" t="n">
        <x:v>176</x:v>
      </x:c>
      <x:c r="G495" s="31" t="str">
        <x:v>Numbered total bridged from the sourced reference-count checklist for this exact row scope. Dreams Come True GX Starter Deck product-specific catalogue pool; not physical deck quantity.</x:v>
      </x:c>
      <x:c r="H495" s="31" t="str">
        <x:v>https://asia.pokemon-card.com/tw/card-search/ ; https://bulbapedia.bulbagarden.net/wiki/Pok%C3%A9mon_in_Taiwan</x:v>
      </x:c>
      <x:c r="I495" s="31" t="n">
        <x:v>176</x:v>
      </x:c>
      <x:c r="J495" s="31" t="str"/>
    </x:row>
    <x:row r="496">
      <x:c r="A496" s="31" t="n">
        <x:v>517</x:v>
      </x:c>
      <x:c r="B496" s="31" t="str">
        <x:v>zh-TW</x:v>
      </x:c>
      <x:c r="C496" s="31" t="str">
        <x:v>Double Burst GX Starter Deck</x:v>
      </x:c>
      <x:c r="D496" s="31" t="str">
        <x:v>TW-GXSD-DB</x:v>
      </x:c>
      <x:c r="E496" s="31" t="str">
        <x:v>reference_bridge_product_numbered_checklist</x:v>
      </x:c>
      <x:c r="F496" s="31" t="n">
        <x:v>169</x:v>
      </x:c>
      <x:c r="G496" s="31" t="str">
        <x:v>Numbered total bridged from the sourced reference-count checklist for this exact row scope. Double Burst GX Starter Deck product-specific catalogue pool; not physical deck quantity.</x:v>
      </x:c>
      <x:c r="H496" s="31" t="str">
        <x:v>https://asia.pokemon-card.com/tw/card-search/ ; https://bulbapedia.bulbagarden.net/wiki/Pok%C3%A9mon_in_Taiwan</x:v>
      </x:c>
      <x:c r="I496" s="31" t="n">
        <x:v>169</x:v>
      </x:c>
      <x:c r="J496" s="31" t="str"/>
    </x:row>
    <x:row r="497">
      <x:c r="A497" s="31" t="n">
        <x:v>518</x:v>
      </x:c>
      <x:c r="B497" s="31" t="str">
        <x:v>zh-TW</x:v>
      </x:c>
      <x:c r="C497" s="31" t="str">
        <x:v>Double Burst: Set A</x:v>
      </x:c>
      <x:c r="D497" s="31" t="str">
        <x:v>AS5a</x:v>
      </x:c>
      <x:c r="E497" s="31" t="str">
        <x:v>reference_bridge_regional_set_checklist</x:v>
      </x:c>
      <x:c r="F497" s="31" t="n">
        <x:v>230</x:v>
      </x:c>
      <x:c r="G497" s="31" t="str">
        <x:v>Numbered total bridged from the sourced reference-count checklist for this exact row scope. Double Burst Set A distinct numbered identities.</x:v>
      </x:c>
      <x:c r="H497" s="31" t="str">
        <x:v>https://asia.pokemon-card.com/tw/card-search/ ; https://bulbapedia.bulbagarden.net/wiki/Pok%C3%A9mon_in_Taiwan</x:v>
      </x:c>
      <x:c r="I497" s="31" t="n">
        <x:v>230</x:v>
      </x:c>
      <x:c r="J497" s="31" t="str"/>
    </x:row>
    <x:row r="498">
      <x:c r="A498" s="31" t="n">
        <x:v>519</x:v>
      </x:c>
      <x:c r="B498" s="31" t="str">
        <x:v>zh-TW</x:v>
      </x:c>
      <x:c r="C498" s="31" t="str">
        <x:v>Double Burst: Set B</x:v>
      </x:c>
      <x:c r="D498" s="31" t="str">
        <x:v>AS5b</x:v>
      </x:c>
      <x:c r="E498" s="31" t="str">
        <x:v>reference_bridge_regional_set_checklist</x:v>
      </x:c>
      <x:c r="F498" s="31" t="n">
        <x:v>230</x:v>
      </x:c>
      <x:c r="G498" s="31" t="str">
        <x:v>Numbered total bridged from the sourced reference-count checklist for this exact row scope. Double Burst Set B distinct numbered identities.</x:v>
      </x:c>
      <x:c r="H498" s="31" t="str">
        <x:v>https://asia.pokemon-card.com/tw/card-search/ ; https://bulbapedia.bulbagarden.net/wiki/Pok%C3%A9mon_in_Taiwan</x:v>
      </x:c>
      <x:c r="I498" s="31" t="n">
        <x:v>230</x:v>
      </x:c>
      <x:c r="J498" s="31" t="str"/>
    </x:row>
    <x:row r="499">
      <x:c r="A499" s="31" t="n">
        <x:v>520</x:v>
      </x:c>
      <x:c r="B499" s="31" t="str">
        <x:v>zh-TW</x:v>
      </x:c>
      <x:c r="C499" s="31" t="str">
        <x:v>Legendary Clash GX Starter Deck</x:v>
      </x:c>
      <x:c r="D499" s="31" t="str">
        <x:v>TW-GXSD-LC</x:v>
      </x:c>
      <x:c r="E499" s="31" t="str">
        <x:v>reference_bridge_product_numbered_checklist</x:v>
      </x:c>
      <x:c r="F499" s="31" t="n">
        <x:v>168</x:v>
      </x:c>
      <x:c r="G499" s="31" t="str">
        <x:v>Numbered total bridged from the sourced reference-count checklist for this exact row scope. Legendary Clash GX Starter Deck product-specific catalogue pool.</x:v>
      </x:c>
      <x:c r="H499" s="31" t="str">
        <x:v>https://asia.pokemon-card.com/tw/card-search/ ; https://bulbapedia.bulbagarden.net/wiki/Pok%C3%A9mon_in_Taiwan</x:v>
      </x:c>
      <x:c r="I499" s="31" t="n">
        <x:v>168</x:v>
      </x:c>
      <x:c r="J499" s="31" t="str"/>
    </x:row>
    <x:row r="500">
      <x:c r="A500" s="31" t="n">
        <x:v>521</x:v>
      </x:c>
      <x:c r="B500" s="31" t="str">
        <x:v>zh-TW</x:v>
      </x:c>
      <x:c r="C500" s="31" t="str">
        <x:v>Legendary Clash: Set A</x:v>
      </x:c>
      <x:c r="D500" s="31" t="str">
        <x:v>AS6a</x:v>
      </x:c>
      <x:c r="E500" s="31" t="str">
        <x:v>reference_bridge_regional_set_checklist</x:v>
      </x:c>
      <x:c r="F500" s="31" t="n">
        <x:v>252</x:v>
      </x:c>
      <x:c r="G500" s="31" t="str">
        <x:v>Numbered total bridged from the sourced reference-count checklist for this exact row scope. Legendary Clash Set A distinct numbered identities.</x:v>
      </x:c>
      <x:c r="H500" s="31" t="str">
        <x:v>https://asia.pokemon-card.com/tw/card-search/ ; https://bulbapedia.bulbagarden.net/wiki/Pok%C3%A9mon_in_Taiwan</x:v>
      </x:c>
      <x:c r="I500" s="31" t="n">
        <x:v>252</x:v>
      </x:c>
      <x:c r="J500" s="31" t="str"/>
    </x:row>
    <x:row r="501">
      <x:c r="A501" s="31" t="n">
        <x:v>522</x:v>
      </x:c>
      <x:c r="B501" s="31" t="str">
        <x:v>zh-TW</x:v>
      </x:c>
      <x:c r="C501" s="31" t="str">
        <x:v>Legendary Clash: Set B</x:v>
      </x:c>
      <x:c r="D501" s="31" t="str">
        <x:v>AS6b</x:v>
      </x:c>
      <x:c r="E501" s="31" t="str">
        <x:v>reference_bridge_regional_set_checklist</x:v>
      </x:c>
      <x:c r="F501" s="31" t="n">
        <x:v>252</x:v>
      </x:c>
      <x:c r="G501" s="31" t="str">
        <x:v>Numbered total bridged from the sourced reference-count checklist for this exact row scope. Legendary Clash Set B distinct numbered identities.</x:v>
      </x:c>
      <x:c r="H501" s="31" t="str">
        <x:v>https://asia.pokemon-card.com/tw/card-search/ ; https://bulbapedia.bulbagarden.net/wiki/Pok%C3%A9mon_in_Taiwan</x:v>
      </x:c>
      <x:c r="I501" s="31" t="n">
        <x:v>252</x:v>
      </x:c>
      <x:c r="J501" s="31" t="str"/>
    </x:row>
    <x:row r="502">
      <x:c r="A502" s="31" t="n">
        <x:v>523</x:v>
      </x:c>
      <x:c r="B502" s="31" t="str">
        <x:v>zh-TW</x:v>
      </x:c>
      <x:c r="C502" s="31" t="str">
        <x:v>Sword &amp; Shield V Starter Deck</x:v>
      </x:c>
      <x:c r="D502" s="31" t="str">
        <x:v>TW-VSD-SS</x:v>
      </x:c>
      <x:c r="E502" s="31" t="str">
        <x:v>reference_bridge_product_numbered_checklist</x:v>
      </x:c>
      <x:c r="F502" s="31" t="n">
        <x:v>164</x:v>
      </x:c>
      <x:c r="G502" s="31" t="str">
        <x:v>Numbered total bridged from the sourced reference-count checklist for this exact row scope. Sword &amp; Shield V Starter Deck product-specific catalogue pool.</x:v>
      </x:c>
      <x:c r="H502" s="31" t="str">
        <x:v>https://asia.pokemon-card.com/tw/card-search/ ; https://bulbapedia.bulbagarden.net/wiki/Pok%C3%A9mon_in_Taiwan</x:v>
      </x:c>
      <x:c r="I502" s="31" t="n">
        <x:v>164</x:v>
      </x:c>
      <x:c r="J502" s="31" t="str"/>
    </x:row>
    <x:row r="503">
      <x:c r="A503" s="31" t="n">
        <x:v>524</x:v>
      </x:c>
      <x:c r="B503" s="31" t="str">
        <x:v>zh-TW</x:v>
      </x:c>
      <x:c r="C503" s="31" t="str">
        <x:v>Sword &amp; Shield: Set A</x:v>
      </x:c>
      <x:c r="D503" s="31" t="str">
        <x:v>SC1a</x:v>
      </x:c>
      <x:c r="E503" s="31" t="str">
        <x:v>reference_bridge_regional_set_checklist</x:v>
      </x:c>
      <x:c r="F503" s="31" t="n">
        <x:v>187</x:v>
      </x:c>
      <x:c r="G503" s="31" t="str">
        <x:v>Numbered total bridged from the sourced reference-count checklist for this exact row scope. Sword &amp; Shield Set A distinct numbered identities.</x:v>
      </x:c>
      <x:c r="H503" s="31" t="str">
        <x:v>https://asia.pokemon-card.com/tw/card-search/ ; https://bulbapedia.bulbagarden.net/wiki/Pok%C3%A9mon_in_Taiwan</x:v>
      </x:c>
      <x:c r="I503" s="31" t="n">
        <x:v>187</x:v>
      </x:c>
      <x:c r="J503" s="31" t="str"/>
    </x:row>
    <x:row r="504">
      <x:c r="A504" s="31" t="n">
        <x:v>525</x:v>
      </x:c>
      <x:c r="B504" s="31" t="str">
        <x:v>zh-TW</x:v>
      </x:c>
      <x:c r="C504" s="31" t="str">
        <x:v>Sword &amp; Shield: Set B</x:v>
      </x:c>
      <x:c r="D504" s="31" t="str">
        <x:v>SC1b</x:v>
      </x:c>
      <x:c r="E504" s="31" t="str">
        <x:v>reference_bridge_regional_set_checklist</x:v>
      </x:c>
      <x:c r="F504" s="31" t="n">
        <x:v>187</x:v>
      </x:c>
      <x:c r="G504" s="31" t="str">
        <x:v>Numbered total bridged from the sourced reference-count checklist for this exact row scope. Sword &amp; Shield Set B distinct numbered identities.</x:v>
      </x:c>
      <x:c r="H504" s="31" t="str">
        <x:v>https://asia.pokemon-card.com/tw/card-search/ ; https://bulbapedia.bulbagarden.net/wiki/Pok%C3%A9mon_in_Taiwan</x:v>
      </x:c>
      <x:c r="I504" s="31" t="n">
        <x:v>187</x:v>
      </x:c>
      <x:c r="J504" s="31" t="str"/>
    </x:row>
    <x:row r="505">
      <x:c r="A505" s="31" t="n">
        <x:v>526</x:v>
      </x:c>
      <x:c r="B505" s="31" t="str">
        <x:v>zh-TW</x:v>
      </x:c>
      <x:c r="C505" s="31" t="str">
        <x:v>Infinite Power V Starter Deck</x:v>
      </x:c>
      <x:c r="D505" s="31" t="str">
        <x:v>TW-VSD-IP</x:v>
      </x:c>
      <x:c r="E505" s="31" t="str">
        <x:v>reference_bridge_product_numbered_checklist</x:v>
      </x:c>
      <x:c r="F505" s="31" t="n">
        <x:v>157</x:v>
      </x:c>
      <x:c r="G505" s="31" t="str">
        <x:v>Numbered total bridged from the sourced reference-count checklist for this exact row scope. Infinite Power V Starter Deck product-specific catalogue pool.</x:v>
      </x:c>
      <x:c r="H505" s="31" t="str">
        <x:v>https://asia.pokemon-card.com/tw/card-search/ ; https://bulbapedia.bulbagarden.net/wiki/Pok%C3%A9mon_in_Taiwan</x:v>
      </x:c>
      <x:c r="I505" s="31" t="n">
        <x:v>157</x:v>
      </x:c>
      <x:c r="J505" s="31" t="str"/>
    </x:row>
    <x:row r="506">
      <x:c r="A506" s="31" t="n">
        <x:v>527</x:v>
      </x:c>
      <x:c r="B506" s="31" t="str">
        <x:v>zh-TW</x:v>
      </x:c>
      <x:c r="C506" s="31" t="str">
        <x:v>Infinite Power: Set A</x:v>
      </x:c>
      <x:c r="D506" s="31" t="str">
        <x:v>SC2a</x:v>
      </x:c>
      <x:c r="E506" s="31" t="str">
        <x:v>reference_bridge_regional_set_checklist</x:v>
      </x:c>
      <x:c r="F506" s="31" t="n">
        <x:v>170</x:v>
      </x:c>
      <x:c r="G506" s="31" t="str">
        <x:v>Numbered total bridged from the sourced reference-count checklist for this exact row scope. Infinite Power Set A distinct numbered identities.</x:v>
      </x:c>
      <x:c r="H506" s="31" t="str">
        <x:v>https://asia.pokemon-card.com/tw/card-search/ ; https://bulbapedia.bulbagarden.net/wiki/Pok%C3%A9mon_in_Taiwan</x:v>
      </x:c>
      <x:c r="I506" s="31" t="n">
        <x:v>170</x:v>
      </x:c>
      <x:c r="J506" s="31" t="str"/>
    </x:row>
    <x:row r="507">
      <x:c r="A507" s="31" t="n">
        <x:v>528</x:v>
      </x:c>
      <x:c r="B507" s="31" t="str">
        <x:v>zh-TW</x:v>
      </x:c>
      <x:c r="C507" s="31" t="str">
        <x:v>Infinite Power: Set B</x:v>
      </x:c>
      <x:c r="D507" s="31" t="str">
        <x:v>SC2b</x:v>
      </x:c>
      <x:c r="E507" s="31" t="str">
        <x:v>reference_bridge_regional_set_checklist</x:v>
      </x:c>
      <x:c r="F507" s="31" t="n">
        <x:v>172</x:v>
      </x:c>
      <x:c r="G507" s="31" t="str">
        <x:v>Numbered total bridged from the sourced reference-count checklist for this exact row scope. Infinite Power Set B distinct numbered identities.</x:v>
      </x:c>
      <x:c r="H507" s="31" t="str">
        <x:v>https://asia.pokemon-card.com/tw/card-search/ ; https://bulbapedia.bulbagarden.net/wiki/Pok%C3%A9mon_in_Taiwan</x:v>
      </x:c>
      <x:c r="I507" s="31" t="n">
        <x:v>172</x:v>
      </x:c>
      <x:c r="J507" s="31" t="str"/>
    </x:row>
    <x:row r="508">
      <x:c r="A508" s="31" t="n">
        <x:v>529</x:v>
      </x:c>
      <x:c r="B508" s="31" t="str">
        <x:v>zh-TW</x:v>
      </x:c>
      <x:c r="C508" s="31" t="str">
        <x:v>Amazing Volt Tackle</x:v>
      </x:c>
      <x:c r="D508" s="31" t="str">
        <x:v>S4</x:v>
      </x:c>
      <x:c r="E508" s="31" t="str">
        <x:v>reference_bridge_synchronized_same_numbering</x:v>
      </x:c>
      <x:c r="F508" s="31" t="n">
        <x:v>121</x:v>
      </x:c>
      <x:c r="G508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08" s="31" t="str">
        <x:v>https://bulbapedia.bulbagarden.net/wiki/Pok%C3%A9mon_in_Taiwan ; https://asia.pokemon-card.com/tw/card-search/</x:v>
      </x:c>
      <x:c r="I508" s="31" t="n">
        <x:v>121</x:v>
      </x:c>
      <x:c r="J508" s="31" t="str"/>
    </x:row>
    <x:row r="509">
      <x:c r="A509" s="31" t="n">
        <x:v>530</x:v>
      </x:c>
      <x:c r="B509" s="31" t="str">
        <x:v>zh-TW</x:v>
      </x:c>
      <x:c r="C509" s="31" t="str">
        <x:v>Shiny Star V</x:v>
      </x:c>
      <x:c r="D509" s="31" t="str">
        <x:v>S4a</x:v>
      </x:c>
      <x:c r="E509" s="31" t="str">
        <x:v>reference_bridge_synchronized_same_numbering</x:v>
      </x:c>
      <x:c r="F509" s="31" t="n">
        <x:v>330</x:v>
      </x:c>
      <x:c r="G509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09" s="31" t="str">
        <x:v>https://bulbapedia.bulbagarden.net/wiki/Pok%C3%A9mon_in_Taiwan ; https://asia.pokemon-card.com/tw/card-search/</x:v>
      </x:c>
      <x:c r="I509" s="31" t="n">
        <x:v>330</x:v>
      </x:c>
      <x:c r="J509" s="31" t="str"/>
    </x:row>
    <x:row r="510">
      <x:c r="A510" s="31" t="n">
        <x:v>531</x:v>
      </x:c>
      <x:c r="B510" s="31" t="str">
        <x:v>zh-TW</x:v>
      </x:c>
      <x:c r="C510" s="31" t="str">
        <x:v>V Starter Deck: Partner</x:v>
      </x:c>
      <x:c r="D510" s="31" t="str">
        <x:v>TW-VSD-PARTNER</x:v>
      </x:c>
      <x:c r="E510" s="31" t="str">
        <x:v>reference_bridge_product_numbered_checklist</x:v>
      </x:c>
      <x:c r="F510" s="31" t="n">
        <x:v>135</x:v>
      </x:c>
      <x:c r="G510" s="31" t="str">
        <x:v>Numbered total bridged from the sourced reference-count checklist for this exact row scope. V Starter Deck: Partner product-specific catalogue pool.</x:v>
      </x:c>
      <x:c r="H510" s="31" t="str">
        <x:v>https://asia.pokemon-card.com/tw/card-search/ ; https://bulbapedia.bulbagarden.net/wiki/Pok%C3%A9mon_in_Taiwan</x:v>
      </x:c>
      <x:c r="I510" s="31" t="n">
        <x:v>135</x:v>
      </x:c>
      <x:c r="J510" s="31" t="str"/>
    </x:row>
    <x:row r="511">
      <x:c r="A511" s="31" t="n">
        <x:v>532</x:v>
      </x:c>
      <x:c r="B511" s="31" t="str">
        <x:v>zh-TW</x:v>
      </x:c>
      <x:c r="C511" s="31" t="str">
        <x:v>Rapid Strike Master</x:v>
      </x:c>
      <x:c r="D511" s="31" t="str">
        <x:v>S5R</x:v>
      </x:c>
      <x:c r="E511" s="31" t="str">
        <x:v>reference_bridge_synchronized_same_numbering</x:v>
      </x:c>
      <x:c r="F511" s="31" t="n">
        <x:v>91</x:v>
      </x:c>
      <x:c r="G511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11" s="31" t="str">
        <x:v>https://bulbapedia.bulbagarden.net/wiki/Pok%C3%A9mon_in_Taiwan ; https://asia.pokemon-card.com/tw/card-search/</x:v>
      </x:c>
      <x:c r="I511" s="31" t="n">
        <x:v>91</x:v>
      </x:c>
      <x:c r="J511" s="31" t="str"/>
    </x:row>
    <x:row r="512">
      <x:c r="A512" s="31" t="n">
        <x:v>533</x:v>
      </x:c>
      <x:c r="B512" s="31" t="str">
        <x:v>zh-TW</x:v>
      </x:c>
      <x:c r="C512" s="31" t="str">
        <x:v>Single Strike Master</x:v>
      </x:c>
      <x:c r="D512" s="31" t="str">
        <x:v>S5I</x:v>
      </x:c>
      <x:c r="E512" s="31" t="str">
        <x:v>reference_bridge_synchronized_same_numbering</x:v>
      </x:c>
      <x:c r="F512" s="31" t="n">
        <x:v>91</x:v>
      </x:c>
      <x:c r="G512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12" s="31" t="str">
        <x:v>https://bulbapedia.bulbagarden.net/wiki/Pok%C3%A9mon_in_Taiwan ; https://asia.pokemon-card.com/tw/card-search/</x:v>
      </x:c>
      <x:c r="I512" s="31" t="n">
        <x:v>91</x:v>
      </x:c>
      <x:c r="J512" s="31" t="str"/>
    </x:row>
    <x:row r="513">
      <x:c r="A513" s="31" t="n">
        <x:v>534</x:v>
      </x:c>
      <x:c r="B513" s="31" t="str">
        <x:v>zh-TW</x:v>
      </x:c>
      <x:c r="C513" s="31" t="str">
        <x:v>V Starter Deck: Challenge</x:v>
      </x:c>
      <x:c r="D513" s="31" t="str">
        <x:v>TW-VSD-CHALLENGE</x:v>
      </x:c>
      <x:c r="E513" s="31" t="str">
        <x:v>reference_bridge_product_numbered_checklist</x:v>
      </x:c>
      <x:c r="F513" s="31" t="n">
        <x:v>156</x:v>
      </x:c>
      <x:c r="G513" s="31" t="str">
        <x:v>Numbered total bridged from the sourced reference-count checklist for this exact row scope. V Starter Deck: Challenge product-specific catalogue pool.</x:v>
      </x:c>
      <x:c r="H513" s="31" t="str">
        <x:v>https://asia.pokemon-card.com/tw/card-search/ ; https://bulbapedia.bulbagarden.net/wiki/Pok%C3%A9mon_in_Taiwan</x:v>
      </x:c>
      <x:c r="I513" s="31" t="n">
        <x:v>156</x:v>
      </x:c>
      <x:c r="J513" s="31" t="str"/>
    </x:row>
    <x:row r="514">
      <x:c r="A514" s="31" t="n">
        <x:v>536</x:v>
      </x:c>
      <x:c r="B514" s="31" t="str">
        <x:v>zh-TW</x:v>
      </x:c>
      <x:c r="C514" s="31" t="str">
        <x:v>Jet-Black Spirit</x:v>
      </x:c>
      <x:c r="D514" s="31" t="str">
        <x:v>S6K</x:v>
      </x:c>
      <x:c r="E514" s="31" t="str">
        <x:v>reference_bridge_synchronized_same_numbering</x:v>
      </x:c>
      <x:c r="F514" s="31" t="n">
        <x:v>95</x:v>
      </x:c>
      <x:c r="G514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14" s="31" t="str">
        <x:v>https://bulbapedia.bulbagarden.net/wiki/Pok%C3%A9mon_in_Taiwan ; https://asia.pokemon-card.com/tw/card-search/</x:v>
      </x:c>
      <x:c r="I514" s="31" t="n">
        <x:v>95</x:v>
      </x:c>
      <x:c r="J514" s="31" t="str"/>
    </x:row>
    <x:row r="515">
      <x:c r="A515" s="31" t="n">
        <x:v>537</x:v>
      </x:c>
      <x:c r="B515" s="31" t="str">
        <x:v>zh-TW</x:v>
      </x:c>
      <x:c r="C515" s="31" t="str">
        <x:v>Silver Lance</x:v>
      </x:c>
      <x:c r="D515" s="31" t="str">
        <x:v>S6H</x:v>
      </x:c>
      <x:c r="E515" s="31" t="str">
        <x:v>reference_bridge_synchronized_same_numbering</x:v>
      </x:c>
      <x:c r="F515" s="31" t="n">
        <x:v>95</x:v>
      </x:c>
      <x:c r="G515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15" s="31" t="str">
        <x:v>https://bulbapedia.bulbagarden.net/wiki/Pok%C3%A9mon_in_Taiwan ; https://asia.pokemon-card.com/tw/card-search/</x:v>
      </x:c>
      <x:c r="I515" s="31" t="n">
        <x:v>95</x:v>
      </x:c>
      <x:c r="J515" s="31" t="str"/>
    </x:row>
    <x:row r="516">
      <x:c r="A516" s="31" t="n">
        <x:v>538</x:v>
      </x:c>
      <x:c r="B516" s="31" t="str">
        <x:v>zh-TW</x:v>
      </x:c>
      <x:c r="C516" s="31" t="str">
        <x:v>Eevee Heroes</x:v>
      </x:c>
      <x:c r="D516" s="31" t="str">
        <x:v>S6a</x:v>
      </x:c>
      <x:c r="E516" s="31" t="str">
        <x:v>reference_bridge_synchronized_same_numbering</x:v>
      </x:c>
      <x:c r="F516" s="31" t="n">
        <x:v>101</x:v>
      </x:c>
      <x:c r="G516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16" s="31" t="str">
        <x:v>https://bulbapedia.bulbagarden.net/wiki/Pok%C3%A9mon_in_Taiwan ; https://asia.pokemon-card.com/tw/card-search/</x:v>
      </x:c>
      <x:c r="I516" s="31" t="n">
        <x:v>101</x:v>
      </x:c>
      <x:c r="J516" s="31" t="str"/>
    </x:row>
    <x:row r="517">
      <x:c r="A517" s="31" t="n">
        <x:v>539</x:v>
      </x:c>
      <x:c r="B517" s="31" t="str">
        <x:v>zh-TW</x:v>
      </x:c>
      <x:c r="C517" s="31" t="str">
        <x:v>V Starter Deck: Evolution</x:v>
      </x:c>
      <x:c r="D517" s="31" t="str">
        <x:v>TW-VSD-EVOLUTION</x:v>
      </x:c>
      <x:c r="E517" s="31" t="str">
        <x:v>reference_bridge_product_numbered_checklist</x:v>
      </x:c>
      <x:c r="F517" s="31" t="n">
        <x:v>171</x:v>
      </x:c>
      <x:c r="G517" s="31" t="str">
        <x:v>Numbered total bridged from the sourced reference-count checklist for this exact row scope. V Starter Deck: Evolution distinct printed identities; one nominal numbering slot is not a separate printed identity in the reconciled checklist.</x:v>
      </x:c>
      <x:c r="H517" s="31" t="str">
        <x:v>https://asia.pokemon-card.com/tw/card-search/ ; https://bulbapedia.bulbagarden.net/wiki/Pok%C3%A9mon_in_Taiwan</x:v>
      </x:c>
      <x:c r="I517" s="31" t="n">
        <x:v>171</x:v>
      </x:c>
      <x:c r="J517" s="31" t="str"/>
    </x:row>
    <x:row r="518">
      <x:c r="A518" s="31" t="n">
        <x:v>540</x:v>
      </x:c>
      <x:c r="B518" s="31" t="str">
        <x:v>zh-TW</x:v>
      </x:c>
      <x:c r="C518" s="31" t="str">
        <x:v>Blue Sky Stream</x:v>
      </x:c>
      <x:c r="D518" s="31" t="str">
        <x:v>S7R</x:v>
      </x:c>
      <x:c r="E518" s="31" t="str">
        <x:v>reference_bridge_synchronized_same_numbering</x:v>
      </x:c>
      <x:c r="F518" s="31" t="n">
        <x:v>90</x:v>
      </x:c>
      <x:c r="G518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18" s="31" t="str">
        <x:v>https://bulbapedia.bulbagarden.net/wiki/Pok%C3%A9mon_in_Taiwan ; https://asia.pokemon-card.com/tw/card-search/</x:v>
      </x:c>
      <x:c r="I518" s="31" t="n">
        <x:v>90</x:v>
      </x:c>
      <x:c r="J518" s="31" t="str"/>
    </x:row>
    <x:row r="519">
      <x:c r="A519" s="31" t="n">
        <x:v>541</x:v>
      </x:c>
      <x:c r="B519" s="31" t="str">
        <x:v>zh-TW</x:v>
      </x:c>
      <x:c r="C519" s="31" t="str">
        <x:v>Skyscraping Perfection</x:v>
      </x:c>
      <x:c r="D519" s="31" t="str">
        <x:v>S7D</x:v>
      </x:c>
      <x:c r="E519" s="31" t="str">
        <x:v>reference_bridge_synchronized_same_numbering</x:v>
      </x:c>
      <x:c r="F519" s="31" t="n">
        <x:v>90</x:v>
      </x:c>
      <x:c r="G519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19" s="31" t="str">
        <x:v>https://bulbapedia.bulbagarden.net/wiki/Pok%C3%A9mon_in_Taiwan ; https://asia.pokemon-card.com/tw/card-search/</x:v>
      </x:c>
      <x:c r="I519" s="31" t="n">
        <x:v>90</x:v>
      </x:c>
      <x:c r="J519" s="31" t="str"/>
    </x:row>
    <x:row r="520">
      <x:c r="A520" s="31" t="n">
        <x:v>542</x:v>
      </x:c>
      <x:c r="B520" s="31" t="str">
        <x:v>zh-TW</x:v>
      </x:c>
      <x:c r="C520" s="31" t="str">
        <x:v>Family Pokémon Card Game</x:v>
      </x:c>
      <x:c r="D520" s="31" t="str">
        <x:v>TW-FAMILY</x:v>
      </x:c>
      <x:c r="E520" s="31" t="str">
        <x:v>reference_bridge_product_numbered_checklist</x:v>
      </x:c>
      <x:c r="F520" s="31" t="n">
        <x:v>78</x:v>
      </x:c>
      <x:c r="G520" s="31" t="str">
        <x:v>Numbered total bridged from the sourced reference-count checklist for this exact row scope. Family Pokémon Card Game product-specific distinct catalogue identities.</x:v>
      </x:c>
      <x:c r="H520" s="31" t="str">
        <x:v>https://asia.pokemon-card.com/tw/card-search/ ; https://bulbapedia.bulbagarden.net/wiki/Pok%C3%A9mon_in_Taiwan</x:v>
      </x:c>
      <x:c r="I520" s="31" t="n">
        <x:v>78</x:v>
      </x:c>
      <x:c r="J520" s="31" t="str"/>
    </x:row>
    <x:row r="521">
      <x:c r="A521" s="31" t="n">
        <x:v>543</x:v>
      </x:c>
      <x:c r="B521" s="31" t="str">
        <x:v>zh-TW</x:v>
      </x:c>
      <x:c r="C521" s="31" t="str">
        <x:v>Greninja V-UNION</x:v>
      </x:c>
      <x:c r="D521" s="31" t="str">
        <x:v>TW-VUN-GREN</x:v>
      </x:c>
      <x:c r="E521" s="31" t="str">
        <x:v>reference_bridge_product_numbered_checklist</x:v>
      </x:c>
      <x:c r="F521" s="31" t="n">
        <x:v>5</x:v>
      </x:c>
      <x:c r="G521" s="31" t="str">
        <x:v>Numbered total bridged from the sourced reference-count checklist for this exact row scope. Greninja V-UNION product identities: four V-UNION pieces plus the product-specific supporting identity in the checklist scope.</x:v>
      </x:c>
      <x:c r="H521" s="31" t="str">
        <x:v>https://asia.pokemon-card.com/tw/card-search/ ; https://bulbapedia.bulbagarden.net/wiki/Pok%C3%A9mon_in_Taiwan</x:v>
      </x:c>
      <x:c r="I521" s="31" t="n">
        <x:v>5</x:v>
      </x:c>
      <x:c r="J521" s="31" t="str"/>
    </x:row>
    <x:row r="522">
      <x:c r="A522" s="31" t="n">
        <x:v>544</x:v>
      </x:c>
      <x:c r="B522" s="31" t="str">
        <x:v>zh-TW</x:v>
      </x:c>
      <x:c r="C522" s="31" t="str">
        <x:v>Mewtwo V-UNION</x:v>
      </x:c>
      <x:c r="D522" s="31" t="str">
        <x:v>TW-VUN-MEWTWO</x:v>
      </x:c>
      <x:c r="E522" s="31" t="str">
        <x:v>reference_bridge_product_numbered_checklist</x:v>
      </x:c>
      <x:c r="F522" s="31" t="n">
        <x:v>5</x:v>
      </x:c>
      <x:c r="G522" s="31" t="str">
        <x:v>Numbered total bridged from the sourced reference-count checklist for this exact row scope. Mewtwo V-UNION product identities: four V-UNION pieces plus the product-specific supporting identity in the checklist scope.</x:v>
      </x:c>
      <x:c r="H522" s="31" t="str">
        <x:v>https://asia.pokemon-card.com/tw/card-search/ ; https://bulbapedia.bulbagarden.net/wiki/Pok%C3%A9mon_in_Taiwan</x:v>
      </x:c>
      <x:c r="I522" s="31" t="n">
        <x:v>5</x:v>
      </x:c>
      <x:c r="J522" s="31" t="str"/>
    </x:row>
    <x:row r="523">
      <x:c r="A523" s="31" t="n">
        <x:v>545</x:v>
      </x:c>
      <x:c r="B523" s="31" t="str">
        <x:v>zh-TW</x:v>
      </x:c>
      <x:c r="C523" s="31" t="str">
        <x:v>Zacian V-UNION</x:v>
      </x:c>
      <x:c r="D523" s="31" t="str">
        <x:v>TW-VUN-ZACIAN</x:v>
      </x:c>
      <x:c r="E523" s="31" t="str">
        <x:v>reference_bridge_product_numbered_checklist</x:v>
      </x:c>
      <x:c r="F523" s="31" t="n">
        <x:v>5</x:v>
      </x:c>
      <x:c r="G523" s="31" t="str">
        <x:v>Numbered total bridged from the sourced reference-count checklist for this exact row scope. Zacian V-UNION product identities: four V-UNION pieces plus the product-specific supporting identity in the checklist scope.</x:v>
      </x:c>
      <x:c r="H523" s="31" t="str">
        <x:v>https://asia.pokemon-card.com/tw/card-search/ ; https://bulbapedia.bulbagarden.net/wiki/Pok%C3%A9mon_in_Taiwan</x:v>
      </x:c>
      <x:c r="I523" s="31" t="n">
        <x:v>5</x:v>
      </x:c>
      <x:c r="J523" s="31" t="str"/>
    </x:row>
    <x:row r="524">
      <x:c r="A524" s="31" t="n">
        <x:v>546</x:v>
      </x:c>
      <x:c r="B524" s="31" t="str">
        <x:v>zh-TW</x:v>
      </x:c>
      <x:c r="C524" s="31" t="str">
        <x:v>Fusion Arts</x:v>
      </x:c>
      <x:c r="D524" s="31" t="str">
        <x:v>S8</x:v>
      </x:c>
      <x:c r="E524" s="31" t="str">
        <x:v>reference_bridge_synchronized_same_numbering</x:v>
      </x:c>
      <x:c r="F524" s="31" t="n">
        <x:v>129</x:v>
      </x:c>
      <x:c r="G524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24" s="31" t="str">
        <x:v>https://bulbapedia.bulbagarden.net/wiki/Pok%C3%A9mon_in_Taiwan ; https://asia.pokemon-card.com/tw/card-search/</x:v>
      </x:c>
      <x:c r="I524" s="31" t="n">
        <x:v>129</x:v>
      </x:c>
      <x:c r="J524" s="31" t="str"/>
    </x:row>
    <x:row r="525">
      <x:c r="A525" s="31" t="n">
        <x:v>547</x:v>
      </x:c>
      <x:c r="B525" s="31" t="str">
        <x:v>zh-TW</x:v>
      </x:c>
      <x:c r="C525" s="31" t="str">
        <x:v>V Starter Deck: Power</x:v>
      </x:c>
      <x:c r="D525" s="31" t="str">
        <x:v>TW-VSD-POWER</x:v>
      </x:c>
      <x:c r="E525" s="31" t="str">
        <x:v>reference_bridge_product_numbered_checklist</x:v>
      </x:c>
      <x:c r="F525" s="31" t="n">
        <x:v>159</x:v>
      </x:c>
      <x:c r="G525" s="31" t="str">
        <x:v>Numbered total bridged from the sourced reference-count checklist for this exact row scope. V Starter Deck: Power product-specific catalogue pool.</x:v>
      </x:c>
      <x:c r="H525" s="31" t="str">
        <x:v>https://asia.pokemon-card.com/tw/card-search/ ; https://bulbapedia.bulbagarden.net/wiki/Pok%C3%A9mon_in_Taiwan</x:v>
      </x:c>
      <x:c r="I525" s="31" t="n">
        <x:v>159</x:v>
      </x:c>
      <x:c r="J525" s="31" t="str"/>
    </x:row>
    <x:row r="526">
      <x:c r="A526" s="31" t="n">
        <x:v>548</x:v>
      </x:c>
      <x:c r="B526" s="31" t="str">
        <x:v>zh-TW</x:v>
      </x:c>
      <x:c r="C526" s="31" t="str">
        <x:v>25th Anniversary Collection</x:v>
      </x:c>
      <x:c r="D526" s="31" t="str">
        <x:v>S8a</x:v>
      </x:c>
      <x:c r="E526" s="31" t="str">
        <x:v>reference_bridge_synchronized_same_numbering</x:v>
      </x:c>
      <x:c r="F526" s="31" t="n">
        <x:v>30</x:v>
      </x:c>
      <x:c r="G526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26" s="31" t="str">
        <x:v>https://bulbapedia.bulbagarden.net/wiki/Pok%C3%A9mon_in_Taiwan ; https://asia.pokemon-card.com/tw/card-search/</x:v>
      </x:c>
      <x:c r="I526" s="31" t="n">
        <x:v>30</x:v>
      </x:c>
      <x:c r="J526" s="31" t="str"/>
    </x:row>
    <x:row r="527">
      <x:c r="A527" s="31" t="n">
        <x:v>549</x:v>
      </x:c>
      <x:c r="B527" s="31" t="str">
        <x:v>zh-TW</x:v>
      </x:c>
      <x:c r="C527" s="31" t="str">
        <x:v>VMAX Climax</x:v>
      </x:c>
      <x:c r="D527" s="31" t="str">
        <x:v>S8b</x:v>
      </x:c>
      <x:c r="E527" s="31" t="str">
        <x:v>reference_bridge_synchronized_same_numbering</x:v>
      </x:c>
      <x:c r="F527" s="31" t="n">
        <x:v>285</x:v>
      </x:c>
      <x:c r="G527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27" s="31" t="str">
        <x:v>https://bulbapedia.bulbagarden.net/wiki/Pok%C3%A9mon_in_Taiwan ; https://asia.pokemon-card.com/tw/card-search/</x:v>
      </x:c>
      <x:c r="I527" s="31" t="n">
        <x:v>285</x:v>
      </x:c>
      <x:c r="J527" s="31" t="str"/>
    </x:row>
    <x:row r="528">
      <x:c r="A528" s="31" t="n">
        <x:v>550</x:v>
      </x:c>
      <x:c r="B528" s="31" t="str">
        <x:v>zh-TW</x:v>
      </x:c>
      <x:c r="C528" s="31" t="str">
        <x:v>Premium Trainer Box VSTAR</x:v>
      </x:c>
      <x:c r="D528" s="31" t="str">
        <x:v>TW-PTB-VSTAR</x:v>
      </x:c>
      <x:c r="E528" s="31" t="str">
        <x:v>reference_bridge_product_numbered_checklist</x:v>
      </x:c>
      <x:c r="F528" s="31" t="n">
        <x:v>38</x:v>
      </x:c>
      <x:c r="G528" s="31" t="str">
        <x:v>Numbered total bridged from the sourced reference-count checklist for this exact row scope. Premium Trainer Box VSTAR product-specific catalogue identities, not physical accessory/card quantities.</x:v>
      </x:c>
      <x:c r="H528" s="31" t="str">
        <x:v>https://asia.pokemon-card.com/tw/card-search/ ; https://bulbapedia.bulbagarden.net/wiki/Pok%C3%A9mon_in_Taiwan</x:v>
      </x:c>
      <x:c r="I528" s="31" t="n">
        <x:v>38</x:v>
      </x:c>
      <x:c r="J528" s="31" t="str"/>
    </x:row>
    <x:row r="529">
      <x:c r="A529" s="31" t="n">
        <x:v>551</x:v>
      </x:c>
      <x:c r="B529" s="31" t="str">
        <x:v>zh-TW</x:v>
      </x:c>
      <x:c r="C529" s="31" t="str">
        <x:v>Special Deck Set: Zacian &amp; Zamazenta vs Eternatus</x:v>
      </x:c>
      <x:c r="D529" s="31" t="str">
        <x:v>TW-SDS-ZZE</x:v>
      </x:c>
      <x:c r="E529" s="31" t="str">
        <x:v>reference_bridge_product_numbered_checklist</x:v>
      </x:c>
      <x:c r="F529" s="31" t="n">
        <x:v>30</x:v>
      </x:c>
      <x:c r="G529" s="31" t="str">
        <x:v>Numbered total bridged from the sourced reference-count checklist for this exact row scope. Special Deck Set Zacian &amp; Zamazenta vs Eternatus distinct numbered identities.</x:v>
      </x:c>
      <x:c r="H529" s="31" t="str">
        <x:v>https://asia.pokemon-card.com/tw/card-search/ ; https://bulbapedia.bulbagarden.net/wiki/Pok%C3%A9mon_in_Taiwan</x:v>
      </x:c>
      <x:c r="I529" s="31" t="n">
        <x:v>30</x:v>
      </x:c>
      <x:c r="J529" s="31" t="str"/>
    </x:row>
    <x:row r="530">
      <x:c r="A530" s="31" t="n">
        <x:v>552</x:v>
      </x:c>
      <x:c r="B530" s="31" t="str">
        <x:v>zh-TW</x:v>
      </x:c>
      <x:c r="C530" s="31" t="str">
        <x:v>Star Birth</x:v>
      </x:c>
      <x:c r="D530" s="31" t="str">
        <x:v>S9</x:v>
      </x:c>
      <x:c r="E530" s="31" t="str">
        <x:v>reference_bridge_synchronized_same_numbering</x:v>
      </x:c>
      <x:c r="F530" s="31" t="n">
        <x:v>127</x:v>
      </x:c>
      <x:c r="G530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30" s="31" t="str">
        <x:v>https://bulbapedia.bulbagarden.net/wiki/Pok%C3%A9mon_in_Taiwan ; https://asia.pokemon-card.com/tw/card-search/</x:v>
      </x:c>
      <x:c r="I530" s="31" t="n">
        <x:v>127</x:v>
      </x:c>
      <x:c r="J530" s="31" t="str"/>
    </x:row>
    <x:row r="531">
      <x:c r="A531" s="31" t="n">
        <x:v>553</x:v>
      </x:c>
      <x:c r="B531" s="31" t="str">
        <x:v>zh-TW</x:v>
      </x:c>
      <x:c r="C531" s="31" t="str">
        <x:v>Start Deck 100</x:v>
      </x:c>
      <x:c r="D531" s="31" t="str">
        <x:v>SI</x:v>
      </x:c>
      <x:c r="E531" s="31" t="str">
        <x:v>reference_bridge_product_numbered_checklist</x:v>
      </x:c>
      <x:c r="F531" s="31" t="n">
        <x:v>422</x:v>
      </x:c>
      <x:c r="G531" s="31" t="str">
        <x:v>Numbered total bridged from the sourced reference-count checklist for this exact row scope. Start Deck 100 Traditional Chinese catalogue identities, aligned to the synchronized numbered checklist; not physical deck quantity.</x:v>
      </x:c>
      <x:c r="H531" s="31" t="str">
        <x:v>https://asia.pokemon-card.com/tw/card-search/ ; https://bulbapedia.bulbagarden.net/wiki/Pok%C3%A9mon_in_Taiwan</x:v>
      </x:c>
      <x:c r="I531" s="31" t="n">
        <x:v>422</x:v>
      </x:c>
      <x:c r="J531" s="31" t="str"/>
    </x:row>
    <x:row r="532">
      <x:c r="A532" s="31" t="n">
        <x:v>554</x:v>
      </x:c>
      <x:c r="B532" s="31" t="str">
        <x:v>zh-TW</x:v>
      </x:c>
      <x:c r="C532" s="31" t="str">
        <x:v>Battle Region</x:v>
      </x:c>
      <x:c r="D532" s="31" t="str">
        <x:v>S9a</x:v>
      </x:c>
      <x:c r="E532" s="31" t="str">
        <x:v>reference_bridge_synchronized_same_numbering</x:v>
      </x:c>
      <x:c r="F532" s="31" t="n">
        <x:v>93</x:v>
      </x:c>
      <x:c r="G532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32" s="31" t="str">
        <x:v>https://bulbapedia.bulbagarden.net/wiki/Pok%C3%A9mon_in_Taiwan ; https://asia.pokemon-card.com/tw/card-search/</x:v>
      </x:c>
      <x:c r="I532" s="31" t="n">
        <x:v>93</x:v>
      </x:c>
      <x:c r="J532" s="31" t="str"/>
    </x:row>
    <x:row r="533">
      <x:c r="A533" s="31" t="n">
        <x:v>555</x:v>
      </x:c>
      <x:c r="B533" s="31" t="str">
        <x:v>zh-TW</x:v>
      </x:c>
      <x:c r="C533" s="31" t="str">
        <x:v>Starter Set VSTAR: Darkrai</x:v>
      </x:c>
      <x:c r="D533" s="31" t="str">
        <x:v>TW-SSV-DARKRAI</x:v>
      </x:c>
      <x:c r="E533" s="31" t="str">
        <x:v>reference_bridge_product_numbered_checklist</x:v>
      </x:c>
      <x:c r="F533" s="31" t="n">
        <x:v>21</x:v>
      </x:c>
      <x:c r="G533" s="31" t="str">
        <x:v>Numbered total bridged from the sourced reference-count checklist for this exact row scope. Starter Set VSTAR: Darkrai distinct numbered product identities.</x:v>
      </x:c>
      <x:c r="H533" s="31" t="str">
        <x:v>https://asia.pokemon-card.com/tw/card-search/ ; https://bulbapedia.bulbagarden.net/wiki/Pok%C3%A9mon_in_Taiwan</x:v>
      </x:c>
      <x:c r="I533" s="31" t="n">
        <x:v>21</x:v>
      </x:c>
      <x:c r="J533" s="31" t="str"/>
    </x:row>
    <x:row r="534">
      <x:c r="A534" s="31" t="n">
        <x:v>556</x:v>
      </x:c>
      <x:c r="B534" s="31" t="str">
        <x:v>zh-TW</x:v>
      </x:c>
      <x:c r="C534" s="31" t="str">
        <x:v>Starter Set VSTAR: Lucario</x:v>
      </x:c>
      <x:c r="D534" s="31" t="str">
        <x:v>TW-SSV-LUCARIO</x:v>
      </x:c>
      <x:c r="E534" s="31" t="str">
        <x:v>reference_bridge_product_numbered_checklist</x:v>
      </x:c>
      <x:c r="F534" s="31" t="n">
        <x:v>22</x:v>
      </x:c>
      <x:c r="G534" s="31" t="str">
        <x:v>Numbered total bridged from the sourced reference-count checklist for this exact row scope. Starter Set VSTAR: Lucario distinct numbered product identities.</x:v>
      </x:c>
      <x:c r="H534" s="31" t="str">
        <x:v>https://asia.pokemon-card.com/tw/card-search/ ; https://bulbapedia.bulbagarden.net/wiki/Pok%C3%A9mon_in_Taiwan</x:v>
      </x:c>
      <x:c r="I534" s="31" t="n">
        <x:v>22</x:v>
      </x:c>
      <x:c r="J534" s="31" t="str"/>
    </x:row>
    <x:row r="535">
      <x:c r="A535" s="31" t="n">
        <x:v>557</x:v>
      </x:c>
      <x:c r="B535" s="31" t="str">
        <x:v>zh-TW</x:v>
      </x:c>
      <x:c r="C535" s="31" t="str">
        <x:v>Space Juggler</x:v>
      </x:c>
      <x:c r="D535" s="31" t="str">
        <x:v>S10P</x:v>
      </x:c>
      <x:c r="E535" s="31" t="str">
        <x:v>reference_bridge_synchronized_same_numbering</x:v>
      </x:c>
      <x:c r="F535" s="31" t="n">
        <x:v>88</x:v>
      </x:c>
      <x:c r="G535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35" s="31" t="str">
        <x:v>https://bulbapedia.bulbagarden.net/wiki/Pok%C3%A9mon_in_Taiwan ; https://asia.pokemon-card.com/tw/card-search/</x:v>
      </x:c>
      <x:c r="I535" s="31" t="n">
        <x:v>88</x:v>
      </x:c>
      <x:c r="J535" s="31" t="str"/>
    </x:row>
    <x:row r="536">
      <x:c r="A536" s="31" t="n">
        <x:v>558</x:v>
      </x:c>
      <x:c r="B536" s="31" t="str">
        <x:v>zh-TW</x:v>
      </x:c>
      <x:c r="C536" s="31" t="str">
        <x:v>Time Gazer</x:v>
      </x:c>
      <x:c r="D536" s="31" t="str">
        <x:v>S10D</x:v>
      </x:c>
      <x:c r="E536" s="31" t="str">
        <x:v>reference_bridge_synchronized_same_numbering</x:v>
      </x:c>
      <x:c r="F536" s="31" t="n">
        <x:v>88</x:v>
      </x:c>
      <x:c r="G536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36" s="31" t="str">
        <x:v>https://bulbapedia.bulbagarden.net/wiki/Pok%C3%A9mon_in_Taiwan ; https://asia.pokemon-card.com/tw/card-search/</x:v>
      </x:c>
      <x:c r="I536" s="31" t="n">
        <x:v>88</x:v>
      </x:c>
      <x:c r="J536" s="31" t="str"/>
    </x:row>
    <x:row r="537">
      <x:c r="A537" s="31" t="n">
        <x:v>559</x:v>
      </x:c>
      <x:c r="B537" s="31" t="str">
        <x:v>zh-TW</x:v>
      </x:c>
      <x:c r="C537" s="31" t="str">
        <x:v>Dark Phantasma</x:v>
      </x:c>
      <x:c r="D537" s="31" t="str">
        <x:v>S10a</x:v>
      </x:c>
      <x:c r="E537" s="31" t="str">
        <x:v>reference_bridge_synchronized_same_numbering</x:v>
      </x:c>
      <x:c r="F537" s="31" t="n">
        <x:v>99</x:v>
      </x:c>
      <x:c r="G537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37" s="31" t="str">
        <x:v>https://bulbapedia.bulbagarden.net/wiki/Pok%C3%A9mon_in_Taiwan ; https://asia.pokemon-card.com/tw/card-search/</x:v>
      </x:c>
      <x:c r="I537" s="31" t="n">
        <x:v>99</x:v>
      </x:c>
      <x:c r="J537" s="31" t="str"/>
    </x:row>
    <x:row r="538">
      <x:c r="A538" s="31" t="n">
        <x:v>560</x:v>
      </x:c>
      <x:c r="B538" s="31" t="str">
        <x:v>zh-TW</x:v>
      </x:c>
      <x:c r="C538" s="31" t="str">
        <x:v>Pokémon GO</x:v>
      </x:c>
      <x:c r="D538" s="31" t="str">
        <x:v>S10b</x:v>
      </x:c>
      <x:c r="E538" s="31" t="str">
        <x:v>reference_bridge_synchronized_same_numbering</x:v>
      </x:c>
      <x:c r="F538" s="31" t="n">
        <x:v>93</x:v>
      </x:c>
      <x:c r="G538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38" s="31" t="str">
        <x:v>https://bulbapedia.bulbagarden.net/wiki/Pok%C3%A9mon_in_Taiwan ; https://asia.pokemon-card.com/tw/card-search/</x:v>
      </x:c>
      <x:c r="I538" s="31" t="n">
        <x:v>93</x:v>
      </x:c>
      <x:c r="J538" s="31" t="str"/>
    </x:row>
    <x:row r="539">
      <x:c r="A539" s="31" t="n">
        <x:v>561</x:v>
      </x:c>
      <x:c r="B539" s="31" t="str">
        <x:v>zh-TW</x:v>
      </x:c>
      <x:c r="C539" s="31" t="str">
        <x:v>Lost Abyss</x:v>
      </x:c>
      <x:c r="D539" s="31" t="str">
        <x:v>S11</x:v>
      </x:c>
      <x:c r="E539" s="31" t="str">
        <x:v>reference_bridge_synchronized_same_numbering</x:v>
      </x:c>
      <x:c r="F539" s="31" t="n">
        <x:v>127</x:v>
      </x:c>
      <x:c r="G539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39" s="31" t="str">
        <x:v>https://bulbapedia.bulbagarden.net/wiki/Pok%C3%A9mon_in_Taiwan ; https://asia.pokemon-card.com/tw/card-search/</x:v>
      </x:c>
      <x:c r="I539" s="31" t="n">
        <x:v>127</x:v>
      </x:c>
      <x:c r="J539" s="31" t="str"/>
    </x:row>
    <x:row r="540">
      <x:c r="A540" s="31" t="n">
        <x:v>562</x:v>
      </x:c>
      <x:c r="B540" s="31" t="str">
        <x:v>zh-TW</x:v>
      </x:c>
      <x:c r="C540" s="31" t="str">
        <x:v>VSTAR &amp; VMAX High-Class Deck: Deoxys</x:v>
      </x:c>
      <x:c r="D540" s="31" t="str">
        <x:v>TW-HCD-DEOXYS</x:v>
      </x:c>
      <x:c r="E540" s="31" t="str">
        <x:v>reference_bridge_product_numbered_checklist</x:v>
      </x:c>
      <x:c r="F540" s="31" t="n">
        <x:v>20</x:v>
      </x:c>
      <x:c r="G540" s="31" t="str">
        <x:v>Numbered total bridged from the sourced reference-count checklist for this exact row scope. VSTAR &amp; VMAX High-Class Deck: Deoxys numbered product identities (001/020–020/020); excludes unnumbered/basic-energy duplication.</x:v>
      </x:c>
      <x:c r="H540" s="31" t="str">
        <x:v>https://asia.pokemon-card.com/tw/card-search/ ; https://bulbapedia.bulbagarden.net/wiki/Pok%C3%A9mon_in_Taiwan</x:v>
      </x:c>
      <x:c r="I540" s="31" t="n">
        <x:v>20</x:v>
      </x:c>
      <x:c r="J540" s="31" t="str"/>
    </x:row>
    <x:row r="541">
      <x:c r="A541" s="31" t="n">
        <x:v>563</x:v>
      </x:c>
      <x:c r="B541" s="31" t="str">
        <x:v>zh-TW</x:v>
      </x:c>
      <x:c r="C541" s="31" t="str">
        <x:v>VSTAR &amp; VMAX High-Class Deck: Zeraora</x:v>
      </x:c>
      <x:c r="D541" s="31" t="str">
        <x:v>SPZ</x:v>
      </x:c>
      <x:c r="E541" s="31" t="str">
        <x:v>reference_bridge_product_numbered_checklist</x:v>
      </x:c>
      <x:c r="F541" s="31" t="n">
        <x:v>20</x:v>
      </x:c>
      <x:c r="G541" s="31" t="str">
        <x:v>Numbered total bridged from the sourced reference-count checklist for this exact row scope. VSTAR &amp; VMAX High-Class Deck: Zeraora numbered product identities (001/020–020/020); excludes unnumbered/basic-energy duplication.</x:v>
      </x:c>
      <x:c r="H541" s="31" t="str">
        <x:v>https://asia.pokemon-card.com/tw/card-search/ ; https://bulbapedia.bulbagarden.net/wiki/Pok%C3%A9mon_in_Taiwan</x:v>
      </x:c>
      <x:c r="I541" s="31" t="n">
        <x:v>20</x:v>
      </x:c>
      <x:c r="J541" s="31" t="str"/>
    </x:row>
    <x:row r="542">
      <x:c r="A542" s="31" t="n">
        <x:v>564</x:v>
      </x:c>
      <x:c r="B542" s="31" t="str">
        <x:v>zh-TW</x:v>
      </x:c>
      <x:c r="C542" s="31" t="str">
        <x:v>VSTAR Special Set</x:v>
      </x:c>
      <x:c r="D542" s="31" t="str">
        <x:v>TW-VSTAR-SS</x:v>
      </x:c>
      <x:c r="E542" s="31" t="str">
        <x:v>reference_bridge_product_numbered_checklist</x:v>
      </x:c>
      <x:c r="F542" s="31" t="n">
        <x:v>6</x:v>
      </x:c>
      <x:c r="G542" s="31" t="str">
        <x:v>Numbered total bridged from the sourced reference-count checklist for this exact row scope. VSTAR Special Set product-specific numbered identities.</x:v>
      </x:c>
      <x:c r="H542" s="31" t="str">
        <x:v>https://asia.pokemon-card.com/tw/card-search/ ; https://bulbapedia.bulbagarden.net/wiki/Pok%C3%A9mon_in_Taiwan</x:v>
      </x:c>
      <x:c r="I542" s="31" t="n">
        <x:v>6</x:v>
      </x:c>
      <x:c r="J542" s="31" t="str"/>
    </x:row>
    <x:row r="543">
      <x:c r="A543" s="31" t="n">
        <x:v>565</x:v>
      </x:c>
      <x:c r="B543" s="31" t="str">
        <x:v>zh-TW</x:v>
      </x:c>
      <x:c r="C543" s="31" t="str">
        <x:v>Incandescent Arcana</x:v>
      </x:c>
      <x:c r="D543" s="31" t="str">
        <x:v>S11a</x:v>
      </x:c>
      <x:c r="E543" s="31" t="str">
        <x:v>reference_bridge_synchronized_same_numbering</x:v>
      </x:c>
      <x:c r="F543" s="31" t="n">
        <x:v>94</x:v>
      </x:c>
      <x:c r="G543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43" s="31" t="str">
        <x:v>https://bulbapedia.bulbagarden.net/wiki/Pok%C3%A9mon_in_Taiwan ; https://asia.pokemon-card.com/tw/card-search/</x:v>
      </x:c>
      <x:c r="I543" s="31" t="n">
        <x:v>94</x:v>
      </x:c>
      <x:c r="J543" s="31" t="str"/>
    </x:row>
    <x:row r="544">
      <x:c r="A544" s="31" t="n">
        <x:v>566</x:v>
      </x:c>
      <x:c r="B544" s="31" t="str">
        <x:v>zh-TW</x:v>
      </x:c>
      <x:c r="C544" s="31" t="str">
        <x:v>Start Deck 100 Special Edition</x:v>
      </x:c>
      <x:c r="D544" s="31" t="str">
        <x:v>TW-SI-SP</x:v>
      </x:c>
      <x:c r="E544" s="31" t="str">
        <x:v>reference_bridge_product_numbered_checklist</x:v>
      </x:c>
      <x:c r="F544" s="31" t="n">
        <x:v>25</x:v>
      </x:c>
      <x:c r="G544" s="31" t="str">
        <x:v>Numbered total bridged from the sourced reference-count checklist for this exact row scope. Start Deck 100 Special Edition product-specific distinct catalogue identities.</x:v>
      </x:c>
      <x:c r="H544" s="31" t="str">
        <x:v>https://asia.pokemon-card.com/tw/card-search/ ; https://bulbapedia.bulbagarden.net/wiki/Pok%C3%A9mon_in_Taiwan</x:v>
      </x:c>
      <x:c r="I544" s="31" t="n">
        <x:v>25</x:v>
      </x:c>
      <x:c r="J544" s="31" t="str"/>
    </x:row>
    <x:row r="545">
      <x:c r="A545" s="31" t="n">
        <x:v>567</x:v>
      </x:c>
      <x:c r="B545" s="31" t="str">
        <x:v>zh-TW</x:v>
      </x:c>
      <x:c r="C545" s="31" t="str">
        <x:v>Paradigm Trigger</x:v>
      </x:c>
      <x:c r="D545" s="31" t="str">
        <x:v>S12</x:v>
      </x:c>
      <x:c r="E545" s="31" t="str">
        <x:v>reference_bridge_synchronized_same_numbering</x:v>
      </x:c>
      <x:c r="F545" s="31" t="n">
        <x:v>125</x:v>
      </x:c>
      <x:c r="G545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45" s="31" t="str">
        <x:v>https://bulbapedia.bulbagarden.net/wiki/Pok%C3%A9mon_in_Taiwan ; https://asia.pokemon-card.com/tw/card-search/</x:v>
      </x:c>
      <x:c r="I545" s="31" t="n">
        <x:v>125</x:v>
      </x:c>
      <x:c r="J545" s="31" t="str"/>
    </x:row>
    <x:row r="546">
      <x:c r="A546" s="31" t="n">
        <x:v>568</x:v>
      </x:c>
      <x:c r="B546" s="31" t="str">
        <x:v>zh-TW</x:v>
      </x:c>
      <x:c r="C546" s="31" t="str">
        <x:v>V Start Deck: Charizard</x:v>
      </x:c>
      <x:c r="D546" s="31" t="str">
        <x:v>TW-VSD-CHARIZARD</x:v>
      </x:c>
      <x:c r="E546" s="31" t="str">
        <x:v>reference_bridge_product_numbered_checklist</x:v>
      </x:c>
      <x:c r="F546" s="31" t="n">
        <x:v>21</x:v>
      </x:c>
      <x:c r="G546" s="31" t="str">
        <x:v>Numbered total bridged from the sourced reference-count checklist for this exact row scope. V Start Deck: Charizard distinct numbered identities.</x:v>
      </x:c>
      <x:c r="H546" s="31" t="str">
        <x:v>https://asia.pokemon-card.com/tw/card-search/ ; https://bulbapedia.bulbagarden.net/wiki/Pok%C3%A9mon_in_Taiwan</x:v>
      </x:c>
      <x:c r="I546" s="31" t="n">
        <x:v>21</x:v>
      </x:c>
      <x:c r="J546" s="31" t="str"/>
    </x:row>
    <x:row r="547">
      <x:c r="A547" s="31" t="n">
        <x:v>569</x:v>
      </x:c>
      <x:c r="B547" s="31" t="str">
        <x:v>zh-TW</x:v>
      </x:c>
      <x:c r="C547" s="31" t="str">
        <x:v>V Start Deck: Mewtwo</x:v>
      </x:c>
      <x:c r="D547" s="31" t="str">
        <x:v>TW-VSD-MEWTWO</x:v>
      </x:c>
      <x:c r="E547" s="31" t="str">
        <x:v>reference_bridge_product_numbered_checklist</x:v>
      </x:c>
      <x:c r="F547" s="31" t="n">
        <x:v>22</x:v>
      </x:c>
      <x:c r="G547" s="31" t="str">
        <x:v>Numbered total bridged from the sourced reference-count checklist for this exact row scope. V Start Deck: Mewtwo distinct numbered identities.</x:v>
      </x:c>
      <x:c r="H547" s="31" t="str">
        <x:v>https://asia.pokemon-card.com/tw/card-search/ ; https://bulbapedia.bulbagarden.net/wiki/Pok%C3%A9mon_in_Taiwan</x:v>
      </x:c>
      <x:c r="I547" s="31" t="n">
        <x:v>22</x:v>
      </x:c>
      <x:c r="J547" s="31" t="str"/>
    </x:row>
    <x:row r="548">
      <x:c r="A548" s="31" t="n">
        <x:v>570</x:v>
      </x:c>
      <x:c r="B548" s="31" t="str">
        <x:v>zh-TW</x:v>
      </x:c>
      <x:c r="C548" s="31" t="str">
        <x:v>V Start Deck: Pikachu</x:v>
      </x:c>
      <x:c r="D548" s="31" t="str">
        <x:v>TW-VSD-PIKACHU</x:v>
      </x:c>
      <x:c r="E548" s="31" t="str">
        <x:v>reference_bridge_product_numbered_checklist</x:v>
      </x:c>
      <x:c r="F548" s="31" t="n">
        <x:v>22</x:v>
      </x:c>
      <x:c r="G548" s="31" t="str">
        <x:v>Numbered total bridged from the sourced reference-count checklist for this exact row scope. V Start Deck: Pikachu distinct numbered identities.</x:v>
      </x:c>
      <x:c r="H548" s="31" t="str">
        <x:v>https://asia.pokemon-card.com/tw/card-search/ ; https://bulbapedia.bulbagarden.net/wiki/Pok%C3%A9mon_in_Taiwan</x:v>
      </x:c>
      <x:c r="I548" s="31" t="n">
        <x:v>22</x:v>
      </x:c>
      <x:c r="J548" s="31" t="str"/>
    </x:row>
    <x:row r="549">
      <x:c r="A549" s="31" t="n">
        <x:v>571</x:v>
      </x:c>
      <x:c r="B549" s="31" t="str">
        <x:v>zh-TW</x:v>
      </x:c>
      <x:c r="C549" s="31" t="str">
        <x:v>VSTAR Universe</x:v>
      </x:c>
      <x:c r="D549" s="31" t="str">
        <x:v>S12a</x:v>
      </x:c>
      <x:c r="E549" s="31" t="str">
        <x:v>reference_bridge_synchronized_same_numbering</x:v>
      </x:c>
      <x:c r="F549" s="31" t="n">
        <x:v>262</x:v>
      </x:c>
      <x:c r="G549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49" s="31" t="str">
        <x:v>https://bulbapedia.bulbagarden.net/wiki/Pok%C3%A9mon_in_Taiwan ; https://asia.pokemon-card.com/tw/card-search/</x:v>
      </x:c>
      <x:c r="I549" s="31" t="n">
        <x:v>262</x:v>
      </x:c>
      <x:c r="J549" s="31" t="str"/>
    </x:row>
    <x:row r="550">
      <x:c r="A550" s="31" t="n">
        <x:v>572</x:v>
      </x:c>
      <x:c r="B550" s="31" t="str">
        <x:v>zh-TW</x:v>
      </x:c>
      <x:c r="C550" s="31" t="str">
        <x:v>Special Deck Set: Charizard VSTAR vs Rayquaza VMAX</x:v>
      </x:c>
      <x:c r="D550" s="31" t="str">
        <x:v>SO</x:v>
      </x:c>
      <x:c r="E550" s="31" t="str">
        <x:v>reference_bridge_product_numbered_checklist</x:v>
      </x:c>
      <x:c r="F550" s="31" t="n">
        <x:v>32</x:v>
      </x:c>
      <x:c r="G550" s="31" t="str">
        <x:v>Numbered total bridged from the sourced reference-count checklist for this exact row scope. Special Deck Set: Charizard VSTAR vs Rayquaza VMAX distinct numbered identities.</x:v>
      </x:c>
      <x:c r="H550" s="31" t="str">
        <x:v>https://asia.pokemon-card.com/tw/card-search/ ; https://bulbapedia.bulbagarden.net/wiki/Pok%C3%A9mon_in_Taiwan</x:v>
      </x:c>
      <x:c r="I550" s="31" t="n">
        <x:v>32</x:v>
      </x:c>
      <x:c r="J550" s="31" t="str"/>
    </x:row>
    <x:row r="551">
      <x:c r="A551" s="31" t="n">
        <x:v>573</x:v>
      </x:c>
      <x:c r="B551" s="31" t="str">
        <x:v>zh-TW</x:v>
      </x:c>
      <x:c r="C551" s="31" t="str">
        <x:v>Scarlet ex</x:v>
      </x:c>
      <x:c r="D551" s="31" t="str">
        <x:v>SV1S</x:v>
      </x:c>
      <x:c r="E551" s="31" t="str">
        <x:v>reference_bridge_synchronized_same_numbering</x:v>
      </x:c>
      <x:c r="F551" s="31" t="n">
        <x:v>108</x:v>
      </x:c>
      <x:c r="G551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51" s="31" t="str">
        <x:v>https://bulbapedia.bulbagarden.net/wiki/Pok%C3%A9mon_in_Taiwan ; https://asia.pokemon-card.com/tw/card-search/</x:v>
      </x:c>
      <x:c r="I551" s="31" t="n">
        <x:v>108</x:v>
      </x:c>
      <x:c r="J551" s="31" t="str"/>
    </x:row>
    <x:row r="552">
      <x:c r="A552" s="31" t="n">
        <x:v>574</x:v>
      </x:c>
      <x:c r="B552" s="31" t="str">
        <x:v>zh-TW</x:v>
      </x:c>
      <x:c r="C552" s="31" t="str">
        <x:v>Starter Set ex: Fuecoco &amp; Ampharos ex</x:v>
      </x:c>
      <x:c r="D552" s="31" t="str">
        <x:v>TW-SSEX-FUECOCO</x:v>
      </x:c>
      <x:c r="E552" s="31" t="str">
        <x:v>reference_bridge_product_numbered_checklist</x:v>
      </x:c>
      <x:c r="F552" s="31" t="n">
        <x:v>24</x:v>
      </x:c>
      <x:c r="G552" s="31" t="str">
        <x:v>Numbered total bridged from the sourced reference-count checklist for this exact row scope. Starter Set ex: Fuecoco &amp; Ampharos ex distinct numbered identities.</x:v>
      </x:c>
      <x:c r="H552" s="31" t="str">
        <x:v>https://asia.pokemon-card.com/tw/card-search/ ; https://bulbapedia.bulbagarden.net/wiki/Pok%C3%A9mon_in_Taiwan</x:v>
      </x:c>
      <x:c r="I552" s="31" t="n">
        <x:v>24</x:v>
      </x:c>
      <x:c r="J552" s="31" t="str"/>
    </x:row>
    <x:row r="553">
      <x:c r="A553" s="31" t="n">
        <x:v>575</x:v>
      </x:c>
      <x:c r="B553" s="31" t="str">
        <x:v>zh-TW</x:v>
      </x:c>
      <x:c r="C553" s="31" t="str">
        <x:v>Starter Set ex: Quaxly &amp; Mimikyu ex</x:v>
      </x:c>
      <x:c r="D553" s="31" t="str">
        <x:v>TW-SSEX-QUAXLY</x:v>
      </x:c>
      <x:c r="E553" s="31" t="str">
        <x:v>reference_bridge_product_numbered_checklist</x:v>
      </x:c>
      <x:c r="F553" s="31" t="n">
        <x:v>26</x:v>
      </x:c>
      <x:c r="G553" s="31" t="str">
        <x:v>Numbered total bridged from the sourced reference-count checklist for this exact row scope. Starter Set ex: Quaxly &amp; Mimikyu ex distinct numbered identities.</x:v>
      </x:c>
      <x:c r="H553" s="31" t="str">
        <x:v>https://asia.pokemon-card.com/tw/card-search/ ; https://bulbapedia.bulbagarden.net/wiki/Pok%C3%A9mon_in_Taiwan</x:v>
      </x:c>
      <x:c r="I553" s="31" t="n">
        <x:v>26</x:v>
      </x:c>
      <x:c r="J553" s="31" t="str"/>
    </x:row>
    <x:row r="554">
      <x:c r="A554" s="31" t="n">
        <x:v>576</x:v>
      </x:c>
      <x:c r="B554" s="31" t="str">
        <x:v>zh-TW</x:v>
      </x:c>
      <x:c r="C554" s="31" t="str">
        <x:v>Starter Set ex: Sprigatito &amp; Lucario ex</x:v>
      </x:c>
      <x:c r="D554" s="31" t="str">
        <x:v>SVAM</x:v>
      </x:c>
      <x:c r="E554" s="31" t="str">
        <x:v>reference_bridge_product_numbered_checklist</x:v>
      </x:c>
      <x:c r="F554" s="31" t="n">
        <x:v>25</x:v>
      </x:c>
      <x:c r="G554" s="31" t="str">
        <x:v>Numbered total bridged from the sourced reference-count checklist for this exact row scope. Starter Set ex: Sprigatito &amp; Lucario ex distinct numbered identities.</x:v>
      </x:c>
      <x:c r="H554" s="31" t="str">
        <x:v>https://asia.pokemon-card.com/tw/card-search/ ; https://bulbapedia.bulbagarden.net/wiki/Pok%C3%A9mon_in_Taiwan</x:v>
      </x:c>
      <x:c r="I554" s="31" t="n">
        <x:v>25</x:v>
      </x:c>
      <x:c r="J554" s="31" t="str"/>
    </x:row>
    <x:row r="555">
      <x:c r="A555" s="31" t="n">
        <x:v>577</x:v>
      </x:c>
      <x:c r="B555" s="31" t="str">
        <x:v>zh-TW</x:v>
      </x:c>
      <x:c r="C555" s="31" t="str">
        <x:v>Violet ex</x:v>
      </x:c>
      <x:c r="D555" s="31" t="str">
        <x:v>SV1V</x:v>
      </x:c>
      <x:c r="E555" s="31" t="str">
        <x:v>reference_bridge_synchronized_same_numbering</x:v>
      </x:c>
      <x:c r="F555" s="31" t="n">
        <x:v>108</x:v>
      </x:c>
      <x:c r="G555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55" s="31" t="str">
        <x:v>https://bulbapedia.bulbagarden.net/wiki/Pok%C3%A9mon_in_Taiwan ; https://asia.pokemon-card.com/tw/card-search/</x:v>
      </x:c>
      <x:c r="I555" s="31" t="n">
        <x:v>108</x:v>
      </x:c>
      <x:c r="J555" s="31" t="str"/>
    </x:row>
    <x:row r="556">
      <x:c r="A556" s="31" t="n">
        <x:v>578</x:v>
      </x:c>
      <x:c r="B556" s="31" t="str">
        <x:v>zh-TW</x:v>
      </x:c>
      <x:c r="C556" s="31" t="str">
        <x:v>Premium Trainer Box ex</x:v>
      </x:c>
      <x:c r="D556" s="31" t="str">
        <x:v>SVB</x:v>
      </x:c>
      <x:c r="E556" s="31" t="str">
        <x:v>reference_bridge_product_numbered_checklist</x:v>
      </x:c>
      <x:c r="F556" s="31" t="n">
        <x:v>36</x:v>
      </x:c>
      <x:c r="G556" s="31" t="str">
        <x:v>Numbered total bridged from the sourced reference-count checklist for this exact row scope. Premium Trainer Box ex product-specific catalogue identities.</x:v>
      </x:c>
      <x:c r="H556" s="31" t="str">
        <x:v>https://asia.pokemon-card.com/tw/card-search/ ; https://bulbapedia.bulbagarden.net/wiki/Pok%C3%A9mon_in_Taiwan</x:v>
      </x:c>
      <x:c r="I556" s="31" t="n">
        <x:v>36</x:v>
      </x:c>
      <x:c r="J556" s="31" t="str"/>
    </x:row>
    <x:row r="557">
      <x:c r="A557" s="31" t="n">
        <x:v>579</x:v>
      </x:c>
      <x:c r="B557" s="31" t="str">
        <x:v>zh-TW</x:v>
      </x:c>
      <x:c r="C557" s="31" t="str">
        <x:v>Triplet Beat</x:v>
      </x:c>
      <x:c r="D557" s="31" t="str">
        <x:v>SV1a</x:v>
      </x:c>
      <x:c r="E557" s="31" t="str">
        <x:v>reference_bridge_synchronized_same_numbering</x:v>
      </x:c>
      <x:c r="F557" s="31" t="n">
        <x:v>103</x:v>
      </x:c>
      <x:c r="G557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57" s="31" t="str">
        <x:v>https://bulbapedia.bulbagarden.net/wiki/Pok%C3%A9mon_in_Taiwan ; https://asia.pokemon-card.com/tw/card-search/</x:v>
      </x:c>
      <x:c r="I557" s="31" t="n">
        <x:v>103</x:v>
      </x:c>
      <x:c r="J557" s="31" t="str"/>
    </x:row>
    <x:row r="558">
      <x:c r="A558" s="31" t="n">
        <x:v>580</x:v>
      </x:c>
      <x:c r="B558" s="31" t="str">
        <x:v>zh-TW</x:v>
      </x:c>
      <x:c r="C558" s="31" t="str">
        <x:v>Clay Burst</x:v>
      </x:c>
      <x:c r="D558" s="31" t="str">
        <x:v>SV2D</x:v>
      </x:c>
      <x:c r="E558" s="31" t="str">
        <x:v>reference_bridge_synchronized_same_numbering</x:v>
      </x:c>
      <x:c r="F558" s="31" t="n">
        <x:v>99</x:v>
      </x:c>
      <x:c r="G558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58" s="31" t="str">
        <x:v>https://bulbapedia.bulbagarden.net/wiki/Pok%C3%A9mon_in_Taiwan ; https://asia.pokemon-card.com/tw/card-search/</x:v>
      </x:c>
      <x:c r="I558" s="31" t="n">
        <x:v>99</x:v>
      </x:c>
      <x:c r="J558" s="31" t="str"/>
    </x:row>
    <x:row r="559">
      <x:c r="A559" s="31" t="n">
        <x:v>581</x:v>
      </x:c>
      <x:c r="B559" s="31" t="str">
        <x:v>zh-TW</x:v>
      </x:c>
      <x:c r="C559" s="31" t="str">
        <x:v>Snow Hazard</x:v>
      </x:c>
      <x:c r="D559" s="31" t="str">
        <x:v>SV2P</x:v>
      </x:c>
      <x:c r="E559" s="31" t="str">
        <x:v>reference_bridge_synchronized_same_numbering</x:v>
      </x:c>
      <x:c r="F559" s="31" t="n">
        <x:v>99</x:v>
      </x:c>
      <x:c r="G559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59" s="31" t="str">
        <x:v>https://bulbapedia.bulbagarden.net/wiki/Pok%C3%A9mon_in_Taiwan ; https://asia.pokemon-card.com/tw/card-search/</x:v>
      </x:c>
      <x:c r="I559" s="31" t="n">
        <x:v>99</x:v>
      </x:c>
      <x:c r="J559" s="31" t="str"/>
    </x:row>
    <x:row r="560">
      <x:c r="A560" s="31" t="n">
        <x:v>582</x:v>
      </x:c>
      <x:c r="B560" s="31" t="str">
        <x:v>zh-TW</x:v>
      </x:c>
      <x:c r="C560" s="31" t="str">
        <x:v>Starter Set ex: Pikachu Special Set</x:v>
      </x:c>
      <x:c r="D560" s="31" t="str">
        <x:v>SVC</x:v>
      </x:c>
      <x:c r="E560" s="31" t="str">
        <x:v>reference_bridge_product_numbered_checklist</x:v>
      </x:c>
      <x:c r="F560" s="31" t="n">
        <x:v>22</x:v>
      </x:c>
      <x:c r="G560" s="31" t="str">
        <x:v>Numbered total bridged from the sourced reference-count checklist for this exact row scope. Starter Set ex: Pikachu Special Set distinct numbered identities.</x:v>
      </x:c>
      <x:c r="H560" s="31" t="str">
        <x:v>https://asia.pokemon-card.com/tw/card-search/ ; https://bulbapedia.bulbagarden.net/wiki/Pok%C3%A9mon_in_Taiwan</x:v>
      </x:c>
      <x:c r="I560" s="31" t="n">
        <x:v>22</x:v>
      </x:c>
      <x:c r="J560" s="31" t="str"/>
    </x:row>
    <x:row r="561">
      <x:c r="A561" s="31" t="n">
        <x:v>583</x:v>
      </x:c>
      <x:c r="B561" s="31" t="str">
        <x:v>zh-TW</x:v>
      </x:c>
      <x:c r="C561" s="31" t="str">
        <x:v>ex Special Set</x:v>
      </x:c>
      <x:c r="D561" s="31" t="str">
        <x:v>SVP1</x:v>
      </x:c>
      <x:c r="E561" s="31" t="str">
        <x:v>reference_bridge_product_numbered_checklist</x:v>
      </x:c>
      <x:c r="F561" s="31" t="n">
        <x:v>7</x:v>
      </x:c>
      <x:c r="G561" s="31" t="str">
        <x:v>Numbered total bridged from the sourced reference-count checklist for this exact row scope. ex Special Set product-specific distinct numbered identities.</x:v>
      </x:c>
      <x:c r="H561" s="31" t="str">
        <x:v>https://asia.pokemon-card.com/tw/card-search/ ; https://bulbapedia.bulbagarden.net/wiki/Pok%C3%A9mon_in_Taiwan</x:v>
      </x:c>
      <x:c r="I561" s="31" t="n">
        <x:v>7</x:v>
      </x:c>
      <x:c r="J561" s="31" t="str"/>
    </x:row>
    <x:row r="562">
      <x:c r="A562" s="31" t="n">
        <x:v>585</x:v>
      </x:c>
      <x:c r="B562" s="31" t="str">
        <x:v>zh-TW</x:v>
      </x:c>
      <x:c r="C562" s="31" t="str">
        <x:v>ex Start Decks</x:v>
      </x:c>
      <x:c r="D562" s="31" t="str">
        <x:v>SVD</x:v>
      </x:c>
      <x:c r="E562" s="31" t="str">
        <x:v>reference_bridge_product_numbered_checklist</x:v>
      </x:c>
      <x:c r="F562" s="31" t="n">
        <x:v>147</x:v>
      </x:c>
      <x:c r="G562" s="31" t="str">
        <x:v>Numbered total bridged from the sourced reference-count checklist for this exact row scope. ex Start Decks combined distinct catalogue pool in this product-family scope.</x:v>
      </x:c>
      <x:c r="H562" s="31" t="str">
        <x:v>https://asia.pokemon-card.com/tw/card-search/ ; https://bulbapedia.bulbagarden.net/wiki/Pok%C3%A9mon_in_Taiwan</x:v>
      </x:c>
      <x:c r="I562" s="31" t="n">
        <x:v>147</x:v>
      </x:c>
      <x:c r="J562" s="31" t="str"/>
    </x:row>
    <x:row r="563">
      <x:c r="A563" s="31" t="n">
        <x:v>586</x:v>
      </x:c>
      <x:c r="B563" s="31" t="str">
        <x:v>zh-TW</x:v>
      </x:c>
      <x:c r="C563" s="31" t="str">
        <x:v>Deck Build Box Ruler of the Black Flame</x:v>
      </x:c>
      <x:c r="D563" s="31" t="str">
        <x:v>SVF</x:v>
      </x:c>
      <x:c r="E563" s="31" t="str">
        <x:v>reference_bridge_product_numbered_checklist</x:v>
      </x:c>
      <x:c r="F563" s="31" t="n">
        <x:v>46</x:v>
      </x:c>
      <x:c r="G563" s="31" t="str">
        <x:v>Numbered total bridged from the sourced reference-count checklist for this exact row scope. Deck Build Box Ruler of the Black Flame product-specific catalogue identities.</x:v>
      </x:c>
      <x:c r="H563" s="31" t="str">
        <x:v>https://asia.pokemon-card.com/tw/card-search/ ; https://bulbapedia.bulbagarden.net/wiki/Pok%C3%A9mon_in_Taiwan</x:v>
      </x:c>
      <x:c r="I563" s="31" t="n">
        <x:v>46</x:v>
      </x:c>
      <x:c r="J563" s="31" t="str"/>
    </x:row>
    <x:row r="564">
      <x:c r="A564" s="31" t="n">
        <x:v>587</x:v>
      </x:c>
      <x:c r="B564" s="31" t="str">
        <x:v>zh-TW</x:v>
      </x:c>
      <x:c r="C564" s="31" t="str">
        <x:v>Ruler of the Black Flame</x:v>
      </x:c>
      <x:c r="D564" s="31" t="str">
        <x:v>SV3</x:v>
      </x:c>
      <x:c r="E564" s="31" t="str">
        <x:v>reference_bridge_synchronized_same_numbering</x:v>
      </x:c>
      <x:c r="F564" s="31" t="n">
        <x:v>141</x:v>
      </x:c>
      <x:c r="G564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64" s="31" t="str">
        <x:v>https://bulbapedia.bulbagarden.net/wiki/Pok%C3%A9mon_in_Taiwan ; https://asia.pokemon-card.com/tw/card-search/</x:v>
      </x:c>
      <x:c r="I564" s="31" t="n">
        <x:v>141</x:v>
      </x:c>
      <x:c r="J564" s="31" t="str"/>
    </x:row>
    <x:row r="565">
      <x:c r="A565" s="31" t="n">
        <x:v>588</x:v>
      </x:c>
      <x:c r="B565" s="31" t="str">
        <x:v>zh-TW</x:v>
      </x:c>
      <x:c r="C565" s="31" t="str">
        <x:v>Raging Surf</x:v>
      </x:c>
      <x:c r="D565" s="31" t="str">
        <x:v>SV3a</x:v>
      </x:c>
      <x:c r="E565" s="31" t="str">
        <x:v>reference_bridge_synchronized_same_numbering</x:v>
      </x:c>
      <x:c r="F565" s="31" t="n">
        <x:v>92</x:v>
      </x:c>
      <x:c r="G565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65" s="31" t="str">
        <x:v>https://bulbapedia.bulbagarden.net/wiki/Pok%C3%A9mon_in_Taiwan ; https://asia.pokemon-card.com/tw/card-search/</x:v>
      </x:c>
      <x:c r="I565" s="31" t="n">
        <x:v>92</x:v>
      </x:c>
      <x:c r="J565" s="31" t="str"/>
    </x:row>
    <x:row r="566">
      <x:c r="A566" s="31" t="n">
        <x:v>589</x:v>
      </x:c>
      <x:c r="B566" s="31" t="str">
        <x:v>zh-TW</x:v>
      </x:c>
      <x:c r="C566" s="31" t="str">
        <x:v>Starter Set: Tera Mewtwo ex</x:v>
      </x:c>
      <x:c r="D566" s="31" t="str">
        <x:v>SVEM</x:v>
      </x:c>
      <x:c r="E566" s="31" t="str">
        <x:v>reference_bridge_product_numbered_checklist</x:v>
      </x:c>
      <x:c r="F566" s="31" t="n">
        <x:v>21</x:v>
      </x:c>
      <x:c r="G566" s="31" t="str">
        <x:v>Numbered total bridged from the sourced reference-count checklist for this exact row scope. Starter Set: Tera Mewtwo ex distinct numbered identities.</x:v>
      </x:c>
      <x:c r="H566" s="31" t="str">
        <x:v>https://asia.pokemon-card.com/tw/card-search/ ; https://bulbapedia.bulbagarden.net/wiki/Pok%C3%A9mon_in_Taiwan</x:v>
      </x:c>
      <x:c r="I566" s="31" t="n">
        <x:v>21</x:v>
      </x:c>
      <x:c r="J566" s="31" t="str"/>
    </x:row>
    <x:row r="567">
      <x:c r="A567" s="31" t="n">
        <x:v>590</x:v>
      </x:c>
      <x:c r="B567" s="31" t="str">
        <x:v>zh-TW</x:v>
      </x:c>
      <x:c r="C567" s="31" t="str">
        <x:v>Starter Set: Tera Skeledirge ex</x:v>
      </x:c>
      <x:c r="D567" s="31" t="str">
        <x:v>SVEL</x:v>
      </x:c>
      <x:c r="E567" s="31" t="str">
        <x:v>reference_bridge_product_numbered_checklist</x:v>
      </x:c>
      <x:c r="F567" s="31" t="n">
        <x:v>21</x:v>
      </x:c>
      <x:c r="G567" s="31" t="str">
        <x:v>Numbered total bridged from the sourced reference-count checklist for this exact row scope. Starter Set: Tera Skeledirge ex distinct numbered identities.</x:v>
      </x:c>
      <x:c r="H567" s="31" t="str">
        <x:v>https://asia.pokemon-card.com/tw/card-search/ ; https://bulbapedia.bulbagarden.net/wiki/Pok%C3%A9mon_in_Taiwan</x:v>
      </x:c>
      <x:c r="I567" s="31" t="n">
        <x:v>21</x:v>
      </x:c>
      <x:c r="J567" s="31" t="str"/>
    </x:row>
    <x:row r="568">
      <x:c r="A568" s="31" t="n">
        <x:v>591</x:v>
      </x:c>
      <x:c r="B568" s="31" t="str">
        <x:v>zh-TW</x:v>
      </x:c>
      <x:c r="C568" s="31" t="str">
        <x:v>Ancient Roar</x:v>
      </x:c>
      <x:c r="D568" s="31" t="str">
        <x:v>SV4K</x:v>
      </x:c>
      <x:c r="E568" s="31" t="str">
        <x:v>reference_bridge_synchronized_same_numbering</x:v>
      </x:c>
      <x:c r="F568" s="31" t="n">
        <x:v>95</x:v>
      </x:c>
      <x:c r="G568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68" s="31" t="str">
        <x:v>https://bulbapedia.bulbagarden.net/wiki/Pok%C3%A9mon_in_Taiwan ; https://asia.pokemon-card.com/tw/card-search/</x:v>
      </x:c>
      <x:c r="I568" s="31" t="n">
        <x:v>95</x:v>
      </x:c>
      <x:c r="J568" s="31" t="str"/>
    </x:row>
    <x:row r="569">
      <x:c r="A569" s="31" t="n">
        <x:v>592</x:v>
      </x:c>
      <x:c r="B569" s="31" t="str">
        <x:v>zh-TW</x:v>
      </x:c>
      <x:c r="C569" s="31" t="str">
        <x:v>Future Flash</x:v>
      </x:c>
      <x:c r="D569" s="31" t="str">
        <x:v>SV4M</x:v>
      </x:c>
      <x:c r="E569" s="31" t="str">
        <x:v>reference_bridge_synchronized_same_numbering</x:v>
      </x:c>
      <x:c r="F569" s="31" t="n">
        <x:v>95</x:v>
      </x:c>
      <x:c r="G569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69" s="31" t="str">
        <x:v>https://bulbapedia.bulbagarden.net/wiki/Pok%C3%A9mon_in_Taiwan ; https://asia.pokemon-card.com/tw/card-search/</x:v>
      </x:c>
      <x:c r="I569" s="31" t="n">
        <x:v>95</x:v>
      </x:c>
      <x:c r="J569" s="31" t="str"/>
    </x:row>
    <x:row r="570">
      <x:c r="A570" s="31" t="n">
        <x:v>594</x:v>
      </x:c>
      <x:c r="B570" s="31" t="str">
        <x:v>zh-TW</x:v>
      </x:c>
      <x:c r="C570" s="31" t="str">
        <x:v>Cyber Judge</x:v>
      </x:c>
      <x:c r="D570" s="31" t="str">
        <x:v>SV5M</x:v>
      </x:c>
      <x:c r="E570" s="31" t="str">
        <x:v>reference_bridge_synchronized_same_numbering</x:v>
      </x:c>
      <x:c r="F570" s="31" t="n">
        <x:v>100</x:v>
      </x:c>
      <x:c r="G570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70" s="31" t="str">
        <x:v>https://bulbapedia.bulbagarden.net/wiki/Pok%C3%A9mon_in_Taiwan ; https://asia.pokemon-card.com/tw/card-search/</x:v>
      </x:c>
      <x:c r="I570" s="31" t="n">
        <x:v>100</x:v>
      </x:c>
      <x:c r="J570" s="31" t="str"/>
    </x:row>
    <x:row r="571">
      <x:c r="A571" s="31" t="n">
        <x:v>595</x:v>
      </x:c>
      <x:c r="B571" s="31" t="str">
        <x:v>zh-TW</x:v>
      </x:c>
      <x:c r="C571" s="31" t="str">
        <x:v>Starter Set: Ancient Koraidon ex</x:v>
      </x:c>
      <x:c r="D571" s="31" t="str">
        <x:v>SVHK</x:v>
      </x:c>
      <x:c r="E571" s="31" t="str">
        <x:v>reference_bridge_product_numbered_checklist</x:v>
      </x:c>
      <x:c r="F571" s="31" t="n">
        <x:v>24</x:v>
      </x:c>
      <x:c r="G571" s="31" t="str">
        <x:v>Numbered total bridged from the sourced reference-count checklist for this exact row scope. Starter Set: Ancient Koraidon ex distinct numbered identities.</x:v>
      </x:c>
      <x:c r="H571" s="31" t="str">
        <x:v>https://asia.pokemon-card.com/tw/card-search/ ; https://bulbapedia.bulbagarden.net/wiki/Pok%C3%A9mon_in_Taiwan</x:v>
      </x:c>
      <x:c r="I571" s="31" t="n">
        <x:v>24</x:v>
      </x:c>
      <x:c r="J571" s="31" t="str"/>
    </x:row>
    <x:row r="572">
      <x:c r="A572" s="31" t="n">
        <x:v>596</x:v>
      </x:c>
      <x:c r="B572" s="31" t="str">
        <x:v>zh-TW</x:v>
      </x:c>
      <x:c r="C572" s="31" t="str">
        <x:v>Starter Set: Future Miraidon ex</x:v>
      </x:c>
      <x:c r="D572" s="31" t="str">
        <x:v>SVHM</x:v>
      </x:c>
      <x:c r="E572" s="31" t="str">
        <x:v>reference_bridge_product_numbered_checklist</x:v>
      </x:c>
      <x:c r="F572" s="31" t="n">
        <x:v>24</x:v>
      </x:c>
      <x:c r="G572" s="31" t="str">
        <x:v>Numbered total bridged from the sourced reference-count checklist for this exact row scope. Starter Set: Future Miraidon ex distinct numbered identities.</x:v>
      </x:c>
      <x:c r="H572" s="31" t="str">
        <x:v>https://asia.pokemon-card.com/tw/card-search/ ; https://bulbapedia.bulbagarden.net/wiki/Pok%C3%A9mon_in_Taiwan</x:v>
      </x:c>
      <x:c r="I572" s="31" t="n">
        <x:v>24</x:v>
      </x:c>
      <x:c r="J572" s="31" t="str"/>
    </x:row>
    <x:row r="573">
      <x:c r="A573" s="31" t="n">
        <x:v>597</x:v>
      </x:c>
      <x:c r="B573" s="31" t="str">
        <x:v>zh-TW</x:v>
      </x:c>
      <x:c r="C573" s="31" t="str">
        <x:v>Wild Force</x:v>
      </x:c>
      <x:c r="D573" s="31" t="str">
        <x:v>SV5K</x:v>
      </x:c>
      <x:c r="E573" s="31" t="str">
        <x:v>reference_bridge_synchronized_same_numbering</x:v>
      </x:c>
      <x:c r="F573" s="31" t="n">
        <x:v>100</x:v>
      </x:c>
      <x:c r="G573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73" s="31" t="str">
        <x:v>https://bulbapedia.bulbagarden.net/wiki/Pok%C3%A9mon_in_Taiwan ; https://asia.pokemon-card.com/tw/card-search/</x:v>
      </x:c>
      <x:c r="I573" s="31" t="n">
        <x:v>100</x:v>
      </x:c>
      <x:c r="J573" s="31" t="str"/>
    </x:row>
    <x:row r="574">
      <x:c r="A574" s="31" t="n">
        <x:v>598</x:v>
      </x:c>
      <x:c r="B574" s="31" t="str">
        <x:v>zh-TW</x:v>
      </x:c>
      <x:c r="C574" s="31" t="str">
        <x:v>Crimson Haze</x:v>
      </x:c>
      <x:c r="D574" s="31" t="str">
        <x:v>SV5a</x:v>
      </x:c>
      <x:c r="E574" s="31" t="str">
        <x:v>reference_bridge_synchronized_same_numbering</x:v>
      </x:c>
      <x:c r="F574" s="31" t="n">
        <x:v>96</x:v>
      </x:c>
      <x:c r="G574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74" s="31" t="str">
        <x:v>https://bulbapedia.bulbagarden.net/wiki/Pok%C3%A9mon_in_Taiwan ; https://asia.pokemon-card.com/tw/card-search/</x:v>
      </x:c>
      <x:c r="I574" s="31" t="n">
        <x:v>96</x:v>
      </x:c>
      <x:c r="J574" s="31" t="str"/>
    </x:row>
    <x:row r="575">
      <x:c r="A575" s="31" t="n">
        <x:v>599</x:v>
      </x:c>
      <x:c r="B575" s="31" t="str">
        <x:v>zh-TW</x:v>
      </x:c>
      <x:c r="C575" s="31" t="str">
        <x:v>Transformation Mask</x:v>
      </x:c>
      <x:c r="D575" s="31" t="str">
        <x:v>SV6</x:v>
      </x:c>
      <x:c r="E575" s="31" t="str">
        <x:v>reference_bridge_synchronized_same_numbering</x:v>
      </x:c>
      <x:c r="F575" s="31" t="n">
        <x:v>133</x:v>
      </x:c>
      <x:c r="G575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75" s="31" t="str">
        <x:v>https://bulbapedia.bulbagarden.net/wiki/Pok%C3%A9mon_in_Taiwan ; https://asia.pokemon-card.com/tw/card-search/</x:v>
      </x:c>
      <x:c r="I575" s="31" t="n">
        <x:v>133</x:v>
      </x:c>
      <x:c r="J575" s="31" t="str"/>
    </x:row>
    <x:row r="576">
      <x:c r="A576" s="31" t="n">
        <x:v>600</x:v>
      </x:c>
      <x:c r="B576" s="31" t="str">
        <x:v>zh-TW</x:v>
      </x:c>
      <x:c r="C576" s="31" t="str">
        <x:v>Night Wanderer</x:v>
      </x:c>
      <x:c r="D576" s="31" t="str">
        <x:v>SV6a</x:v>
      </x:c>
      <x:c r="E576" s="31" t="str">
        <x:v>reference_bridge_synchronized_same_numbering</x:v>
      </x:c>
      <x:c r="F576" s="31" t="n">
        <x:v>94</x:v>
      </x:c>
      <x:c r="G576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76" s="31" t="str">
        <x:v>https://bulbapedia.bulbagarden.net/wiki/Pok%C3%A9mon_in_Taiwan ; https://asia.pokemon-card.com/tw/card-search/</x:v>
      </x:c>
      <x:c r="I576" s="31" t="n">
        <x:v>94</x:v>
      </x:c>
      <x:c r="J576" s="31" t="str"/>
    </x:row>
    <x:row r="577">
      <x:c r="A577" s="31" t="n">
        <x:v>601</x:v>
      </x:c>
      <x:c r="B577" s="31" t="str">
        <x:v>zh-TW</x:v>
      </x:c>
      <x:c r="C577" s="31" t="str">
        <x:v>Tactical Deck: Gardevoir ex</x:v>
      </x:c>
      <x:c r="D577" s="31" t="str">
        <x:v>TW-TD-GARDEVOIR</x:v>
      </x:c>
      <x:c r="E577" s="31" t="str">
        <x:v>reference_bridge_product_numbered_checklist</x:v>
      </x:c>
      <x:c r="F577" s="31" t="n">
        <x:v>22</x:v>
      </x:c>
      <x:c r="G577" s="31" t="str">
        <x:v>Numbered total bridged from the sourced reference-count checklist for this exact row scope. Tactical Deck: Gardevoir ex distinct numbered identities.</x:v>
      </x:c>
      <x:c r="H577" s="31" t="str">
        <x:v>https://asia.pokemon-card.com/tw/card-search/ ; https://bulbapedia.bulbagarden.net/wiki/Pok%C3%A9mon_in_Taiwan</x:v>
      </x:c>
      <x:c r="I577" s="31" t="n">
        <x:v>22</x:v>
      </x:c>
      <x:c r="J577" s="31" t="str"/>
    </x:row>
    <x:row r="578">
      <x:c r="A578" s="31" t="n">
        <x:v>602</x:v>
      </x:c>
      <x:c r="B578" s="31" t="str">
        <x:v>zh-TW</x:v>
      </x:c>
      <x:c r="C578" s="31" t="str">
        <x:v>Tactical Deck: Meowscarada ex</x:v>
      </x:c>
      <x:c r="D578" s="31" t="str">
        <x:v>TW-TD-MEOWSCARADA</x:v>
      </x:c>
      <x:c r="E578" s="31" t="str">
        <x:v>reference_bridge_product_numbered_checklist</x:v>
      </x:c>
      <x:c r="F578" s="31" t="n">
        <x:v>22</x:v>
      </x:c>
      <x:c r="G578" s="31" t="str">
        <x:v>Numbered total bridged from the sourced reference-count checklist for this exact row scope. Tactical Deck: Meowscarada ex distinct numbered identities.</x:v>
      </x:c>
      <x:c r="H578" s="31" t="str">
        <x:v>https://asia.pokemon-card.com/tw/card-search/ ; https://bulbapedia.bulbagarden.net/wiki/Pok%C3%A9mon_in_Taiwan</x:v>
      </x:c>
      <x:c r="I578" s="31" t="n">
        <x:v>22</x:v>
      </x:c>
      <x:c r="J578" s="31" t="str"/>
    </x:row>
    <x:row r="579">
      <x:c r="A579" s="31" t="n">
        <x:v>603</x:v>
      </x:c>
      <x:c r="B579" s="31" t="str">
        <x:v>zh-TW</x:v>
      </x:c>
      <x:c r="C579" s="31" t="str">
        <x:v>Tactical Deck: Miraidon ex</x:v>
      </x:c>
      <x:c r="D579" s="31" t="str">
        <x:v>TW-TD-MIRAIDON</x:v>
      </x:c>
      <x:c r="E579" s="31" t="str">
        <x:v>reference_bridge_product_numbered_checklist</x:v>
      </x:c>
      <x:c r="F579" s="31" t="n">
        <x:v>21</x:v>
      </x:c>
      <x:c r="G579" s="31" t="str">
        <x:v>Numbered total bridged from the sourced reference-count checklist for this exact row scope. Tactical Deck: Miraidon ex distinct numbered identities.</x:v>
      </x:c>
      <x:c r="H579" s="31" t="str">
        <x:v>https://asia.pokemon-card.com/tw/card-search/ ; https://bulbapedia.bulbagarden.net/wiki/Pok%C3%A9mon_in_Taiwan</x:v>
      </x:c>
      <x:c r="I579" s="31" t="n">
        <x:v>21</x:v>
      </x:c>
      <x:c r="J579" s="31" t="str"/>
    </x:row>
    <x:row r="580">
      <x:c r="A580" s="31" t="n">
        <x:v>604</x:v>
      </x:c>
      <x:c r="B580" s="31" t="str">
        <x:v>zh-TW</x:v>
      </x:c>
      <x:c r="C580" s="31" t="str">
        <x:v>Tactical Deck: Scizor ex</x:v>
      </x:c>
      <x:c r="D580" s="31" t="str">
        <x:v>TW-TD-SCIZOR</x:v>
      </x:c>
      <x:c r="E580" s="31" t="str">
        <x:v>reference_bridge_product_numbered_checklist</x:v>
      </x:c>
      <x:c r="F580" s="31" t="n">
        <x:v>18</x:v>
      </x:c>
      <x:c r="G580" s="31" t="str">
        <x:v>Numbered total bridged from the sourced reference-count checklist for this exact row scope. Tactical Deck: Scizor ex distinct numbered identities.</x:v>
      </x:c>
      <x:c r="H580" s="31" t="str">
        <x:v>https://asia.pokemon-card.com/tw/card-search/ ; https://bulbapedia.bulbagarden.net/wiki/Pok%C3%A9mon_in_Taiwan</x:v>
      </x:c>
      <x:c r="I580" s="31" t="n">
        <x:v>18</x:v>
      </x:c>
      <x:c r="J580" s="31" t="str"/>
    </x:row>
    <x:row r="581">
      <x:c r="A581" s="31" t="n">
        <x:v>605</x:v>
      </x:c>
      <x:c r="B581" s="31" t="str">
        <x:v>zh-TW</x:v>
      </x:c>
      <x:c r="C581" s="31" t="str">
        <x:v>Tactical Deck: Tera Charizard ex</x:v>
      </x:c>
      <x:c r="D581" s="31" t="str">
        <x:v>TW-TD-TCHAR</x:v>
      </x:c>
      <x:c r="E581" s="31" t="str">
        <x:v>reference_bridge_product_numbered_checklist</x:v>
      </x:c>
      <x:c r="F581" s="31" t="n">
        <x:v>21</x:v>
      </x:c>
      <x:c r="G581" s="31" t="str">
        <x:v>Numbered total bridged from the sourced reference-count checklist for this exact row scope. Tactical Deck: Tera Charizard ex distinct numbered identities.</x:v>
      </x:c>
      <x:c r="H581" s="31" t="str">
        <x:v>https://asia.pokemon-card.com/tw/card-search/ ; https://bulbapedia.bulbagarden.net/wiki/Pok%C3%A9mon_in_Taiwan</x:v>
      </x:c>
      <x:c r="I581" s="31" t="n">
        <x:v>21</x:v>
      </x:c>
      <x:c r="J581" s="31" t="str"/>
    </x:row>
    <x:row r="582">
      <x:c r="A582" s="31" t="n">
        <x:v>606</x:v>
      </x:c>
      <x:c r="B582" s="31" t="str">
        <x:v>zh-TW</x:v>
      </x:c>
      <x:c r="C582" s="31" t="str">
        <x:v>Tactical Deck: Tera Garchomp ex</x:v>
      </x:c>
      <x:c r="D582" s="31" t="str">
        <x:v>SVTG</x:v>
      </x:c>
      <x:c r="E582" s="31" t="str">
        <x:v>reference_bridge_product_numbered_checklist</x:v>
      </x:c>
      <x:c r="F582" s="31" t="n">
        <x:v>19</x:v>
      </x:c>
      <x:c r="G582" s="31" t="str">
        <x:v>Numbered total bridged from the sourced reference-count checklist for this exact row scope. Tactical Deck: Tera Garchomp ex distinct numbered identities.</x:v>
      </x:c>
      <x:c r="H582" s="31" t="str">
        <x:v>https://asia.pokemon-card.com/tw/card-search/ ; https://bulbapedia.bulbagarden.net/wiki/Pok%C3%A9mon_in_Taiwan</x:v>
      </x:c>
      <x:c r="I582" s="31" t="n">
        <x:v>19</x:v>
      </x:c>
      <x:c r="J582" s="31" t="str"/>
    </x:row>
    <x:row r="583">
      <x:c r="A583" s="31" t="n">
        <x:v>607</x:v>
      </x:c>
      <x:c r="B583" s="31" t="str">
        <x:v>zh-TW</x:v>
      </x:c>
      <x:c r="C583" s="31" t="str">
        <x:v>Stellar Miracle</x:v>
      </x:c>
      <x:c r="D583" s="31" t="str">
        <x:v>SV7</x:v>
      </x:c>
      <x:c r="E583" s="31" t="str">
        <x:v>reference_bridge_synchronized_same_numbering</x:v>
      </x:c>
      <x:c r="F583" s="31" t="n">
        <x:v>135</x:v>
      </x:c>
      <x:c r="G583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83" s="31" t="str">
        <x:v>https://bulbapedia.bulbagarden.net/wiki/Pok%C3%A9mon_in_Taiwan ; https://asia.pokemon-card.com/tw/card-search/</x:v>
      </x:c>
      <x:c r="I583" s="31" t="n">
        <x:v>135</x:v>
      </x:c>
      <x:c r="J583" s="31" t="str"/>
    </x:row>
    <x:row r="584">
      <x:c r="A584" s="31" t="n">
        <x:v>608</x:v>
      </x:c>
      <x:c r="B584" s="31" t="str">
        <x:v>zh-TW</x:v>
      </x:c>
      <x:c r="C584" s="31" t="str">
        <x:v>Trainers Camp</x:v>
      </x:c>
      <x:c r="D584" s="31" t="str">
        <x:v>TW-TRAINERS-CAMP</x:v>
      </x:c>
      <x:c r="E584" s="31" t="str">
        <x:v>not_applicable</x:v>
      </x:c>
      <x:c r="F584" s="31"/>
      <x:c r="G584" s="31" t="str">
        <x:v>No numbered-card total applies because this row is an event / teaching programme rather than a distinct card catalogue.</x:v>
      </x:c>
      <x:c r="H584" s="31" t="str">
        <x:v>https://asia.pokemon-card.com/tw/card-search/ ; https://asia.pokemon-card.com/tw/event/</x:v>
      </x:c>
      <x:c r="I584" s="31"/>
      <x:c r="J584" s="31" t="str">
        <x:v>reference_count_not_applicable, numbered_total_not_applicable</x:v>
      </x:c>
    </x:row>
    <x:row r="585">
      <x:c r="A585" s="31" t="n">
        <x:v>609</x:v>
      </x:c>
      <x:c r="B585" s="31" t="str">
        <x:v>zh-TW</x:v>
      </x:c>
      <x:c r="C585" s="31" t="str">
        <x:v>Deck Build Box Paradise Dragona</x:v>
      </x:c>
      <x:c r="D585" s="31" t="str">
        <x:v>SVK</x:v>
      </x:c>
      <x:c r="E585" s="31" t="str">
        <x:v>reference_bridge_product_numbered_checklist</x:v>
      </x:c>
      <x:c r="F585" s="31" t="n">
        <x:v>42</x:v>
      </x:c>
      <x:c r="G585" s="31" t="str">
        <x:v>Numbered total bridged from the sourced reference-count checklist for this exact row scope. Deck Build Box Paradise Dragona numbered catalogue identities through 042; not box contents.</x:v>
      </x:c>
      <x:c r="H585" s="31" t="str">
        <x:v>https://asia.pokemon-card.com/tw/card-search/ ; https://bulbapedia.bulbagarden.net/wiki/Pok%C3%A9mon_in_Taiwan</x:v>
      </x:c>
      <x:c r="I585" s="31" t="n">
        <x:v>42</x:v>
      </x:c>
      <x:c r="J585" s="31" t="str"/>
    </x:row>
    <x:row r="586">
      <x:c r="A586" s="31" t="n">
        <x:v>610</x:v>
      </x:c>
      <x:c r="B586" s="31" t="str">
        <x:v>zh-TW</x:v>
      </x:c>
      <x:c r="C586" s="31" t="str">
        <x:v>Paradise Dragona</x:v>
      </x:c>
      <x:c r="D586" s="31" t="str">
        <x:v>SV7a</x:v>
      </x:c>
      <x:c r="E586" s="31" t="str">
        <x:v>reference_bridge_synchronized_same_numbering</x:v>
      </x:c>
      <x:c r="F586" s="31" t="n">
        <x:v>94</x:v>
      </x:c>
      <x:c r="G586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86" s="31" t="str">
        <x:v>https://bulbapedia.bulbagarden.net/wiki/Pok%C3%A9mon_in_Taiwan ; https://asia.pokemon-card.com/tw/card-search/</x:v>
      </x:c>
      <x:c r="I586" s="31" t="n">
        <x:v>94</x:v>
      </x:c>
      <x:c r="J586" s="31" t="str"/>
    </x:row>
    <x:row r="587">
      <x:c r="A587" s="31" t="n">
        <x:v>611</x:v>
      </x:c>
      <x:c r="B587" s="31" t="str">
        <x:v>zh-TW</x:v>
      </x:c>
      <x:c r="C587" s="31" t="str">
        <x:v>Stellar Tera ex Special Set: Ceruledge ex</x:v>
      </x:c>
      <x:c r="D587" s="31" t="str">
        <x:v>TW-STEX-CERU</x:v>
      </x:c>
      <x:c r="E587" s="31" t="str">
        <x:v>reference_bridge_product_numbered_checklist</x:v>
      </x:c>
      <x:c r="F587" s="31" t="n">
        <x:v>25</x:v>
      </x:c>
      <x:c r="G587" s="31" t="str">
        <x:v>Numbered total bridged from the sourced reference-count checklist for this exact row scope. Stellar Tera ex Special Set: Ceruledge ex distinct product identities.</x:v>
      </x:c>
      <x:c r="H587" s="31" t="str">
        <x:v>https://asia.pokemon-card.com/tw/card-search/ ; https://bulbapedia.bulbagarden.net/wiki/Pok%C3%A9mon_in_Taiwan</x:v>
      </x:c>
      <x:c r="I587" s="31" t="n">
        <x:v>25</x:v>
      </x:c>
      <x:c r="J587" s="31" t="str"/>
    </x:row>
    <x:row r="588">
      <x:c r="A588" s="31" t="n">
        <x:v>612</x:v>
      </x:c>
      <x:c r="B588" s="31" t="str">
        <x:v>zh-TW</x:v>
      </x:c>
      <x:c r="C588" s="31" t="str">
        <x:v>Stellar Tera ex Special Set: Sylveon ex</x:v>
      </x:c>
      <x:c r="D588" s="31" t="str">
        <x:v>TW-STEX-SYLV</x:v>
      </x:c>
      <x:c r="E588" s="31" t="str">
        <x:v>reference_bridge_product_numbered_checklist</x:v>
      </x:c>
      <x:c r="F588" s="31" t="n">
        <x:v>25</x:v>
      </x:c>
      <x:c r="G588" s="31" t="str">
        <x:v>Numbered total bridged from the sourced reference-count checklist for this exact row scope. Stellar Tera ex Special Set: Sylveon ex distinct product identities.</x:v>
      </x:c>
      <x:c r="H588" s="31" t="str">
        <x:v>https://asia.pokemon-card.com/tw/card-search/ ; https://bulbapedia.bulbagarden.net/wiki/Pok%C3%A9mon_in_Taiwan</x:v>
      </x:c>
      <x:c r="I588" s="31" t="n">
        <x:v>25</x:v>
      </x:c>
      <x:c r="J588" s="31" t="str"/>
    </x:row>
    <x:row r="589">
      <x:c r="A589" s="31" t="n">
        <x:v>613</x:v>
      </x:c>
      <x:c r="B589" s="31" t="str">
        <x:v>zh-TW</x:v>
      </x:c>
      <x:c r="C589" s="31" t="str">
        <x:v>Super Electric Breaker</x:v>
      </x:c>
      <x:c r="D589" s="31" t="str">
        <x:v>SV8</x:v>
      </x:c>
      <x:c r="E589" s="31" t="str">
        <x:v>reference_bridge_synchronized_same_numbering</x:v>
      </x:c>
      <x:c r="F589" s="31" t="n">
        <x:v>138</x:v>
      </x:c>
      <x:c r="G589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89" s="31" t="str">
        <x:v>https://bulbapedia.bulbagarden.net/wiki/Pok%C3%A9mon_in_Taiwan ; https://asia.pokemon-card.com/tw/card-search/</x:v>
      </x:c>
      <x:c r="I589" s="31" t="n">
        <x:v>138</x:v>
      </x:c>
      <x:c r="J589" s="31" t="str"/>
    </x:row>
    <x:row r="590">
      <x:c r="A590" s="31" t="n">
        <x:v>614</x:v>
      </x:c>
      <x:c r="B590" s="31" t="str">
        <x:v>zh-TW</x:v>
      </x:c>
      <x:c r="C590" s="31" t="str">
        <x:v>Double ex Start Deck Generations</x:v>
      </x:c>
      <x:c r="D590" s="31" t="str">
        <x:v>TW-SVC</x:v>
      </x:c>
      <x:c r="E590" s="31" t="str">
        <x:v>reference_bridge_product_numbered_checklist</x:v>
      </x:c>
      <x:c r="F590" s="31" t="n">
        <x:v>175</x:v>
      </x:c>
      <x:c r="G590" s="31" t="str">
        <x:v>Numbered total bridged from the sourced reference-count checklist for this exact row scope. Double ex Start Deck Generations combined catalogue identities in the product-family checklist scope.</x:v>
      </x:c>
      <x:c r="H590" s="31" t="str">
        <x:v>https://asia.pokemon-card.com/tw/card-search/ ; https://bulbapedia.bulbagarden.net/wiki/Pok%C3%A9mon_in_Taiwan</x:v>
      </x:c>
      <x:c r="I590" s="31" t="n">
        <x:v>175</x:v>
      </x:c>
      <x:c r="J590" s="31" t="str"/>
    </x:row>
    <x:row r="591">
      <x:c r="A591" s="31" t="n">
        <x:v>615</x:v>
      </x:c>
      <x:c r="B591" s="31" t="str">
        <x:v>zh-TW</x:v>
      </x:c>
      <x:c r="C591" s="31" t="str">
        <x:v>Terastal Fest ex</x:v>
      </x:c>
      <x:c r="D591" s="31" t="str">
        <x:v>SV8a</x:v>
      </x:c>
      <x:c r="E591" s="31" t="str">
        <x:v>reference_bridge_synchronized_same_numbering</x:v>
      </x:c>
      <x:c r="F591" s="31" t="n">
        <x:v>237</x:v>
      </x:c>
      <x:c r="G591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91" s="31" t="str">
        <x:v>https://bulbapedia.bulbagarden.net/wiki/Pok%C3%A9mon_in_Taiwan ; https://asia.pokemon-card.com/tw/card-search/</x:v>
      </x:c>
      <x:c r="I591" s="31" t="n">
        <x:v>237</x:v>
      </x:c>
      <x:c r="J591" s="31" t="str"/>
    </x:row>
    <x:row r="592">
      <x:c r="A592" s="31" t="n">
        <x:v>616</x:v>
      </x:c>
      <x:c r="B592" s="31" t="str">
        <x:v>zh-TW</x:v>
      </x:c>
      <x:c r="C592" s="31" t="str">
        <x:v>Battle Partners</x:v>
      </x:c>
      <x:c r="D592" s="31" t="str">
        <x:v>SV9</x:v>
      </x:c>
      <x:c r="E592" s="31" t="str">
        <x:v>reference_bridge_synchronized_same_numbering</x:v>
      </x:c>
      <x:c r="F592" s="31" t="n">
        <x:v>132</x:v>
      </x:c>
      <x:c r="G592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92" s="31" t="str">
        <x:v>https://bulbapedia.bulbagarden.net/wiki/Pok%C3%A9mon_in_Taiwan ; https://asia.pokemon-card.com/tw/card-search/</x:v>
      </x:c>
      <x:c r="I592" s="31" t="n">
        <x:v>132</x:v>
      </x:c>
      <x:c r="J592" s="31" t="str"/>
    </x:row>
    <x:row r="593">
      <x:c r="A593" s="31" t="n">
        <x:v>617</x:v>
      </x:c>
      <x:c r="B593" s="31" t="str">
        <x:v>zh-TW</x:v>
      </x:c>
      <x:c r="C593" s="31" t="str">
        <x:v>Challenge Deck: Marnie's Morpeko &amp; Grimmsnarl ex</x:v>
      </x:c>
      <x:c r="D593" s="31" t="str">
        <x:v>TW-SVF-M</x:v>
      </x:c>
      <x:c r="E593" s="31" t="str">
        <x:v>reference_bridge_product_numbered_checklist</x:v>
      </x:c>
      <x:c r="F593" s="31" t="n">
        <x:v>22</x:v>
      </x:c>
      <x:c r="G593" s="31" t="str">
        <x:v>Numbered total bridged from the sourced reference-count checklist for this exact row scope. Marnie's Morpeko &amp; Grimmsnarl ex Challenge Deck: 21-card denominator plus documented 022/021 extra identity.</x:v>
      </x:c>
      <x:c r="H593" s="31" t="str">
        <x:v>https://asia.pokemon-card.com/tw/card-search/ ; https://bulbapedia.bulbagarden.net/wiki/Pok%C3%A9mon_in_Taiwan</x:v>
      </x:c>
      <x:c r="I593" s="31" t="n">
        <x:v>22</x:v>
      </x:c>
      <x:c r="J593" s="31" t="str"/>
    </x:row>
    <x:row r="594">
      <x:c r="A594" s="31" t="n">
        <x:v>618</x:v>
      </x:c>
      <x:c r="B594" s="31" t="str">
        <x:v>zh-TW</x:v>
      </x:c>
      <x:c r="C594" s="31" t="str">
        <x:v>Challenge Deck: Steven's Beldum &amp; Metagross ex</x:v>
      </x:c>
      <x:c r="D594" s="31" t="str">
        <x:v>TW-SVF-S</x:v>
      </x:c>
      <x:c r="E594" s="31" t="str">
        <x:v>reference_bridge_product_numbered_checklist</x:v>
      </x:c>
      <x:c r="F594" s="31" t="n">
        <x:v>21</x:v>
      </x:c>
      <x:c r="G594" s="31" t="str">
        <x:v>Numbered total bridged from the sourced reference-count checklist for this exact row scope. Steven's Beldum &amp; Metagross ex Challenge Deck: 20-card denominator plus documented 021/020 extra identity.</x:v>
      </x:c>
      <x:c r="H594" s="31" t="str">
        <x:v>https://asia.pokemon-card.com/tw/card-search/ ; https://bulbapedia.bulbagarden.net/wiki/Pok%C3%A9mon_in_Taiwan</x:v>
      </x:c>
      <x:c r="I594" s="31" t="n">
        <x:v>21</x:v>
      </x:c>
      <x:c r="J594" s="31" t="str"/>
    </x:row>
    <x:row r="595">
      <x:c r="A595" s="31" t="n">
        <x:v>619</x:v>
      </x:c>
      <x:c r="B595" s="31" t="str">
        <x:v>zh-TW</x:v>
      </x:c>
      <x:c r="C595" s="31" t="str">
        <x:v>Hot Wind Arena</x:v>
      </x:c>
      <x:c r="D595" s="31" t="str">
        <x:v>TW-SV9a</x:v>
      </x:c>
      <x:c r="E595" s="31" t="str">
        <x:v>reference_bridge_regional_set_checklist</x:v>
      </x:c>
      <x:c r="F595" s="31" t="n">
        <x:v>92</x:v>
      </x:c>
      <x:c r="G595" s="31" t="str">
        <x:v>Numbered total bridged from the sourced reference-count checklist for this exact row scope. Traditional Chinese Hot Wind Arena uses the synchronized Japanese SV9a checklist identity/numbering.</x:v>
      </x:c>
      <x:c r="H595" s="31" t="str">
        <x:v>https://asia.pokemon-card.com/tw/card-search/ ; https://bulbapedia.bulbagarden.net/wiki/Pok%C3%A9mon_in_Taiwan</x:v>
      </x:c>
      <x:c r="I595" s="31" t="n">
        <x:v>92</x:v>
      </x:c>
      <x:c r="J595" s="31" t="str"/>
    </x:row>
    <x:row r="596">
      <x:c r="A596" s="31" t="n">
        <x:v>620</x:v>
      </x:c>
      <x:c r="B596" s="31" t="str">
        <x:v>zh-TW</x:v>
      </x:c>
      <x:c r="C596" s="31" t="str">
        <x:v>Glory of the Rocket Gang</x:v>
      </x:c>
      <x:c r="D596" s="31" t="str">
        <x:v>SV10</x:v>
      </x:c>
      <x:c r="E596" s="31" t="str">
        <x:v>reference_bridge_synchronized_same_numbering</x:v>
      </x:c>
      <x:c r="F596" s="31" t="n">
        <x:v>132</x:v>
      </x:c>
      <x:c r="G596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96" s="31" t="str">
        <x:v>https://bulbapedia.bulbagarden.net/wiki/Pok%C3%A9mon_in_Taiwan ; https://asia.pokemon-card.com/tw/card-search/</x:v>
      </x:c>
      <x:c r="I596" s="31" t="n">
        <x:v>132</x:v>
      </x:c>
      <x:c r="J596" s="31" t="str"/>
    </x:row>
    <x:row r="597">
      <x:c r="A597" s="31" t="n">
        <x:v>621</x:v>
      </x:c>
      <x:c r="B597" s="31" t="str">
        <x:v>zh-TW</x:v>
      </x:c>
      <x:c r="C597" s="31" t="str">
        <x:v>Black Bolt</x:v>
      </x:c>
      <x:c r="D597" s="31" t="str">
        <x:v>TW-SV11B</x:v>
      </x:c>
      <x:c r="E597" s="31" t="str">
        <x:v>reference_bridge_regional_set_checklist</x:v>
      </x:c>
      <x:c r="F597" s="31" t="n">
        <x:v>174</x:v>
      </x:c>
      <x:c r="G597" s="31" t="str">
        <x:v>Numbered total bridged from the sourced reference-count checklist for this exact row scope. Traditional Chinese Black Bolt uses the synchronized Japanese SV11B checklist identity/numbering.</x:v>
      </x:c>
      <x:c r="H597" s="31" t="str">
        <x:v>https://asia.pokemon-card.com/tw/card-search/ ; https://bulbapedia.bulbagarden.net/wiki/Pok%C3%A9mon_in_Taiwan</x:v>
      </x:c>
      <x:c r="I597" s="31" t="n">
        <x:v>174</x:v>
      </x:c>
      <x:c r="J597" s="31" t="str"/>
    </x:row>
    <x:row r="598">
      <x:c r="A598" s="31" t="n">
        <x:v>622</x:v>
      </x:c>
      <x:c r="B598" s="31" t="str">
        <x:v>zh-TW</x:v>
      </x:c>
      <x:c r="C598" s="31" t="str">
        <x:v>White Flare</x:v>
      </x:c>
      <x:c r="D598" s="31" t="str">
        <x:v>SV11W</x:v>
      </x:c>
      <x:c r="E598" s="31" t="str">
        <x:v>reference_bridge_synchronized_same_numbering</x:v>
      </x:c>
      <x:c r="F598" s="31" t="n">
        <x:v>174</x:v>
      </x:c>
      <x:c r="G598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598" s="31" t="str">
        <x:v>https://bulbapedia.bulbagarden.net/wiki/Pok%C3%A9mon_in_Taiwan ; https://asia.pokemon-card.com/tw/card-search/</x:v>
      </x:c>
      <x:c r="I598" s="31" t="n">
        <x:v>174</x:v>
      </x:c>
      <x:c r="J598" s="31" t="str"/>
    </x:row>
    <x:row r="599">
      <x:c r="A599" s="31" t="n">
        <x:v>623</x:v>
      </x:c>
      <x:c r="B599" s="31" t="str">
        <x:v>zh-TW</x:v>
      </x:c>
      <x:c r="C599" s="31" t="str">
        <x:v>ex Start Deck: Charizard</x:v>
      </x:c>
      <x:c r="D599" s="31" t="str">
        <x:v>SVQL</x:v>
      </x:c>
      <x:c r="E599" s="31" t="str">
        <x:v>reference_bridge_product_numbered_checklist</x:v>
      </x:c>
      <x:c r="F599" s="31" t="n">
        <x:v>22</x:v>
      </x:c>
      <x:c r="G599" s="31" t="str">
        <x:v>Numbered total bridged from the sourced reference-count checklist for this exact row scope. ex Start Deck: Charizard distinct numbered identities (001/022–022/022).</x:v>
      </x:c>
      <x:c r="H599" s="31" t="str">
        <x:v>https://asia.pokemon-card.com/tw/card-search/ ; https://bulbapedia.bulbagarden.net/wiki/Pok%C3%A9mon_in_Taiwan</x:v>
      </x:c>
      <x:c r="I599" s="31" t="n">
        <x:v>22</x:v>
      </x:c>
      <x:c r="J599" s="31" t="str"/>
    </x:row>
    <x:row r="600">
      <x:c r="A600" s="31" t="n">
        <x:v>624</x:v>
      </x:c>
      <x:c r="B600" s="31" t="str">
        <x:v>zh-TW</x:v>
      </x:c>
      <x:c r="C600" s="31" t="str">
        <x:v>ex Start Deck: Pikachu</x:v>
      </x:c>
      <x:c r="D600" s="31" t="str">
        <x:v>SVQP</x:v>
      </x:c>
      <x:c r="E600" s="31" t="str">
        <x:v>reference_bridge_product_numbered_checklist</x:v>
      </x:c>
      <x:c r="F600" s="31" t="n">
        <x:v>23</x:v>
      </x:c>
      <x:c r="G600" s="31" t="str">
        <x:v>Numbered total bridged from the sourced reference-count checklist for this exact row scope. ex Start Deck: Pikachu distinct numbered identities (001/023–023/023).</x:v>
      </x:c>
      <x:c r="H600" s="31" t="str">
        <x:v>https://asia.pokemon-card.com/tw/card-search/ ; https://bulbapedia.bulbagarden.net/wiki/Pok%C3%A9mon_in_Taiwan</x:v>
      </x:c>
      <x:c r="I600" s="31" t="n">
        <x:v>23</x:v>
      </x:c>
      <x:c r="J600" s="31" t="str"/>
    </x:row>
    <x:row r="601">
      <x:c r="A601" s="31" t="n">
        <x:v>625</x:v>
      </x:c>
      <x:c r="B601" s="31" t="str">
        <x:v>zh-TW</x:v>
      </x:c>
      <x:c r="C601" s="31" t="str">
        <x:v>Mega Brave</x:v>
      </x:c>
      <x:c r="D601" s="31" t="str">
        <x:v>M1L</x:v>
      </x:c>
      <x:c r="E601" s="31" t="str">
        <x:v>reference_bridge_synchronized_same_numbering</x:v>
      </x:c>
      <x:c r="F601" s="31" t="n">
        <x:v>92</x:v>
      </x:c>
      <x:c r="G601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601" s="31" t="str">
        <x:v>https://bulbapedia.bulbagarden.net/wiki/Pok%C3%A9mon_in_Taiwan ; https://asia.pokemon-card.com/tw/card-search/</x:v>
      </x:c>
      <x:c r="I601" s="31" t="n">
        <x:v>92</x:v>
      </x:c>
      <x:c r="J601" s="31" t="str"/>
    </x:row>
    <x:row r="602">
      <x:c r="A602" s="31" t="n">
        <x:v>626</x:v>
      </x:c>
      <x:c r="B602" s="31" t="str">
        <x:v>zh-TW</x:v>
      </x:c>
      <x:c r="C602" s="31" t="str">
        <x:v>Mega Symphonia</x:v>
      </x:c>
      <x:c r="D602" s="31" t="str">
        <x:v>M1S</x:v>
      </x:c>
      <x:c r="E602" s="31" t="str">
        <x:v>reference_bridge_synchronized_same_numbering</x:v>
      </x:c>
      <x:c r="F602" s="31" t="n">
        <x:v>92</x:v>
      </x:c>
      <x:c r="G602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602" s="31" t="str">
        <x:v>https://bulbapedia.bulbagarden.net/wiki/Pok%C3%A9mon_in_Taiwan ; https://asia.pokemon-card.com/tw/card-search/</x:v>
      </x:c>
      <x:c r="I602" s="31" t="n">
        <x:v>92</x:v>
      </x:c>
      <x:c r="J602" s="31" t="str"/>
    </x:row>
    <x:row r="603">
      <x:c r="A603" s="31" t="n">
        <x:v>627</x:v>
      </x:c>
      <x:c r="B603" s="31" t="str">
        <x:v>zh-TW</x:v>
      </x:c>
      <x:c r="C603" s="31" t="str">
        <x:v>Challenge Deck: Mega Diancie ex</x:v>
      </x:c>
      <x:c r="D603" s="31" t="str">
        <x:v>MBD</x:v>
      </x:c>
      <x:c r="E603" s="31" t="str">
        <x:v>reference_bridge_product_numbered_checklist</x:v>
      </x:c>
      <x:c r="F603" s="31" t="n">
        <x:v>23</x:v>
      </x:c>
      <x:c r="G603" s="31" t="str">
        <x:v>Numbered total bridged from the sourced reference-count checklist for this exact row scope. Challenge Deck: Mega Diancie ex: 22-card denominator plus documented 023/022 extra identity.</x:v>
      </x:c>
      <x:c r="H603" s="31" t="str">
        <x:v>https://asia.pokemon-card.com/tw/card-search/ ; https://bulbapedia.bulbagarden.net/wiki/Pok%C3%A9mon_in_Taiwan</x:v>
      </x:c>
      <x:c r="I603" s="31" t="n">
        <x:v>23</x:v>
      </x:c>
      <x:c r="J603" s="31" t="str"/>
    </x:row>
    <x:row r="604">
      <x:c r="A604" s="31" t="n">
        <x:v>628</x:v>
      </x:c>
      <x:c r="B604" s="31" t="str">
        <x:v>zh-TW</x:v>
      </x:c>
      <x:c r="C604" s="31" t="str">
        <x:v>Challenge Deck: Mega Gengar ex</x:v>
      </x:c>
      <x:c r="D604" s="31" t="str">
        <x:v>MBG</x:v>
      </x:c>
      <x:c r="E604" s="31" t="str">
        <x:v>reference_bridge_product_numbered_checklist</x:v>
      </x:c>
      <x:c r="F604" s="31" t="n">
        <x:v>23</x:v>
      </x:c>
      <x:c r="G604" s="31" t="str">
        <x:v>Numbered total bridged from the sourced reference-count checklist for this exact row scope. Challenge Deck: Mega Gengar ex: 22-card denominator plus documented 023/022 extra identity.</x:v>
      </x:c>
      <x:c r="H604" s="31" t="str">
        <x:v>https://asia.pokemon-card.com/tw/card-search/ ; https://bulbapedia.bulbagarden.net/wiki/Pok%C3%A9mon_in_Taiwan</x:v>
      </x:c>
      <x:c r="I604" s="31" t="n">
        <x:v>23</x:v>
      </x:c>
      <x:c r="J604" s="31" t="str"/>
    </x:row>
    <x:row r="605">
      <x:c r="A605" s="31" t="n">
        <x:v>629</x:v>
      </x:c>
      <x:c r="B605" s="31" t="str">
        <x:v>zh-TW</x:v>
      </x:c>
      <x:c r="C605" s="31" t="str">
        <x:v>Inferno X</x:v>
      </x:c>
      <x:c r="D605" s="31" t="str">
        <x:v>M2</x:v>
      </x:c>
      <x:c r="E605" s="31" t="str">
        <x:v>reference_bridge_synchronized_same_numbering</x:v>
      </x:c>
      <x:c r="F605" s="31" t="n">
        <x:v>116</x:v>
      </x:c>
      <x:c r="G605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605" s="31" t="str">
        <x:v>https://bulbapedia.bulbagarden.net/wiki/Pok%C3%A9mon_in_Taiwan ; https://asia.pokemon-card.com/tw/card-search/</x:v>
      </x:c>
      <x:c r="I605" s="31" t="n">
        <x:v>116</x:v>
      </x:c>
      <x:c r="J605" s="31" t="str"/>
    </x:row>
    <x:row r="606">
      <x:c r="A606" s="31" t="n">
        <x:v>630</x:v>
      </x:c>
      <x:c r="B606" s="31" t="str">
        <x:v>zh-TW</x:v>
      </x:c>
      <x:c r="C606" s="31" t="str">
        <x:v>MEGA Dream ex</x:v>
      </x:c>
      <x:c r="D606" s="31" t="str">
        <x:v>M2a</x:v>
      </x:c>
      <x:c r="E606" s="31" t="str">
        <x:v>reference_bridge_synchronized_same_numbering</x:v>
      </x:c>
      <x:c r="F606" s="31" t="n">
        <x:v>250</x:v>
      </x:c>
      <x:c r="G606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606" s="31" t="str">
        <x:v>https://bulbapedia.bulbagarden.net/wiki/Pok%C3%A9mon_in_Taiwan ; https://asia.pokemon-card.com/tw/card-search/</x:v>
      </x:c>
      <x:c r="I606" s="31" t="n">
        <x:v>250</x:v>
      </x:c>
      <x:c r="J606" s="31" t="str"/>
    </x:row>
    <x:row r="607">
      <x:c r="A607" s="31" t="n">
        <x:v>631</x:v>
      </x:c>
      <x:c r="B607" s="31" t="str">
        <x:v>zh-TW</x:v>
      </x:c>
      <x:c r="C607" s="31" t="str">
        <x:v>Start Deck 100 Battle Collection</x:v>
      </x:c>
      <x:c r="D607" s="31" t="str">
        <x:v>TW-SD100-BC</x:v>
      </x:c>
      <x:c r="E607" s="31" t="str">
        <x:v>reference_bridge_lower_bound_or_numbering_extent</x:v>
      </x:c>
      <x:c r="F607" s="31" t="n">
        <x:v>742</x:v>
      </x:c>
      <x:c r="G607" s="31" t="str">
        <x:v>Numbered total bridged from the sourced reference-count checklist for this exact row scope. Printed denominator / minimum catalogue size for Start Deck 100 Battle Collection. Full beyond-denominator catalogue may be larger; stored deliberately as a lower bound.</x:v>
      </x:c>
      <x:c r="H607" s="31" t="str">
        <x:v>https://asia.pokemon-card.com/tw/card-search/ ; https://bulbapedia.bulbagarden.net/wiki/Pok%C3%A9mon_in_Taiwan</x:v>
      </x:c>
      <x:c r="I607" s="31" t="n">
        <x:v>742</x:v>
      </x:c>
      <x:c r="J607" s="31" t="str">
        <x:v>numbered_total_provisional_snapshot</x:v>
      </x:c>
    </x:row>
    <x:row r="608">
      <x:c r="A608" s="31" t="n">
        <x:v>632</x:v>
      </x:c>
      <x:c r="B608" s="31" t="str">
        <x:v>zh-TW</x:v>
      </x:c>
      <x:c r="C608" s="31" t="str">
        <x:v>Nihil Zero</x:v>
      </x:c>
      <x:c r="D608" s="31" t="str">
        <x:v>M3</x:v>
      </x:c>
      <x:c r="E608" s="31" t="str">
        <x:v>reference_bridge_synchronized_same_numbering</x:v>
      </x:c>
      <x:c r="F608" s="31" t="n">
        <x:v>117</x:v>
      </x:c>
      <x:c r="G608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608" s="31" t="str">
        <x:v>https://bulbapedia.bulbagarden.net/wiki/Pok%C3%A9mon_in_Taiwan ; https://asia.pokemon-card.com/tw/card-search/</x:v>
      </x:c>
      <x:c r="I608" s="31" t="n">
        <x:v>117</x:v>
      </x:c>
      <x:c r="J608" s="31" t="str"/>
    </x:row>
    <x:row r="609">
      <x:c r="A609" s="31" t="n">
        <x:v>633</x:v>
      </x:c>
      <x:c r="B609" s="31" t="str">
        <x:v>zh-TW</x:v>
      </x:c>
      <x:c r="C609" s="31" t="str">
        <x:v>New Trainer Journey</x:v>
      </x:c>
      <x:c r="D609" s="31" t="str">
        <x:v>TW-NTJ</x:v>
      </x:c>
      <x:c r="E609" s="31" t="str">
        <x:v>not_applicable</x:v>
      </x:c>
      <x:c r="F609" s="31"/>
      <x:c r="G609" s="31" t="str">
        <x:v>No numbered-card total applies because this row is an event / teaching programme rather than a distinct card catalogue.</x:v>
      </x:c>
      <x:c r="H609" s="31" t="str">
        <x:v>https://asia.pokemon-card.com/tw/card-search/ ; https://asia.pokemon-card.com/tw/event/</x:v>
      </x:c>
      <x:c r="I609" s="31"/>
      <x:c r="J609" s="31" t="str">
        <x:v>reference_count_not_applicable, numbered_total_not_applicable</x:v>
      </x:c>
    </x:row>
    <x:row r="610">
      <x:c r="A610" s="31" t="n">
        <x:v>634</x:v>
      </x:c>
      <x:c r="B610" s="31" t="str">
        <x:v>zh-TW</x:v>
      </x:c>
      <x:c r="C610" s="31" t="str">
        <x:v>Ninja Spinner</x:v>
      </x:c>
      <x:c r="D610" s="31" t="str">
        <x:v>M4</x:v>
      </x:c>
      <x:c r="E610" s="31" t="str">
        <x:v>reference_bridge_synchronized_same_numbering</x:v>
      </x:c>
      <x:c r="F610" s="31" t="n">
        <x:v>120</x:v>
      </x:c>
      <x:c r="G610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610" s="31" t="str">
        <x:v>https://bulbapedia.bulbagarden.net/wiki/Pok%C3%A9mon_in_Taiwan ; https://asia.pokemon-card.com/tw/card-search/</x:v>
      </x:c>
      <x:c r="I610" s="31" t="n">
        <x:v>120</x:v>
      </x:c>
      <x:c r="J610" s="31" t="str"/>
    </x:row>
    <x:row r="611">
      <x:c r="A611" s="31" t="n">
        <x:v>635</x:v>
      </x:c>
      <x:c r="B611" s="31" t="str">
        <x:v>zh-TW</x:v>
      </x:c>
      <x:c r="C611" s="31" t="str">
        <x:v>Abyss Eye</x:v>
      </x:c>
      <x:c r="D611" s="31" t="str">
        <x:v>M5</x:v>
      </x:c>
      <x:c r="E611" s="31" t="str">
        <x:v>reference_bridge_synchronized_same_numbering</x:v>
      </x:c>
      <x:c r="F611" s="31" t="n">
        <x:v>118</x:v>
      </x:c>
      <x:c r="G611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611" s="31" t="str">
        <x:v>https://bulbapedia.bulbagarden.net/wiki/Pok%C3%A9mon_in_Taiwan ; https://asia.pokemon-card.com/tw/card-search/</x:v>
      </x:c>
      <x:c r="I611" s="31" t="n">
        <x:v>118</x:v>
      </x:c>
      <x:c r="J611" s="31" t="str"/>
    </x:row>
    <x:row r="612">
      <x:c r="A612" s="31" t="n">
        <x:v>636</x:v>
      </x:c>
      <x:c r="B612" s="31" t="str">
        <x:v>zh-TW</x:v>
      </x:c>
      <x:c r="C612" s="31" t="str">
        <x:v>Tactical Deck: Mega Charizard X ex</x:v>
      </x:c>
      <x:c r="D612" s="31" t="str">
        <x:v>MTL</x:v>
      </x:c>
      <x:c r="E612" s="31" t="str">
        <x:v>reference_bridge_product_numbered_checklist</x:v>
      </x:c>
      <x:c r="F612" s="31" t="n">
        <x:v>23</x:v>
      </x:c>
      <x:c r="G612" s="31" t="str">
        <x:v>Numbered total bridged from the sourced reference-count checklist for this exact row scope. Tactical Deck: Mega Charizard X ex distinct numbered identities.</x:v>
      </x:c>
      <x:c r="H612" s="31" t="str">
        <x:v>https://asia.pokemon-card.com/tw/card-search/ ; https://bulbapedia.bulbagarden.net/wiki/Pok%C3%A9mon_in_Taiwan</x:v>
      </x:c>
      <x:c r="I612" s="31" t="n">
        <x:v>23</x:v>
      </x:c>
      <x:c r="J612" s="31" t="str"/>
    </x:row>
    <x:row r="613">
      <x:c r="A613" s="31" t="n">
        <x:v>637</x:v>
      </x:c>
      <x:c r="B613" s="31" t="str">
        <x:v>zh-TW</x:v>
      </x:c>
      <x:c r="C613" s="31" t="str">
        <x:v>Tactical Deck: Mega Dragonite ex</x:v>
      </x:c>
      <x:c r="D613" s="31" t="str">
        <x:v>MTK</x:v>
      </x:c>
      <x:c r="E613" s="31" t="str">
        <x:v>reference_bridge_product_numbered_checklist</x:v>
      </x:c>
      <x:c r="F613" s="31" t="n">
        <x:v>23</x:v>
      </x:c>
      <x:c r="G613" s="31" t="str">
        <x:v>Numbered total bridged from the sourced reference-count checklist for this exact row scope. Tactical Deck: Mega Dragonite ex distinct numbered identities.</x:v>
      </x:c>
      <x:c r="H613" s="31" t="str">
        <x:v>https://asia.pokemon-card.com/tw/card-search/ ; https://bulbapedia.bulbagarden.net/wiki/Pok%C3%A9mon_in_Taiwan</x:v>
      </x:c>
      <x:c r="I613" s="31" t="n">
        <x:v>23</x:v>
      </x:c>
      <x:c r="J613" s="31" t="str"/>
    </x:row>
    <x:row r="614">
      <x:c r="A614" s="31" t="n">
        <x:v>638</x:v>
      </x:c>
      <x:c r="B614" s="31" t="str">
        <x:v>zh-TW</x:v>
      </x:c>
      <x:c r="C614" s="31" t="str">
        <x:v>Tactical Deck: Mega Gardevoir ex</x:v>
      </x:c>
      <x:c r="D614" s="31" t="str">
        <x:v>TW-MGEX-G</x:v>
      </x:c>
      <x:c r="E614" s="31" t="str">
        <x:v>reference_bridge_product_numbered_checklist</x:v>
      </x:c>
      <x:c r="F614" s="31" t="n">
        <x:v>23</x:v>
      </x:c>
      <x:c r="G614" s="31" t="str">
        <x:v>Numbered total bridged from the sourced reference-count checklist for this exact row scope. Tactical Deck: Mega Gardevoir ex distinct numbered identities.</x:v>
      </x:c>
      <x:c r="H614" s="31" t="str">
        <x:v>https://asia.pokemon-card.com/tw/card-search/ ; https://bulbapedia.bulbagarden.net/wiki/Pok%C3%A9mon_in_Taiwan</x:v>
      </x:c>
      <x:c r="I614" s="31" t="n">
        <x:v>23</x:v>
      </x:c>
      <x:c r="J614" s="31" t="str"/>
    </x:row>
    <x:row r="615">
      <x:c r="A615" s="31" t="n">
        <x:v>639</x:v>
      </x:c>
      <x:c r="B615" s="31" t="str">
        <x:v>zh-TW</x:v>
      </x:c>
      <x:c r="C615" s="31" t="str">
        <x:v>Tactical Deck: Mega Sharpedo ex</x:v>
      </x:c>
      <x:c r="D615" s="31" t="str">
        <x:v>TW-MGEX-S</x:v>
      </x:c>
      <x:c r="E615" s="31" t="str">
        <x:v>reference_bridge_product_numbered_checklist</x:v>
      </x:c>
      <x:c r="F615" s="31" t="n">
        <x:v>20</x:v>
      </x:c>
      <x:c r="G615" s="31" t="str">
        <x:v>Numbered total bridged from the sourced reference-count checklist for this exact row scope. Tactical Deck: Mega Sharpedo ex distinct numbered identities.</x:v>
      </x:c>
      <x:c r="H615" s="31" t="str">
        <x:v>https://asia.pokemon-card.com/tw/card-search/ ; https://bulbapedia.bulbagarden.net/wiki/Pok%C3%A9mon_in_Taiwan</x:v>
      </x:c>
      <x:c r="I615" s="31" t="n">
        <x:v>20</x:v>
      </x:c>
      <x:c r="J615" s="31" t="str"/>
    </x:row>
    <x:row r="616">
      <x:c r="A616" s="31" t="n">
        <x:v>640</x:v>
      </x:c>
      <x:c r="B616" s="31" t="str">
        <x:v>zh-TW</x:v>
      </x:c>
      <x:c r="C616" s="31" t="str">
        <x:v>Storm Emeralda</x:v>
      </x:c>
      <x:c r="D616" s="31" t="str">
        <x:v>M6</x:v>
      </x:c>
      <x:c r="E616" s="31" t="str">
        <x:v>reference_bridge_synchronized_same_numbering</x:v>
      </x:c>
      <x:c r="F616" s="31" t="n">
        <x:v>113</x:v>
      </x:c>
      <x:c r="G616" s="31" t="str">
        <x:v>Numbered total bridged from the sourced reference-count checklist for this exact row scope. Traditional Chinese release uses the synchronized Japanese card identities and numbering for this set; reference count inherited from the matching Japanese checklist.</x:v>
      </x:c>
      <x:c r="H616" s="31" t="str">
        <x:v>https://bulbapedia.bulbagarden.net/wiki/Pok%C3%A9mon_in_Taiwan ; https://asia.pokemon-card.com/tw/card-search/</x:v>
      </x:c>
      <x:c r="I616" s="31" t="n">
        <x:v>113</x:v>
      </x:c>
      <x:c r="J616" s="31" t="str"/>
    </x:row>
    <x:row r="617">
      <x:c r="A617" s="31" t="n">
        <x:v>641</x:v>
      </x:c>
      <x:c r="B617" s="31" t="str">
        <x:v>zh-TW</x:v>
      </x:c>
      <x:c r="C617" s="31" t="str">
        <x:v>30th Celebration</x:v>
      </x:c>
      <x:c r="D617" s="31" t="str">
        <x:v>M6a</x:v>
      </x:c>
      <x:c r="E617" s="31" t="str">
        <x:v>current_numbering_scheme</x:v>
      </x:c>
      <x:c r="F617" s="31" t="n">
        <x:v>176</x:v>
      </x:c>
      <x:c r="G617" s="31" t="str">
        <x:v>Current Traditional Chinese M6a catalogue spans the 001–176 numbering scheme.</x:v>
      </x:c>
      <x:c r="H617" s="31" t="str">
        <x:v>https://www.kado.hk/articles/30th-celebration-30-pikachu-best-art</x:v>
      </x:c>
      <x:c r="I617" s="31" t="n">
        <x:v>176</x:v>
      </x:c>
      <x:c r="J617" s="31" t="str"/>
    </x:row>
    <x:row r="618">
      <x:c r="A618" s="31" t="n">
        <x:v>642</x:v>
      </x:c>
      <x:c r="B618" s="31" t="str">
        <x:v>zh-TW</x:v>
      </x:c>
      <x:c r="C618" s="31" t="str">
        <x:v>Premium Deck Set: Espeon &amp; Umbreon</x:v>
      </x:c>
      <x:c r="D618" s="31" t="str">
        <x:v>TW-PDS-EU</x:v>
      </x:c>
      <x:c r="E618" s="31" t="str">
        <x:v>reference_bridge_product_numbered_checklist</x:v>
      </x:c>
      <x:c r="F618" s="31" t="n">
        <x:v>44</x:v>
      </x:c>
      <x:c r="G618" s="31" t="str">
        <x:v>Numbered total bridged from the sourced reference-count checklist for this exact row scope. Premium Deck Set: Espeon &amp; Umbreon distinct numbered identities through 044/040.</x:v>
      </x:c>
      <x:c r="H618" s="31" t="str">
        <x:v>https://asia.pokemon-card.com/tw/card-search/ ; https://bulbapedia.bulbagarden.net/wiki/Pok%C3%A9mon_in_Taiwan</x:v>
      </x:c>
      <x:c r="I618" s="31" t="n">
        <x:v>44</x:v>
      </x:c>
      <x:c r="J618" s="31" t="str"/>
    </x:row>
    <x:row r="619">
      <x:c r="A619" s="31" t="n">
        <x:v>643</x:v>
      </x:c>
      <x:c r="B619" s="31" t="str">
        <x:v>zh-TW</x:v>
      </x:c>
      <x:c r="C619" s="31" t="str">
        <x:v>Mega Evolution Promotional cards</x:v>
      </x:c>
      <x:c r="D619" s="31" t="str">
        <x:v>M-P</x:v>
      </x:c>
      <x:c r="E619" s="31" t="str">
        <x:v>reference_bridge_lower_bound_or_numbering_extent</x:v>
      </x:c>
      <x:c r="F619" s="31" t="n">
        <x:v>144</x:v>
      </x:c>
      <x:c r="G619" s="31" t="str">
        <x:v>Numbered total bridged from the sourced reference-count checklist for this exact row scope. Current visible M-P Traditional Chinese promo numbering extent in source snapshot; ongoing series, stored as a lower bound.</x:v>
      </x:c>
      <x:c r="H619" s="31" t="str">
        <x:v>https://asia.pokemon-card.com/tw/card-search/ ; https://bulbapedia.bulbagarden.net/wiki/Pok%C3%A9mon_in_Taiwan</x:v>
      </x:c>
      <x:c r="I619" s="31" t="n">
        <x:v>144</x:v>
      </x:c>
      <x:c r="J619" s="31" t="str">
        <x:v>numbered_total_provisional_snapshot</x:v>
      </x:c>
    </x:row>
    <x:row r="620">
      <x:c r="A620" s="31" t="n">
        <x:v>644</x:v>
      </x:c>
      <x:c r="B620" s="31" t="str">
        <x:v>zh-TW</x:v>
      </x:c>
      <x:c r="C620" s="31" t="str">
        <x:v>Scarlet &amp; Violet Promotional cards</x:v>
      </x:c>
      <x:c r="D620" s="31" t="str">
        <x:v>SV-P</x:v>
      </x:c>
      <x:c r="E620" s="31" t="str">
        <x:v>reference_bridge_lower_bound_or_numbering_extent</x:v>
      </x:c>
      <x:c r="F620" s="31" t="n">
        <x:v>265</x:v>
      </x:c>
      <x:c r="G620" s="31" t="str">
        <x:v>Numbered total bridged from the sourced reference-count checklist for this exact row scope. Current Traditional Chinese SV-P promotional catalogue minimum (265+); ongoing series.</x:v>
      </x:c>
      <x:c r="H620" s="31" t="str">
        <x:v>https://asia.pokemon-card.com/tw/card-search/ ; https://bulbapedia.bulbagarden.net/wiki/Pok%C3%A9mon_in_Taiwan</x:v>
      </x:c>
      <x:c r="I620" s="31" t="n">
        <x:v>265</x:v>
      </x:c>
      <x:c r="J620" s="31" t="str">
        <x:v>numbered_total_provisional_snapshot</x:v>
      </x:c>
    </x:row>
    <x:row r="621">
      <x:c r="A621" s="31" t="n">
        <x:v>645</x:v>
      </x:c>
      <x:c r="B621" s="31" t="str">
        <x:v>zh-TW</x:v>
      </x:c>
      <x:c r="C621" s="31" t="str">
        <x:v>Sun &amp; Moon Promotional cards</x:v>
      </x:c>
      <x:c r="D621" s="31" t="str">
        <x:v>SM-P</x:v>
      </x:c>
      <x:c r="E621" s="31" t="str">
        <x:v>reference_bridge_product_numbered_checklist</x:v>
      </x:c>
      <x:c r="F621" s="31" t="n">
        <x:v>78</x:v>
      </x:c>
      <x:c r="G621" s="31" t="str">
        <x:v>Numbered total bridged from the sourced reference-count checklist for this exact row scope. Traditional Chinese SM-P promotional catalogue identities in the referenced catalogue scope.</x:v>
      </x:c>
      <x:c r="H621" s="31" t="str">
        <x:v>https://asia.pokemon-card.com/tw/card-search/ ; https://bulbapedia.bulbagarden.net/wiki/Pok%C3%A9mon_in_Taiwan</x:v>
      </x:c>
      <x:c r="I621" s="31" t="n">
        <x:v>78</x:v>
      </x:c>
      <x:c r="J621" s="31" t="str"/>
    </x:row>
    <x:row r="622">
      <x:c r="A622" s="31" t="n">
        <x:v>646</x:v>
      </x:c>
      <x:c r="B622" s="31" t="str">
        <x:v>zh-TW</x:v>
      </x:c>
      <x:c r="C622" s="31" t="str">
        <x:v>Sword &amp; Shield Promotional cards</x:v>
      </x:c>
      <x:c r="D622" s="31" t="str">
        <x:v>S-P</x:v>
      </x:c>
      <x:c r="E622" s="31" t="str">
        <x:v>reference_bridge_lower_bound_or_numbering_extent</x:v>
      </x:c>
      <x:c r="F622" s="31" t="n">
        <x:v>229</x:v>
      </x:c>
      <x:c r="G622" s="31" t="str">
        <x:v>Numbered total bridged from the sourced reference-count checklist for this exact row scope. Current Traditional Chinese S-P promotional catalogue minimum (229+); ongoing series.</x:v>
      </x:c>
      <x:c r="H622" s="31" t="str">
        <x:v>https://asia.pokemon-card.com/tw/card-search/ ; https://bulbapedia.bulbagarden.net/wiki/Pok%C3%A9mon_in_Taiwan</x:v>
      </x:c>
      <x:c r="I622" s="31" t="n">
        <x:v>229</x:v>
      </x:c>
      <x:c r="J622" s="31" t="str">
        <x:v>numbered_total_provisional_snapshot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14" hidden="0" customWidth="1"/>
    <x:col min="4" max="4" width="56" hidden="0" customWidth="1"/>
    <x:col min="5" max="5" width="24" hidden="0" customWidth="1"/>
    <x:col min="6" max="6" width="24" hidden="0" customWidth="1"/>
    <x:col min="7" max="7" width="30" hidden="0" customWidth="1"/>
    <x:col min="8" max="8" width="16" hidden="0" customWidth="1"/>
  </x:cols>
  <x:sheetData>
    <x:row r="1" ht="30" customHeight="1">
      <x:c r="A1" s="81" t="str">
        <x:v>STACKR METADATA — FINAL QA</x:v>
      </x:c>
      <x:c r="B1" s="81"/>
      <x:c r="C1" s="81"/>
      <x:c r="D1" s="81"/>
      <x:c r="E1" s="81"/>
      <x:c r="F1" s="81"/>
      <x:c r="G1" s="81"/>
      <x:c r="H1" s="81"/>
    </x:row>
    <x:row r="2" ht="22" customHeight="1">
      <x:c r="A2" s="84" t="str">
        <x:v>Canonical sign-off review • 26 September 2026</x:v>
      </x:c>
      <x:c r="B2" s="84"/>
      <x:c r="C2" s="84"/>
      <x:c r="D2" s="84"/>
      <x:c r="E2" s="84"/>
      <x:c r="F2" s="84"/>
      <x:c r="G2" s="84"/>
      <x:c r="H2" s="84"/>
    </x:row>
    <x:row r="3" ht="22" customHeight="1">
      <x:c r="A3"/>
      <x:c r="B3"/>
      <x:c r="C3"/>
      <x:c r="D3"/>
      <x:c r="E3"/>
      <x:c r="F3"/>
      <x:c r="G3"/>
      <x:c r="H3"/>
    </x:row>
    <x:row r="4" ht="22" customHeight="1">
      <x:c r="A4" s="88" t="str">
        <x:v>QA check</x:v>
      </x:c>
      <x:c r="B4" s="88" t="str">
        <x:v>Result</x:v>
      </x:c>
      <x:c r="C4" s="88" t="str">
        <x:v>Status</x:v>
      </x:c>
      <x:c r="D4" s="88" t="str">
        <x:v>Action / rationale</x:v>
      </x:c>
      <x:c r="E4" s="88" t="str">
        <x:v>Affected rows</x:v>
      </x:c>
      <x:c r="F4" s="88" t="str">
        <x:v>Before</x:v>
      </x:c>
      <x:c r="G4" s="88" t="str">
        <x:v>After</x:v>
      </x:c>
      <x:c r="H4" s="88" t="str">
        <x:v>Owner state</x:v>
      </x:c>
    </x:row>
    <x:row r="5" ht="22" customHeight="1">
      <x:c r="A5" s="31" t="str">
        <x:v>Reference IDs unique</x:v>
      </x:c>
      <x:c r="B5" s="31" t="n">
        <x:v>642</x:v>
      </x:c>
      <x:c r="C5" s="31" t="str">
        <x:v>PASS</x:v>
      </x:c>
      <x:c r="D5" s="31" t="str">
        <x:v>No duplicate Stackr reference IDs found.</x:v>
      </x:c>
      <x:c r="E5" s="31" t="str">
        <x:v>All 642</x:v>
      </x:c>
      <x:c r="F5" s="31" t="str"/>
      <x:c r="G5" s="31" t="str"/>
      <x:c r="H5" s="31" t="str">
        <x:v>Frozen</x:v>
      </x:c>
    </x:row>
    <x:row r="6" ht="22" customHeight="1">
      <x:c r="A6" s="31" t="str">
        <x:v>Same-language display names unique</x:v>
      </x:c>
      <x:c r="B6" s="31" t="n">
        <x:v>642</x:v>
      </x:c>
      <x:c r="C6" s="31" t="str">
        <x:v>PASS</x:v>
      </x:c>
      <x:c r="D6" s="31" t="str">
        <x:v>No duplicate same-language display names found.</x:v>
      </x:c>
      <x:c r="E6" s="31" t="str">
        <x:v>All 642</x:v>
      </x:c>
      <x:c r="F6" s="31" t="str"/>
      <x:c r="G6" s="31" t="str"/>
      <x:c r="H6" s="31" t="str">
        <x:v>Frozen</x:v>
      </x:c>
    </x:row>
    <x:row r="7" ht="22" customHeight="1">
      <x:c r="A7" s="31" t="str">
        <x:v>Same-language catalogue-code collisions</x:v>
      </x:c>
      <x:c r="B7" s="31" t="n">
        <x:v>0</x:v>
      </x:c>
      <x:c r="C7" s="31" t="str">
        <x:v>PASS</x:v>
      </x:c>
      <x:c r="D7" s="31" t="str">
        <x:v>Four child/internal identifiers disambiguated during final QA.</x:v>
      </x:c>
      <x:c r="E7" s="31" t="str">
        <x:v>158, 206, 419, 427</x:v>
      </x:c>
      <x:c r="F7" s="31" t="str">
        <x:v>CL / SI / MG</x:v>
      </x:c>
      <x:c r="G7" s="31" t="str">
        <x:v>PTCGC / JA-SI / MG-G / MG-M</x:v>
      </x:c>
      <x:c r="H7" s="31" t="str">
        <x:v>Frozen</x:v>
      </x:c>
    </x:row>
    <x:row r="8" ht="22" customHeight="1">
      <x:c r="A8" s="31" t="str">
        <x:v>Native-name blanks</x:v>
      </x:c>
      <x:c r="B8" s="31" t="n">
        <x:v>0</x:v>
      </x:c>
      <x:c r="C8" s="31" t="str">
        <x:v>PASS</x:v>
      </x:c>
      <x:c r="D8" s="31" t="str">
        <x:v>All native-name fields populated.</x:v>
      </x:c>
      <x:c r="E8" s="31" t="str">
        <x:v>All 642</x:v>
      </x:c>
      <x:c r="F8" s="31" t="str"/>
      <x:c r="G8" s="31" t="str"/>
      <x:c r="H8" s="31" t="str">
        <x:v>Frozen</x:v>
      </x:c>
    </x:row>
    <x:row r="9" ht="22" customHeight="1">
      <x:c r="A9" s="31" t="str">
        <x:v>Catalogue-code blanks</x:v>
      </x:c>
      <x:c r="B9" s="31" t="n">
        <x:v>0</x:v>
      </x:c>
      <x:c r="C9" s="31" t="str">
        <x:v>PASS</x:v>
      </x:c>
      <x:c r="D9" s="31" t="str">
        <x:v>All catalogue-code fields populated; internal aliases explicitly labelled where necessary.</x:v>
      </x:c>
      <x:c r="E9" s="31" t="str">
        <x:v>All 642</x:v>
      </x:c>
      <x:c r="F9" s="31" t="str"/>
      <x:c r="G9" s="31" t="str"/>
      <x:c r="H9" s="31" t="str">
        <x:v>Frozen</x:v>
      </x:c>
    </x:row>
    <x:row r="10" ht="22" customHeight="1">
      <x:c r="A10" s="31" t="str">
        <x:v>Release-date actionable gaps</x:v>
      </x:c>
      <x:c r="B10" s="31" t="n">
        <x:v>1</x:v>
      </x:c>
      <x:c r="C10" s="31" t="str">
        <x:v>MONITOR</x:v>
      </x:c>
      <x:c r="D10" s="31" t="str">
        <x:v>Aura Seeker has no official release date yet.</x:v>
      </x:c>
      <x:c r="E10" s="31" t="str">
        <x:v>414</x:v>
      </x:c>
      <x:c r="F10" s="31" t="str"/>
      <x:c r="G10" s="31" t="str">
        <x:v>Pending official announcement</x:v>
      </x:c>
      <x:c r="H10" s="31" t="str">
        <x:v>Monitor</x:v>
      </x:c>
    </x:row>
    <x:row r="11" ht="22" customHeight="1">
      <x:c r="A11" s="31" t="str">
        <x:v>Reference-count actionable gaps</x:v>
      </x:c>
      <x:c r="B11" s="31" t="n">
        <x:v>1</x:v>
      </x:c>
      <x:c r="C11" s="31" t="str">
        <x:v>MONITOR</x:v>
      </x:c>
      <x:c r="D11" s="31" t="str">
        <x:v>Aura Seeker has no official checklist yet. Two event rows are correctly N/A.</x:v>
      </x:c>
      <x:c r="E11" s="31" t="str">
        <x:v>414; N/A: 608, 633</x:v>
      </x:c>
      <x:c r="F11" s="31" t="str"/>
      <x:c r="G11" s="31" t="str">
        <x:v>Pending / N/A</x:v>
      </x:c>
      <x:c r="H11" s="31" t="str">
        <x:v>Monitor</x:v>
      </x:c>
    </x:row>
    <x:row r="12" ht="22" customHeight="1">
      <x:c r="A12" s="31" t="str">
        <x:v>Numbered-total actionable gaps</x:v>
      </x:c>
      <x:c r="B12" s="31" t="n">
        <x:v>1</x:v>
      </x:c>
      <x:c r="C12" s="31" t="str">
        <x:v>MONITOR</x:v>
      </x:c>
      <x:c r="D12" s="31" t="str">
        <x:v>Aura Seeker has no official checklist yet. Two event rows are correctly N/A.</x:v>
      </x:c>
      <x:c r="E12" s="31" t="str">
        <x:v>414; N/A: 608, 633</x:v>
      </x:c>
      <x:c r="F12" s="31" t="str"/>
      <x:c r="G12" s="31" t="str">
        <x:v>Pending / N/A</x:v>
      </x:c>
      <x:c r="H12" s="31" t="str">
        <x:v>Monitor</x:v>
      </x:c>
    </x:row>
    <x:row r="13" ht="22" customHeight="1">
      <x:c r="A13" s="31" t="str">
        <x:v>Provisional / snapshot metadata rows</x:v>
      </x:c>
      <x:c r="B13" s="31" t="n">
        <x:v>9</x:v>
      </x:c>
      <x:c r="C13" s="31" t="str">
        <x:v>MONITOR</x:v>
      </x:c>
      <x:c r="D13" s="31" t="str">
        <x:v>Ongoing promos/future releases remain explicitly flagged rather than presented as closed exact totals.</x:v>
      </x:c>
      <x:c r="E13" s="31" t="str">
        <x:v>146, 176, 187, 403, 437, 631, 643, 644, 646</x:v>
      </x:c>
      <x:c r="F13" s="31" t="str"/>
      <x:c r="G13" s="31" t="str">
        <x:v>Retained flags</x:v>
      </x:c>
      <x:c r="H13" s="31" t="str">
        <x:v>Monitor</x:v>
      </x:c>
    </x:row>
    <x:row r="14" ht="22" customHeight="1">
      <x:c r="A14" s="31" t="str">
        <x:v>Count reconciliation mismatch</x:v>
      </x:c>
      <x:c r="B14" s="31" t="n">
        <x:v>1</x:v>
      </x:c>
      <x:c r="C14" s="31" t="str">
        <x:v>ACCEPTED</x:v>
      </x:c>
      <x:c r="D14" s="31" t="str">
        <x:v>Delta Reign base denominator is 103 while 135 is a minimum announced total; extra-card count remains unknown and is not fabricated.</x:v>
      </x:c>
      <x:c r="E14" s="31" t="str">
        <x:v>187</x:v>
      </x:c>
      <x:c r="F14" s="31" t="str">
        <x:v>Base 103; minimum total 135</x:v>
      </x:c>
      <x:c r="G14" s="31" t="str">
        <x:v>Flag retained</x:v>
      </x:c>
      <x:c r="H14" s="31" t="str">
        <x:v>Monitor</x:v>
      </x:c>
    </x:row>
    <x:row r="15" ht="22" customHeight="1">
      <x:c r="A15" s="31" t="str">
        <x:v>Metadata typo</x:v>
      </x:c>
      <x:c r="B15" s="31" t="str">
        <x:v>Fixed</x:v>
      </x:c>
      <x:c r="C15" s="31" t="str">
        <x:v>PASS</x:v>
      </x:c>
      <x:c r="D15" s="31" t="str">
        <x:v>Corrected Trianers Camp → Trainers Camp.</x:v>
      </x:c>
      <x:c r="E15" s="31" t="str">
        <x:v>608</x:v>
      </x:c>
      <x:c r="F15" s="31" t="str">
        <x:v>Trianers Camp</x:v>
      </x:c>
      <x:c r="G15" s="31" t="str">
        <x:v>Trainers Camp</x:v>
      </x:c>
      <x:c r="H15" s="31" t="str">
        <x:v>Frozen</x:v>
      </x:c>
    </x:row>
    <x:row r="16" ht="22" customHeight="1">
      <x:c r="A16" s="31"/>
      <x:c r="B16" s="31"/>
      <x:c r="C16" s="31"/>
      <x:c r="D16" s="31"/>
      <x:c r="E16" s="31"/>
      <x:c r="F16" s="31"/>
      <x:c r="G16" s="31"/>
      <x:c r="H16" s="31"/>
    </x:row>
    <x:row r="17" ht="22" customHeight="1">
      <x:c r="A17" s="90" t="str">
        <x:v>FINAL QA DECISION</x:v>
      </x:c>
      <x:c r="B17" s="90" t="str">
        <x:v>SIGNED OFF WITH MONITORED EXCEPTIONS</x:v>
      </x:c>
      <x:c r="C17" s="90" t="str">
        <x:v>APPROVED</x:v>
      </x:c>
      <x:c r="D17" s="90" t="str">
        <x:v>Core metadata may be frozen as Stackr Canonical Metadata v1.0. Only monitored rows should change without a formal metadata revision.</x:v>
      </x:c>
      <x:c r="E17" s="90" t="str">
        <x:v>642-entry scope</x:v>
      </x:c>
      <x:c r="F17" s="90" t="str"/>
      <x:c r="G17" s="90" t="str"/>
      <x:c r="H17" s="90" t="str">
        <x:v>SIGNED OFF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0" hidden="0" customWidth="1"/>
    <x:col min="3" max="3" width="18" hidden="0" customWidth="1"/>
    <x:col min="4" max="4" width="30" hidden="0" customWidth="1"/>
    <x:col min="5" max="5" width="24" hidden="0" customWidth="1"/>
    <x:col min="6" max="6" width="16" hidden="0" customWidth="1"/>
  </x:cols>
  <x:sheetData>
    <x:row r="1">
      <x:c r="A1" s="94" t="str">
        <x:v>STACKR — CANONICAL METADATA SIGN-OFF</x:v>
      </x:c>
      <x:c r="B1" s="94"/>
      <x:c r="C1" s="94"/>
      <x:c r="D1" s="94"/>
      <x:c r="E1" s="94"/>
      <x:c r="F1" s="94"/>
    </x:row>
    <x:row r="2">
      <x:c r="A2" s="31" t="str">
        <x:v>Version</x:v>
      </x:c>
      <x:c r="B2" s="31" t="str">
        <x:v>Canonical Metadata v1.0</x:v>
      </x:c>
      <x:c r="C2" s="31" t="str">
        <x:v>Sign-off date</x:v>
      </x:c>
      <x:c r="D2" s="31" t="str">
        <x:v>26 September 2026</x:v>
      </x:c>
      <x:c r="E2" s="31" t="str">
        <x:v>Scope</x:v>
      </x:c>
      <x:c r="F2" s="31" t="str">
        <x:v>EN / JA / ZH-CN / ZH-TW</x:v>
      </x:c>
    </x:row>
    <x:row r="3">
      <x:c r="A3" s="31" t="str">
        <x:v>Status</x:v>
      </x:c>
      <x:c r="B3" s="31" t="str">
        <x:v>SIGNED OFF — monitored exceptions remain</x:v>
      </x:c>
      <x:c r="C3" s="31"/>
      <x:c r="D3" s="31"/>
      <x:c r="E3" s="31"/>
      <x:c r="F3" s="31"/>
    </x:row>
    <x:row r="4">
      <x:c r="A4"/>
      <x:c r="B4"/>
      <x:c r="C4"/>
      <x:c r="D4"/>
      <x:c r="E4"/>
      <x:c r="F4"/>
    </x:row>
    <x:row r="5">
      <x:c r="A5" s="97" t="str">
        <x:v>Coverage metric</x:v>
      </x:c>
      <x:c r="B5" s="97" t="str">
        <x:v>Complete / applicable</x:v>
      </x:c>
      <x:c r="C5" s="97" t="str">
        <x:v>Coverage</x:v>
      </x:c>
      <x:c r="D5" s="97" t="str">
        <x:v>Sign-off treatment</x:v>
      </x:c>
      <x:c r="E5" s="97" t="str">
        <x:v>Exception</x:v>
      </x:c>
      <x:c r="F5" s="97" t="str">
        <x:v>State</x:v>
      </x:c>
    </x:row>
    <x:row r="6">
      <x:c r="A6" s="31" t="str">
        <x:v>Reference identity</x:v>
      </x:c>
      <x:c r="B6" s="31" t="n">
        <x:v>642</x:v>
      </x:c>
      <x:c r="C6" s="31" t="n">
        <x:v>1</x:v>
      </x:c>
      <x:c r="D6" s="31" t="str">
        <x:v>Frozen canonical identity</x:v>
      </x:c>
      <x:c r="E6" s="31" t="str"/>
      <x:c r="F6" s="31" t="str">
        <x:v>SIGNED OFF</x:v>
      </x:c>
    </x:row>
    <x:row r="7">
      <x:c r="A7" s="31" t="str">
        <x:v>Display name</x:v>
      </x:c>
      <x:c r="B7" s="31" t="n">
        <x:v>642</x:v>
      </x:c>
      <x:c r="C7" s="31" t="n">
        <x:v>1</x:v>
      </x:c>
      <x:c r="D7" s="31" t="str">
        <x:v>Frozen</x:v>
      </x:c>
      <x:c r="E7" s="31" t="str"/>
      <x:c r="F7" s="31" t="str">
        <x:v>SIGNED OFF</x:v>
      </x:c>
    </x:row>
    <x:row r="8">
      <x:c r="A8" s="31" t="str">
        <x:v>Native name</x:v>
      </x:c>
      <x:c r="B8" s="31" t="n">
        <x:v>642</x:v>
      </x:c>
      <x:c r="C8" s="31" t="n">
        <x:v>1</x:v>
      </x:c>
      <x:c r="D8" s="31" t="str">
        <x:v>Frozen</x:v>
      </x:c>
      <x:c r="E8" s="31" t="str"/>
      <x:c r="F8" s="31" t="str">
        <x:v>SIGNED OFF</x:v>
      </x:c>
    </x:row>
    <x:row r="9">
      <x:c r="A9" s="31" t="str">
        <x:v>Catalogue code</x:v>
      </x:c>
      <x:c r="B9" s="31" t="n">
        <x:v>642</x:v>
      </x:c>
      <x:c r="C9" s="31" t="n">
        <x:v>1</x:v>
      </x:c>
      <x:c r="D9" s="31" t="str">
        <x:v>Frozen; Stackr aliases explicitly labelled where non-official</x:v>
      </x:c>
      <x:c r="E9" s="31" t="str"/>
      <x:c r="F9" s="31" t="str">
        <x:v>SIGNED OFF</x:v>
      </x:c>
    </x:row>
    <x:row r="10">
      <x:c r="A10" s="31" t="str">
        <x:v>Release date</x:v>
      </x:c>
      <x:c r="B10" s="31" t="n">
        <x:v>0.9984423676012462</x:v>
      </x:c>
      <x:c r="C10" s="31" t="n">
        <x:v>0.9984423676012462</x:v>
      </x:c>
      <x:c r="D10" s="31" t="str">
        <x:v>Freeze populated values</x:v>
      </x:c>
      <x:c r="E10" s="31" t="str">
        <x:v>Aura Seeker</x:v>
      </x:c>
      <x:c r="F10" s="31" t="str">
        <x:v>MONITOR</x:v>
      </x:c>
    </x:row>
    <x:row r="11">
      <x:c r="A11" s="31" t="str">
        <x:v>Reference count</x:v>
      </x:c>
      <x:c r="B11" s="31" t="n">
        <x:v>0.9984375</x:v>
      </x:c>
      <x:c r="C11" s="31" t="n">
        <x:v>0.9984375</x:v>
      </x:c>
      <x:c r="D11" s="31" t="str">
        <x:v>Two event rows excluded as N/A</x:v>
      </x:c>
      <x:c r="E11" s="31" t="str">
        <x:v>Aura Seeker</x:v>
      </x:c>
      <x:c r="F11" s="31" t="str">
        <x:v>MONITOR</x:v>
      </x:c>
    </x:row>
    <x:row r="12">
      <x:c r="A12" s="31" t="str">
        <x:v>Numbered-card total</x:v>
      </x:c>
      <x:c r="B12" s="31" t="n">
        <x:v>0.9984375</x:v>
      </x:c>
      <x:c r="C12" s="31" t="n">
        <x:v>0.9984375</x:v>
      </x:c>
      <x:c r="D12" s="31" t="str">
        <x:v>Two event rows excluded as N/A</x:v>
      </x:c>
      <x:c r="E12" s="31" t="str">
        <x:v>Aura Seeker</x:v>
      </x:c>
      <x:c r="F12" s="31" t="str">
        <x:v>MONITOR</x:v>
      </x:c>
    </x:row>
    <x:row r="13">
      <x:c r="A13"/>
      <x:c r="B13"/>
      <x:c r="C13"/>
      <x:c r="D13"/>
      <x:c r="E13"/>
      <x:c r="F13"/>
    </x:row>
    <x:row r="14">
      <x:c r="A14" s="99" t="str">
        <x:v>Controlled exceptions</x:v>
      </x:c>
      <x:c r="B14" s="99"/>
      <x:c r="C14" s="99"/>
      <x:c r="D14" s="99"/>
      <x:c r="E14" s="99"/>
      <x:c r="F14" s="99"/>
    </x:row>
    <x:row r="15">
      <x:c r="A15" s="31" t="str">
        <x:v>Aura Seeker</x:v>
      </x:c>
      <x:c r="B15" s="31" t="str">
        <x:v>Official set code/release date/checklist still pending; do not guess.</x:v>
      </x:c>
      <x:c r="C15" s="31" t="str"/>
      <x:c r="D15" s="31" t="str"/>
      <x:c r="E15" s="31" t="str"/>
      <x:c r="F15" s="31" t="str">
        <x:v>MONITOR</x:v>
      </x:c>
    </x:row>
    <x:row r="16">
      <x:c r="A16" s="31" t="str">
        <x:v>Delta Reign</x:v>
      </x:c>
      <x:c r="B16" s="31" t="str">
        <x:v>135 is a minimum announced total, not a final closed checklist.</x:v>
      </x:c>
      <x:c r="C16" s="31" t="str"/>
      <x:c r="D16" s="31" t="str"/>
      <x:c r="E16" s="31" t="str"/>
      <x:c r="F16" s="31" t="str">
        <x:v>MONITOR</x:v>
      </x:c>
    </x:row>
    <x:row r="17">
      <x:c r="A17" s="31" t="str">
        <x:v>Ongoing promo catalogues</x:v>
      </x:c>
      <x:c r="B17" s="31" t="str">
        <x:v>Snapshot/numbering-extent values remain explicitly flagged and may grow.</x:v>
      </x:c>
      <x:c r="C17" s="31" t="str"/>
      <x:c r="D17" s="31" t="str"/>
      <x:c r="E17" s="31" t="str"/>
      <x:c r="F17" s="31" t="str">
        <x:v>MONITOR</x:v>
      </x:c>
    </x:row>
    <x:row r="18">
      <x:c r="A18" s="31" t="str">
        <x:v>Event / teaching programmes</x:v>
      </x:c>
      <x:c r="B18" s="31" t="str">
        <x:v>Trainers Camp and New Trainer Journey are intentionally N/A for reference count and numbered total.</x:v>
      </x:c>
      <x:c r="C18" s="31" t="str"/>
      <x:c r="D18" s="31" t="str"/>
      <x:c r="E18" s="31" t="str"/>
      <x:c r="F18" s="31" t="str">
        <x:v>ACCEPTED</x:v>
      </x:c>
    </x:row>
    <x:row r="19">
      <x:c r="A19"/>
      <x:c r="B19"/>
      <x:c r="C19"/>
      <x:c r="D19"/>
      <x:c r="E19"/>
      <x:c r="F19"/>
    </x:row>
    <x:row r="20">
      <x:c r="A20" s="102" t="str">
        <x:v>Change-control rule</x:v>
      </x:c>
      <x:c r="B20" s="102" t="str">
        <x:v>After sign-off, edits to frozen core metadata require a logged revision with source evidence. Monitored exceptions may update when official evidence becomes available.</x:v>
      </x:c>
      <x:c r="C20" s="102"/>
      <x:c r="D20" s="102"/>
      <x:c r="E20" s="102"/>
      <x:c r="F20" s="102"/>
    </x:row>
    <x:row r="21">
      <x:c r="A21" s="102" t="str">
        <x:v>Next Stackr workstream</x:v>
      </x:c>
      <x:c r="B21" s="102" t="str">
        <x:v>PRICING → then missing card artwork</x:v>
      </x:c>
      <x:c r="C21" s="102"/>
      <x:c r="D21" s="102"/>
      <x:c r="E21" s="102"/>
      <x:c r="F21" s="102"/>
    </x:row>
  </x:sheetData>
  <x:mergeCells>
    <x:mergeCell ref="A1:F1"/>
    <x:mergeCell ref="B3:F3"/>
    <x:mergeCell ref="B20:F20"/>
    <x:mergeCell ref="B21:F21"/>
  </x:mergeCells>
  <x:pageMargins left="0.7" right="0.7" top="0.75" bottom="0.75" header="0.3" footer="0.3"/>
</x:worksheet>
</file>